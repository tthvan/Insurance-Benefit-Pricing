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DE5ECFA-BA98-4F62-BF6A-E1EF31D73F79}" xr6:coauthVersionLast="47" xr6:coauthVersionMax="47" xr10:uidLastSave="{00000000-0000-0000-0000-000000000000}"/>
  <bookViews>
    <workbookView xWindow="-83" yWindow="0" windowWidth="11505" windowHeight="10162" activeTab="1" xr2:uid="{3BBB633D-B28D-4C9D-B886-F731CBF351C3}"/>
  </bookViews>
  <sheets>
    <sheet name="vis_ManualVSExp" sheetId="19" r:id="rId1"/>
    <sheet name="vis_RegionClassCompare" sheetId="21" r:id="rId2"/>
    <sheet name="Compare_ClassRegion" sheetId="18" r:id="rId3"/>
    <sheet name="Census" sheetId="7" r:id="rId4"/>
    <sheet name="Experience_12m" sheetId="10" r:id="rId5"/>
    <sheet name="ManualPremium" sheetId="9" r:id="rId6"/>
    <sheet name="distribution" sheetId="1" r:id="rId7"/>
    <sheet name="age_band" sheetId="2" r:id="rId8"/>
    <sheet name="assumptions" sheetId="16" r:id="rId9"/>
    <sheet name="manual_rate_table" sheetId="3" state="hidden" r:id="rId10"/>
    <sheet name="rate_tables" sheetId="8" r:id="rId11"/>
    <sheet name="census_formula" sheetId="4" state="hidden" r:id="rId12"/>
    <sheet name="Dim_Month" sheetId="11" r:id="rId13"/>
    <sheet name="Dim_Benefit" sheetId="12" r:id="rId14"/>
    <sheet name="Dim_Region" sheetId="13" r:id="rId15"/>
    <sheet name="Dim_Class" sheetId="14" r:id="rId16"/>
  </sheets>
  <calcPr calcId="181029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8" l="1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" i="18"/>
  <c r="D3" i="18"/>
  <c r="E3" i="18" s="1"/>
  <c r="D4" i="18"/>
  <c r="E4" i="18" s="1"/>
  <c r="D5" i="18"/>
  <c r="E5" i="18" s="1"/>
  <c r="D6" i="18"/>
  <c r="E6" i="18" s="1"/>
  <c r="D7" i="18"/>
  <c r="E7" i="18" s="1"/>
  <c r="D8" i="18"/>
  <c r="E8" i="18" s="1"/>
  <c r="D9" i="18"/>
  <c r="E9" i="18" s="1"/>
  <c r="D10" i="18"/>
  <c r="E10" i="18" s="1"/>
  <c r="D11" i="18"/>
  <c r="E11" i="18" s="1"/>
  <c r="D12" i="18"/>
  <c r="E12" i="18" s="1"/>
  <c r="D13" i="18"/>
  <c r="E13" i="18" s="1"/>
  <c r="D14" i="18"/>
  <c r="E14" i="18" s="1"/>
  <c r="D15" i="18"/>
  <c r="E15" i="18" s="1"/>
  <c r="D16" i="18"/>
  <c r="E16" i="18" s="1"/>
  <c r="D17" i="18"/>
  <c r="E17" i="18" s="1"/>
  <c r="D18" i="18"/>
  <c r="E18" i="18" s="1"/>
  <c r="D19" i="18"/>
  <c r="E19" i="18" s="1"/>
  <c r="D20" i="18"/>
  <c r="E20" i="18" s="1"/>
  <c r="D21" i="18"/>
  <c r="E21" i="18" s="1"/>
  <c r="D22" i="18"/>
  <c r="E22" i="18" s="1"/>
  <c r="D23" i="18"/>
  <c r="E23" i="18" s="1"/>
  <c r="D24" i="18"/>
  <c r="E24" i="18" s="1"/>
  <c r="D25" i="18"/>
  <c r="E25" i="18" s="1"/>
  <c r="D2" i="18"/>
  <c r="E2" i="18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G138" i="10" s="1"/>
  <c r="F139" i="10"/>
  <c r="F140" i="10"/>
  <c r="F141" i="10"/>
  <c r="F142" i="10"/>
  <c r="F143" i="10"/>
  <c r="F144" i="10"/>
  <c r="F145" i="10"/>
  <c r="F146" i="10"/>
  <c r="G146" i="10" s="1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9" i="10"/>
  <c r="G140" i="10"/>
  <c r="G141" i="10"/>
  <c r="G142" i="10"/>
  <c r="G143" i="10"/>
  <c r="G144" i="10"/>
  <c r="G145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" i="10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2" i="9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M10" i="4" s="1"/>
  <c r="N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M18" i="4" s="1"/>
  <c r="N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M25" i="4" s="1"/>
  <c r="N25" i="4" s="1"/>
  <c r="D26" i="4"/>
  <c r="E26" i="4" s="1"/>
  <c r="M26" i="4" s="1"/>
  <c r="N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M33" i="4" s="1"/>
  <c r="N33" i="4" s="1"/>
  <c r="D34" i="4"/>
  <c r="E34" i="4" s="1"/>
  <c r="M34" i="4" s="1"/>
  <c r="N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M42" i="4" s="1"/>
  <c r="N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M50" i="4" s="1"/>
  <c r="N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M58" i="4" s="1"/>
  <c r="N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M66" i="4" s="1"/>
  <c r="N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M74" i="4" s="1"/>
  <c r="N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M82" i="4" s="1"/>
  <c r="N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M89" i="4" s="1"/>
  <c r="N89" i="4" s="1"/>
  <c r="D90" i="4"/>
  <c r="E90" i="4" s="1"/>
  <c r="M90" i="4" s="1"/>
  <c r="N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M98" i="4" s="1"/>
  <c r="N98" i="4" s="1"/>
  <c r="D99" i="4"/>
  <c r="E99" i="4" s="1"/>
  <c r="D100" i="4"/>
  <c r="E100" i="4" s="1"/>
  <c r="D101" i="4"/>
  <c r="E101" i="4" s="1"/>
  <c r="D102" i="4"/>
  <c r="E102" i="4" s="1"/>
  <c r="D103" i="4"/>
  <c r="E103" i="4" s="1"/>
  <c r="M103" i="4" s="1"/>
  <c r="N103" i="4" s="1"/>
  <c r="D104" i="4"/>
  <c r="E104" i="4" s="1"/>
  <c r="D105" i="4"/>
  <c r="E105" i="4" s="1"/>
  <c r="D106" i="4"/>
  <c r="E106" i="4" s="1"/>
  <c r="M106" i="4" s="1"/>
  <c r="N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M113" i="4" s="1"/>
  <c r="N113" i="4" s="1"/>
  <c r="D114" i="4"/>
  <c r="E114" i="4" s="1"/>
  <c r="M114" i="4" s="1"/>
  <c r="N114" i="4" s="1"/>
  <c r="D115" i="4"/>
  <c r="E115" i="4" s="1"/>
  <c r="D116" i="4"/>
  <c r="E116" i="4" s="1"/>
  <c r="D117" i="4"/>
  <c r="E117" i="4" s="1"/>
  <c r="D118" i="4"/>
  <c r="E118" i="4" s="1"/>
  <c r="D119" i="4"/>
  <c r="E119" i="4" s="1"/>
  <c r="D120" i="4"/>
  <c r="E120" i="4" s="1"/>
  <c r="D121" i="4"/>
  <c r="E121" i="4" s="1"/>
  <c r="M121" i="4" s="1"/>
  <c r="N121" i="4" s="1"/>
  <c r="D122" i="4"/>
  <c r="E122" i="4" s="1"/>
  <c r="M122" i="4" s="1"/>
  <c r="N122" i="4" s="1"/>
  <c r="D123" i="4"/>
  <c r="E123" i="4" s="1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M129" i="4" s="1"/>
  <c r="N129" i="4" s="1"/>
  <c r="D130" i="4"/>
  <c r="E130" i="4" s="1"/>
  <c r="M130" i="4" s="1"/>
  <c r="N130" i="4" s="1"/>
  <c r="D131" i="4"/>
  <c r="E131" i="4" s="1"/>
  <c r="D132" i="4"/>
  <c r="E132" i="4" s="1"/>
  <c r="D133" i="4"/>
  <c r="E133" i="4" s="1"/>
  <c r="D134" i="4"/>
  <c r="E134" i="4" s="1"/>
  <c r="D135" i="4"/>
  <c r="E135" i="4" s="1"/>
  <c r="M135" i="4" s="1"/>
  <c r="N135" i="4" s="1"/>
  <c r="D136" i="4"/>
  <c r="E136" i="4" s="1"/>
  <c r="D137" i="4"/>
  <c r="E137" i="4" s="1"/>
  <c r="D138" i="4"/>
  <c r="E138" i="4" s="1"/>
  <c r="M138" i="4" s="1"/>
  <c r="N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M153" i="4" s="1"/>
  <c r="N153" i="4" s="1"/>
  <c r="D154" i="4"/>
  <c r="E154" i="4" s="1"/>
  <c r="M154" i="4" s="1"/>
  <c r="N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M161" i="4" s="1"/>
  <c r="N161" i="4" s="1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M167" i="4" s="1"/>
  <c r="N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E176" i="4" s="1"/>
  <c r="D177" i="4"/>
  <c r="E177" i="4" s="1"/>
  <c r="M177" i="4" s="1"/>
  <c r="N177" i="4" s="1"/>
  <c r="D178" i="4"/>
  <c r="E178" i="4" s="1"/>
  <c r="M178" i="4" s="1"/>
  <c r="N178" i="4" s="1"/>
  <c r="D179" i="4"/>
  <c r="E179" i="4" s="1"/>
  <c r="D180" i="4"/>
  <c r="E180" i="4" s="1"/>
  <c r="D181" i="4"/>
  <c r="E181" i="4" s="1"/>
  <c r="D182" i="4"/>
  <c r="E182" i="4" s="1"/>
  <c r="D183" i="4"/>
  <c r="E183" i="4" s="1"/>
  <c r="D184" i="4"/>
  <c r="E184" i="4" s="1"/>
  <c r="D185" i="4"/>
  <c r="E185" i="4" s="1"/>
  <c r="M185" i="4" s="1"/>
  <c r="N185" i="4" s="1"/>
  <c r="D186" i="4"/>
  <c r="E186" i="4" s="1"/>
  <c r="M186" i="4" s="1"/>
  <c r="N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5" i="4"/>
  <c r="E195" i="4" s="1"/>
  <c r="D196" i="4"/>
  <c r="E196" i="4" s="1"/>
  <c r="D197" i="4"/>
  <c r="E197" i="4" s="1"/>
  <c r="D198" i="4"/>
  <c r="E198" i="4" s="1"/>
  <c r="D199" i="4"/>
  <c r="E199" i="4" s="1"/>
  <c r="M199" i="4" s="1"/>
  <c r="N199" i="4" s="1"/>
  <c r="D200" i="4"/>
  <c r="E200" i="4" s="1"/>
  <c r="D201" i="4"/>
  <c r="E201" i="4" s="1"/>
  <c r="D202" i="4"/>
  <c r="E202" i="4" s="1"/>
  <c r="D203" i="4"/>
  <c r="E203" i="4" s="1"/>
  <c r="D204" i="4"/>
  <c r="E204" i="4" s="1"/>
  <c r="D205" i="4"/>
  <c r="E205" i="4" s="1"/>
  <c r="D206" i="4"/>
  <c r="E206" i="4" s="1"/>
  <c r="D207" i="4"/>
  <c r="E207" i="4" s="1"/>
  <c r="D208" i="4"/>
  <c r="E208" i="4" s="1"/>
  <c r="D209" i="4"/>
  <c r="E209" i="4" s="1"/>
  <c r="D210" i="4"/>
  <c r="E210" i="4" s="1"/>
  <c r="M210" i="4" s="1"/>
  <c r="N210" i="4" s="1"/>
  <c r="D211" i="4"/>
  <c r="E211" i="4" s="1"/>
  <c r="D212" i="4"/>
  <c r="E212" i="4" s="1"/>
  <c r="D213" i="4"/>
  <c r="E213" i="4" s="1"/>
  <c r="D214" i="4"/>
  <c r="E214" i="4" s="1"/>
  <c r="D215" i="4"/>
  <c r="E215" i="4" s="1"/>
  <c r="D216" i="4"/>
  <c r="E216" i="4" s="1"/>
  <c r="D217" i="4"/>
  <c r="E217" i="4" s="1"/>
  <c r="M217" i="4" s="1"/>
  <c r="N217" i="4" s="1"/>
  <c r="D218" i="4"/>
  <c r="E218" i="4" s="1"/>
  <c r="D219" i="4"/>
  <c r="E219" i="4" s="1"/>
  <c r="D220" i="4"/>
  <c r="E220" i="4" s="1"/>
  <c r="D221" i="4"/>
  <c r="E221" i="4" s="1"/>
  <c r="D222" i="4"/>
  <c r="E222" i="4" s="1"/>
  <c r="D223" i="4"/>
  <c r="E223" i="4" s="1"/>
  <c r="D224" i="4"/>
  <c r="E224" i="4" s="1"/>
  <c r="D225" i="4"/>
  <c r="E225" i="4" s="1"/>
  <c r="D226" i="4"/>
  <c r="E226" i="4" s="1"/>
  <c r="D227" i="4"/>
  <c r="E227" i="4" s="1"/>
  <c r="D228" i="4"/>
  <c r="E228" i="4" s="1"/>
  <c r="D229" i="4"/>
  <c r="E229" i="4" s="1"/>
  <c r="D230" i="4"/>
  <c r="E230" i="4" s="1"/>
  <c r="D231" i="4"/>
  <c r="E231" i="4" s="1"/>
  <c r="D232" i="4"/>
  <c r="E232" i="4" s="1"/>
  <c r="D233" i="4"/>
  <c r="E233" i="4" s="1"/>
  <c r="D234" i="4"/>
  <c r="E234" i="4" s="1"/>
  <c r="D235" i="4"/>
  <c r="E235" i="4" s="1"/>
  <c r="D236" i="4"/>
  <c r="E236" i="4" s="1"/>
  <c r="D237" i="4"/>
  <c r="E237" i="4" s="1"/>
  <c r="D238" i="4"/>
  <c r="E238" i="4" s="1"/>
  <c r="D239" i="4"/>
  <c r="E239" i="4" s="1"/>
  <c r="M239" i="4" s="1"/>
  <c r="N239" i="4" s="1"/>
  <c r="D240" i="4"/>
  <c r="E240" i="4" s="1"/>
  <c r="D241" i="4"/>
  <c r="E241" i="4" s="1"/>
  <c r="D242" i="4"/>
  <c r="E242" i="4" s="1"/>
  <c r="M242" i="4" s="1"/>
  <c r="N242" i="4" s="1"/>
  <c r="D243" i="4"/>
  <c r="E243" i="4" s="1"/>
  <c r="D244" i="4"/>
  <c r="E244" i="4" s="1"/>
  <c r="D245" i="4"/>
  <c r="E245" i="4" s="1"/>
  <c r="D246" i="4"/>
  <c r="E246" i="4" s="1"/>
  <c r="D247" i="4"/>
  <c r="E247" i="4" s="1"/>
  <c r="D248" i="4"/>
  <c r="E248" i="4" s="1"/>
  <c r="D249" i="4"/>
  <c r="E249" i="4" s="1"/>
  <c r="M249" i="4" s="1"/>
  <c r="N249" i="4" s="1"/>
  <c r="D250" i="4"/>
  <c r="E250" i="4" s="1"/>
  <c r="M250" i="4" s="1"/>
  <c r="N250" i="4" s="1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M257" i="4" s="1"/>
  <c r="N257" i="4" s="1"/>
  <c r="D258" i="4"/>
  <c r="E258" i="4" s="1"/>
  <c r="D259" i="4"/>
  <c r="E259" i="4" s="1"/>
  <c r="D260" i="4"/>
  <c r="E260" i="4" s="1"/>
  <c r="D261" i="4"/>
  <c r="E261" i="4" s="1"/>
  <c r="D262" i="4"/>
  <c r="E262" i="4" s="1"/>
  <c r="D263" i="4"/>
  <c r="E263" i="4" s="1"/>
  <c r="D264" i="4"/>
  <c r="E264" i="4" s="1"/>
  <c r="D265" i="4"/>
  <c r="E265" i="4" s="1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M273" i="4" s="1"/>
  <c r="N273" i="4" s="1"/>
  <c r="D274" i="4"/>
  <c r="E274" i="4" s="1"/>
  <c r="M274" i="4" s="1"/>
  <c r="N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M281" i="4" s="1"/>
  <c r="N281" i="4" s="1"/>
  <c r="D282" i="4"/>
  <c r="E282" i="4" s="1"/>
  <c r="M282" i="4" s="1"/>
  <c r="N282" i="4" s="1"/>
  <c r="D283" i="4"/>
  <c r="E283" i="4" s="1"/>
  <c r="D284" i="4"/>
  <c r="E284" i="4" s="1"/>
  <c r="D285" i="4"/>
  <c r="E285" i="4" s="1"/>
  <c r="D286" i="4"/>
  <c r="E286" i="4" s="1"/>
  <c r="D287" i="4"/>
  <c r="E287" i="4" s="1"/>
  <c r="D288" i="4"/>
  <c r="E288" i="4" s="1"/>
  <c r="D289" i="4"/>
  <c r="E289" i="4" s="1"/>
  <c r="D290" i="4"/>
  <c r="E290" i="4" s="1"/>
  <c r="D291" i="4"/>
  <c r="E291" i="4" s="1"/>
  <c r="D292" i="4"/>
  <c r="E292" i="4" s="1"/>
  <c r="D293" i="4"/>
  <c r="E293" i="4" s="1"/>
  <c r="D294" i="4"/>
  <c r="E294" i="4" s="1"/>
  <c r="D295" i="4"/>
  <c r="E295" i="4" s="1"/>
  <c r="D296" i="4"/>
  <c r="E296" i="4" s="1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E302" i="4" s="1"/>
  <c r="D303" i="4"/>
  <c r="E303" i="4" s="1"/>
  <c r="D304" i="4"/>
  <c r="E304" i="4" s="1"/>
  <c r="D305" i="4"/>
  <c r="E305" i="4" s="1"/>
  <c r="D306" i="4"/>
  <c r="E306" i="4" s="1"/>
  <c r="M306" i="4" s="1"/>
  <c r="N306" i="4" s="1"/>
  <c r="D307" i="4"/>
  <c r="E307" i="4" s="1"/>
  <c r="D308" i="4"/>
  <c r="E308" i="4" s="1"/>
  <c r="D309" i="4"/>
  <c r="E309" i="4" s="1"/>
  <c r="D310" i="4"/>
  <c r="E310" i="4" s="1"/>
  <c r="D311" i="4"/>
  <c r="E311" i="4" s="1"/>
  <c r="M311" i="4" s="1"/>
  <c r="N311" i="4" s="1"/>
  <c r="D312" i="4"/>
  <c r="E312" i="4" s="1"/>
  <c r="D313" i="4"/>
  <c r="E313" i="4" s="1"/>
  <c r="M313" i="4" s="1"/>
  <c r="N313" i="4" s="1"/>
  <c r="D314" i="4"/>
  <c r="E314" i="4" s="1"/>
  <c r="D315" i="4"/>
  <c r="E315" i="4" s="1"/>
  <c r="D316" i="4"/>
  <c r="E316" i="4" s="1"/>
  <c r="D317" i="4"/>
  <c r="E317" i="4" s="1"/>
  <c r="D318" i="4"/>
  <c r="E318" i="4" s="1"/>
  <c r="D319" i="4"/>
  <c r="E319" i="4" s="1"/>
  <c r="D320" i="4"/>
  <c r="E320" i="4" s="1"/>
  <c r="D321" i="4"/>
  <c r="E321" i="4" s="1"/>
  <c r="D322" i="4"/>
  <c r="E322" i="4" s="1"/>
  <c r="M322" i="4" s="1"/>
  <c r="N322" i="4" s="1"/>
  <c r="D323" i="4"/>
  <c r="E323" i="4" s="1"/>
  <c r="D324" i="4"/>
  <c r="E324" i="4" s="1"/>
  <c r="D325" i="4"/>
  <c r="E325" i="4" s="1"/>
  <c r="D326" i="4"/>
  <c r="E326" i="4" s="1"/>
  <c r="D327" i="4"/>
  <c r="E327" i="4" s="1"/>
  <c r="D328" i="4"/>
  <c r="E328" i="4" s="1"/>
  <c r="D329" i="4"/>
  <c r="E329" i="4" s="1"/>
  <c r="D330" i="4"/>
  <c r="E330" i="4" s="1"/>
  <c r="D331" i="4"/>
  <c r="E331" i="4" s="1"/>
  <c r="D332" i="4"/>
  <c r="E332" i="4" s="1"/>
  <c r="D333" i="4"/>
  <c r="E333" i="4" s="1"/>
  <c r="D334" i="4"/>
  <c r="E334" i="4" s="1"/>
  <c r="D335" i="4"/>
  <c r="E335" i="4" s="1"/>
  <c r="D336" i="4"/>
  <c r="E336" i="4" s="1"/>
  <c r="D337" i="4"/>
  <c r="E337" i="4" s="1"/>
  <c r="M337" i="4" s="1"/>
  <c r="N337" i="4" s="1"/>
  <c r="D338" i="4"/>
  <c r="E338" i="4" s="1"/>
  <c r="D339" i="4"/>
  <c r="E339" i="4" s="1"/>
  <c r="D340" i="4"/>
  <c r="E340" i="4" s="1"/>
  <c r="D341" i="4"/>
  <c r="E341" i="4" s="1"/>
  <c r="D342" i="4"/>
  <c r="E342" i="4" s="1"/>
  <c r="D343" i="4"/>
  <c r="E343" i="4" s="1"/>
  <c r="D344" i="4"/>
  <c r="E344" i="4" s="1"/>
  <c r="D345" i="4"/>
  <c r="E345" i="4" s="1"/>
  <c r="D346" i="4"/>
  <c r="E346" i="4" s="1"/>
  <c r="M346" i="4" s="1"/>
  <c r="N346" i="4" s="1"/>
  <c r="D347" i="4"/>
  <c r="E347" i="4" s="1"/>
  <c r="D348" i="4"/>
  <c r="E348" i="4" s="1"/>
  <c r="D349" i="4"/>
  <c r="E349" i="4" s="1"/>
  <c r="D350" i="4"/>
  <c r="E350" i="4" s="1"/>
  <c r="D351" i="4"/>
  <c r="E351" i="4" s="1"/>
  <c r="D352" i="4"/>
  <c r="E352" i="4" s="1"/>
  <c r="D353" i="4"/>
  <c r="E353" i="4" s="1"/>
  <c r="D354" i="4"/>
  <c r="E354" i="4" s="1"/>
  <c r="D355" i="4"/>
  <c r="E355" i="4" s="1"/>
  <c r="D356" i="4"/>
  <c r="E356" i="4" s="1"/>
  <c r="D357" i="4"/>
  <c r="E357" i="4" s="1"/>
  <c r="D358" i="4"/>
  <c r="E358" i="4" s="1"/>
  <c r="D359" i="4"/>
  <c r="E359" i="4" s="1"/>
  <c r="D360" i="4"/>
  <c r="E360" i="4" s="1"/>
  <c r="D361" i="4"/>
  <c r="E361" i="4" s="1"/>
  <c r="D362" i="4"/>
  <c r="E362" i="4" s="1"/>
  <c r="D363" i="4"/>
  <c r="E363" i="4" s="1"/>
  <c r="D364" i="4"/>
  <c r="E364" i="4" s="1"/>
  <c r="D365" i="4"/>
  <c r="E365" i="4" s="1"/>
  <c r="D366" i="4"/>
  <c r="E366" i="4" s="1"/>
  <c r="D367" i="4"/>
  <c r="E367" i="4" s="1"/>
  <c r="D368" i="4"/>
  <c r="E368" i="4" s="1"/>
  <c r="D369" i="4"/>
  <c r="E369" i="4" s="1"/>
  <c r="D370" i="4"/>
  <c r="E370" i="4" s="1"/>
  <c r="D371" i="4"/>
  <c r="E371" i="4" s="1"/>
  <c r="D372" i="4"/>
  <c r="E372" i="4" s="1"/>
  <c r="D373" i="4"/>
  <c r="E373" i="4" s="1"/>
  <c r="D374" i="4"/>
  <c r="E374" i="4" s="1"/>
  <c r="D375" i="4"/>
  <c r="E375" i="4" s="1"/>
  <c r="D376" i="4"/>
  <c r="E376" i="4" s="1"/>
  <c r="D377" i="4"/>
  <c r="E377" i="4" s="1"/>
  <c r="M377" i="4" s="1"/>
  <c r="N377" i="4" s="1"/>
  <c r="D378" i="4"/>
  <c r="E378" i="4" s="1"/>
  <c r="M378" i="4" s="1"/>
  <c r="N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E384" i="4" s="1"/>
  <c r="D385" i="4"/>
  <c r="E385" i="4" s="1"/>
  <c r="D386" i="4"/>
  <c r="E386" i="4" s="1"/>
  <c r="M386" i="4" s="1"/>
  <c r="N386" i="4" s="1"/>
  <c r="D387" i="4"/>
  <c r="E387" i="4" s="1"/>
  <c r="D388" i="4"/>
  <c r="E388" i="4" s="1"/>
  <c r="D389" i="4"/>
  <c r="E389" i="4" s="1"/>
  <c r="D390" i="4"/>
  <c r="E390" i="4" s="1"/>
  <c r="D391" i="4"/>
  <c r="E391" i="4" s="1"/>
  <c r="D392" i="4"/>
  <c r="E392" i="4" s="1"/>
  <c r="D393" i="4"/>
  <c r="E393" i="4" s="1"/>
  <c r="D394" i="4"/>
  <c r="E394" i="4" s="1"/>
  <c r="D395" i="4"/>
  <c r="E395" i="4" s="1"/>
  <c r="D396" i="4"/>
  <c r="E396" i="4" s="1"/>
  <c r="D397" i="4"/>
  <c r="E397" i="4" s="1"/>
  <c r="D398" i="4"/>
  <c r="E398" i="4" s="1"/>
  <c r="D399" i="4"/>
  <c r="E399" i="4" s="1"/>
  <c r="D400" i="4"/>
  <c r="E400" i="4" s="1"/>
  <c r="D401" i="4"/>
  <c r="E401" i="4" s="1"/>
  <c r="D402" i="4"/>
  <c r="E402" i="4" s="1"/>
  <c r="M402" i="4" s="1"/>
  <c r="N402" i="4" s="1"/>
  <c r="D403" i="4"/>
  <c r="E403" i="4" s="1"/>
  <c r="D404" i="4"/>
  <c r="E404" i="4" s="1"/>
  <c r="D405" i="4"/>
  <c r="E405" i="4" s="1"/>
  <c r="D406" i="4"/>
  <c r="E406" i="4" s="1"/>
  <c r="D407" i="4"/>
  <c r="E407" i="4" s="1"/>
  <c r="D408" i="4"/>
  <c r="E408" i="4" s="1"/>
  <c r="D409" i="4"/>
  <c r="E409" i="4" s="1"/>
  <c r="M409" i="4" s="1"/>
  <c r="N409" i="4" s="1"/>
  <c r="D410" i="4"/>
  <c r="E410" i="4" s="1"/>
  <c r="D411" i="4"/>
  <c r="E411" i="4" s="1"/>
  <c r="D412" i="4"/>
  <c r="E412" i="4" s="1"/>
  <c r="D413" i="4"/>
  <c r="E413" i="4" s="1"/>
  <c r="D414" i="4"/>
  <c r="E414" i="4" s="1"/>
  <c r="D415" i="4"/>
  <c r="E415" i="4" s="1"/>
  <c r="M415" i="4" s="1"/>
  <c r="N415" i="4" s="1"/>
  <c r="D416" i="4"/>
  <c r="E416" i="4" s="1"/>
  <c r="D417" i="4"/>
  <c r="E417" i="4" s="1"/>
  <c r="M417" i="4" s="1"/>
  <c r="N417" i="4" s="1"/>
  <c r="D418" i="4"/>
  <c r="E418" i="4" s="1"/>
  <c r="D419" i="4"/>
  <c r="E419" i="4" s="1"/>
  <c r="D420" i="4"/>
  <c r="E420" i="4" s="1"/>
  <c r="D421" i="4"/>
  <c r="E421" i="4" s="1"/>
  <c r="D422" i="4"/>
  <c r="E422" i="4" s="1"/>
  <c r="D423" i="4"/>
  <c r="E423" i="4" s="1"/>
  <c r="D424" i="4"/>
  <c r="E424" i="4" s="1"/>
  <c r="D425" i="4"/>
  <c r="E425" i="4" s="1"/>
  <c r="D426" i="4"/>
  <c r="E426" i="4" s="1"/>
  <c r="D427" i="4"/>
  <c r="E427" i="4" s="1"/>
  <c r="D428" i="4"/>
  <c r="E428" i="4" s="1"/>
  <c r="D429" i="4"/>
  <c r="E429" i="4" s="1"/>
  <c r="D430" i="4"/>
  <c r="E430" i="4" s="1"/>
  <c r="D431" i="4"/>
  <c r="E431" i="4" s="1"/>
  <c r="D432" i="4"/>
  <c r="E432" i="4" s="1"/>
  <c r="D433" i="4"/>
  <c r="E433" i="4" s="1"/>
  <c r="M433" i="4" s="1"/>
  <c r="N433" i="4" s="1"/>
  <c r="D434" i="4"/>
  <c r="E434" i="4" s="1"/>
  <c r="D435" i="4"/>
  <c r="E435" i="4" s="1"/>
  <c r="D436" i="4"/>
  <c r="E436" i="4" s="1"/>
  <c r="D437" i="4"/>
  <c r="E437" i="4" s="1"/>
  <c r="D438" i="4"/>
  <c r="E438" i="4" s="1"/>
  <c r="D439" i="4"/>
  <c r="E439" i="4" s="1"/>
  <c r="D440" i="4"/>
  <c r="E440" i="4" s="1"/>
  <c r="D441" i="4"/>
  <c r="E441" i="4" s="1"/>
  <c r="M441" i="4" s="1"/>
  <c r="N441" i="4" s="1"/>
  <c r="D442" i="4"/>
  <c r="E442" i="4" s="1"/>
  <c r="D443" i="4"/>
  <c r="E443" i="4" s="1"/>
  <c r="D444" i="4"/>
  <c r="E444" i="4" s="1"/>
  <c r="D445" i="4"/>
  <c r="E445" i="4" s="1"/>
  <c r="D446" i="4"/>
  <c r="E446" i="4" s="1"/>
  <c r="D447" i="4"/>
  <c r="E447" i="4" s="1"/>
  <c r="D448" i="4"/>
  <c r="E448" i="4" s="1"/>
  <c r="D449" i="4"/>
  <c r="E449" i="4" s="1"/>
  <c r="D450" i="4"/>
  <c r="E450" i="4" s="1"/>
  <c r="M450" i="4" s="1"/>
  <c r="N450" i="4" s="1"/>
  <c r="D451" i="4"/>
  <c r="E451" i="4" s="1"/>
  <c r="D452" i="4"/>
  <c r="E452" i="4" s="1"/>
  <c r="D453" i="4"/>
  <c r="E453" i="4" s="1"/>
  <c r="D454" i="4"/>
  <c r="E454" i="4" s="1"/>
  <c r="D455" i="4"/>
  <c r="E455" i="4" s="1"/>
  <c r="D456" i="4"/>
  <c r="E456" i="4" s="1"/>
  <c r="D457" i="4"/>
  <c r="E457" i="4" s="1"/>
  <c r="D458" i="4"/>
  <c r="E458" i="4" s="1"/>
  <c r="D459" i="4"/>
  <c r="E459" i="4" s="1"/>
  <c r="D460" i="4"/>
  <c r="E460" i="4" s="1"/>
  <c r="D461" i="4"/>
  <c r="E461" i="4" s="1"/>
  <c r="D462" i="4"/>
  <c r="E462" i="4" s="1"/>
  <c r="D463" i="4"/>
  <c r="E463" i="4" s="1"/>
  <c r="D464" i="4"/>
  <c r="E464" i="4" s="1"/>
  <c r="D465" i="4"/>
  <c r="E465" i="4" s="1"/>
  <c r="M465" i="4" s="1"/>
  <c r="N465" i="4" s="1"/>
  <c r="D466" i="4"/>
  <c r="E466" i="4" s="1"/>
  <c r="D467" i="4"/>
  <c r="E467" i="4" s="1"/>
  <c r="D468" i="4"/>
  <c r="E468" i="4" s="1"/>
  <c r="D469" i="4"/>
  <c r="E469" i="4" s="1"/>
  <c r="D470" i="4"/>
  <c r="E470" i="4" s="1"/>
  <c r="D471" i="4"/>
  <c r="E471" i="4" s="1"/>
  <c r="D472" i="4"/>
  <c r="E472" i="4" s="1"/>
  <c r="D473" i="4"/>
  <c r="E473" i="4" s="1"/>
  <c r="M473" i="4" s="1"/>
  <c r="N473" i="4" s="1"/>
  <c r="D474" i="4"/>
  <c r="E474" i="4" s="1"/>
  <c r="M474" i="4" s="1"/>
  <c r="N474" i="4" s="1"/>
  <c r="D475" i="4"/>
  <c r="E475" i="4" s="1"/>
  <c r="D476" i="4"/>
  <c r="E476" i="4" s="1"/>
  <c r="D477" i="4"/>
  <c r="E477" i="4" s="1"/>
  <c r="D478" i="4"/>
  <c r="E478" i="4" s="1"/>
  <c r="D479" i="4"/>
  <c r="E479" i="4" s="1"/>
  <c r="D480" i="4"/>
  <c r="E480" i="4" s="1"/>
  <c r="D481" i="4"/>
  <c r="E481" i="4" s="1"/>
  <c r="D482" i="4"/>
  <c r="E482" i="4" s="1"/>
  <c r="M482" i="4" s="1"/>
  <c r="N482" i="4" s="1"/>
  <c r="D483" i="4"/>
  <c r="E483" i="4" s="1"/>
  <c r="D484" i="4"/>
  <c r="E484" i="4" s="1"/>
  <c r="D485" i="4"/>
  <c r="E485" i="4" s="1"/>
  <c r="D486" i="4"/>
  <c r="E486" i="4" s="1"/>
  <c r="D487" i="4"/>
  <c r="E487" i="4" s="1"/>
  <c r="M487" i="4" s="1"/>
  <c r="N487" i="4" s="1"/>
  <c r="D488" i="4"/>
  <c r="E488" i="4" s="1"/>
  <c r="D489" i="4"/>
  <c r="E489" i="4" s="1"/>
  <c r="D490" i="4"/>
  <c r="E490" i="4" s="1"/>
  <c r="M490" i="4" s="1"/>
  <c r="N490" i="4" s="1"/>
  <c r="D491" i="4"/>
  <c r="E491" i="4" s="1"/>
  <c r="D492" i="4"/>
  <c r="E492" i="4" s="1"/>
  <c r="D493" i="4"/>
  <c r="E493" i="4" s="1"/>
  <c r="D494" i="4"/>
  <c r="E494" i="4" s="1"/>
  <c r="D495" i="4"/>
  <c r="E495" i="4" s="1"/>
  <c r="D496" i="4"/>
  <c r="E496" i="4" s="1"/>
  <c r="D497" i="4"/>
  <c r="E497" i="4" s="1"/>
  <c r="M497" i="4" s="1"/>
  <c r="N497" i="4" s="1"/>
  <c r="D498" i="4"/>
  <c r="E498" i="4" s="1"/>
  <c r="D499" i="4"/>
  <c r="E499" i="4" s="1"/>
  <c r="D500" i="4"/>
  <c r="E500" i="4" s="1"/>
  <c r="D501" i="4"/>
  <c r="E501" i="4" s="1"/>
  <c r="F3" i="4"/>
  <c r="G3" i="4" s="1"/>
  <c r="H3" i="4" s="1"/>
  <c r="F4" i="4"/>
  <c r="G4" i="4" s="1"/>
  <c r="H4" i="4" s="1"/>
  <c r="F5" i="4"/>
  <c r="G5" i="4" s="1"/>
  <c r="H5" i="4" s="1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H17" i="4" s="1"/>
  <c r="F18" i="4"/>
  <c r="G18" i="4" s="1"/>
  <c r="H18" i="4" s="1"/>
  <c r="F19" i="4"/>
  <c r="G19" i="4" s="1"/>
  <c r="H19" i="4" s="1"/>
  <c r="F20" i="4"/>
  <c r="G20" i="4" s="1"/>
  <c r="H20" i="4" s="1"/>
  <c r="F21" i="4"/>
  <c r="G21" i="4" s="1"/>
  <c r="H21" i="4" s="1"/>
  <c r="F22" i="4"/>
  <c r="G22" i="4" s="1"/>
  <c r="H22" i="4" s="1"/>
  <c r="F23" i="4"/>
  <c r="G23" i="4" s="1"/>
  <c r="H23" i="4" s="1"/>
  <c r="F24" i="4"/>
  <c r="G24" i="4" s="1"/>
  <c r="H24" i="4" s="1"/>
  <c r="F25" i="4"/>
  <c r="G25" i="4" s="1"/>
  <c r="H25" i="4" s="1"/>
  <c r="F26" i="4"/>
  <c r="G26" i="4" s="1"/>
  <c r="H26" i="4" s="1"/>
  <c r="F27" i="4"/>
  <c r="G27" i="4" s="1"/>
  <c r="H27" i="4" s="1"/>
  <c r="F28" i="4"/>
  <c r="G28" i="4" s="1"/>
  <c r="H28" i="4" s="1"/>
  <c r="F29" i="4"/>
  <c r="G29" i="4" s="1"/>
  <c r="H29" i="4" s="1"/>
  <c r="F30" i="4"/>
  <c r="G30" i="4" s="1"/>
  <c r="H30" i="4" s="1"/>
  <c r="F31" i="4"/>
  <c r="G31" i="4" s="1"/>
  <c r="H31" i="4" s="1"/>
  <c r="F32" i="4"/>
  <c r="G32" i="4" s="1"/>
  <c r="H32" i="4" s="1"/>
  <c r="F33" i="4"/>
  <c r="G33" i="4" s="1"/>
  <c r="H33" i="4" s="1"/>
  <c r="F34" i="4"/>
  <c r="G34" i="4" s="1"/>
  <c r="H34" i="4" s="1"/>
  <c r="F35" i="4"/>
  <c r="G35" i="4" s="1"/>
  <c r="H35" i="4" s="1"/>
  <c r="F36" i="4"/>
  <c r="G36" i="4" s="1"/>
  <c r="H36" i="4" s="1"/>
  <c r="F37" i="4"/>
  <c r="G37" i="4" s="1"/>
  <c r="H37" i="4" s="1"/>
  <c r="F38" i="4"/>
  <c r="G38" i="4" s="1"/>
  <c r="H38" i="4" s="1"/>
  <c r="F39" i="4"/>
  <c r="G39" i="4" s="1"/>
  <c r="H39" i="4" s="1"/>
  <c r="F40" i="4"/>
  <c r="G40" i="4" s="1"/>
  <c r="H40" i="4" s="1"/>
  <c r="F41" i="4"/>
  <c r="G41" i="4" s="1"/>
  <c r="H41" i="4" s="1"/>
  <c r="F42" i="4"/>
  <c r="G42" i="4" s="1"/>
  <c r="H42" i="4" s="1"/>
  <c r="F43" i="4"/>
  <c r="G43" i="4" s="1"/>
  <c r="H43" i="4" s="1"/>
  <c r="F44" i="4"/>
  <c r="G44" i="4" s="1"/>
  <c r="H44" i="4" s="1"/>
  <c r="F45" i="4"/>
  <c r="G45" i="4" s="1"/>
  <c r="H45" i="4" s="1"/>
  <c r="F46" i="4"/>
  <c r="G46" i="4" s="1"/>
  <c r="H46" i="4" s="1"/>
  <c r="F47" i="4"/>
  <c r="G47" i="4" s="1"/>
  <c r="H47" i="4" s="1"/>
  <c r="F48" i="4"/>
  <c r="G48" i="4" s="1"/>
  <c r="H48" i="4" s="1"/>
  <c r="F49" i="4"/>
  <c r="G49" i="4" s="1"/>
  <c r="H49" i="4" s="1"/>
  <c r="F50" i="4"/>
  <c r="G50" i="4" s="1"/>
  <c r="H50" i="4" s="1"/>
  <c r="F51" i="4"/>
  <c r="G51" i="4" s="1"/>
  <c r="H51" i="4" s="1"/>
  <c r="F52" i="4"/>
  <c r="G52" i="4" s="1"/>
  <c r="H52" i="4" s="1"/>
  <c r="F53" i="4"/>
  <c r="G53" i="4" s="1"/>
  <c r="H53" i="4" s="1"/>
  <c r="F54" i="4"/>
  <c r="G54" i="4" s="1"/>
  <c r="H54" i="4" s="1"/>
  <c r="F55" i="4"/>
  <c r="G55" i="4" s="1"/>
  <c r="H55" i="4" s="1"/>
  <c r="F56" i="4"/>
  <c r="G56" i="4" s="1"/>
  <c r="H56" i="4" s="1"/>
  <c r="F57" i="4"/>
  <c r="G57" i="4" s="1"/>
  <c r="H57" i="4" s="1"/>
  <c r="F58" i="4"/>
  <c r="G58" i="4" s="1"/>
  <c r="H58" i="4" s="1"/>
  <c r="F59" i="4"/>
  <c r="G59" i="4" s="1"/>
  <c r="H59" i="4" s="1"/>
  <c r="F60" i="4"/>
  <c r="G60" i="4" s="1"/>
  <c r="H60" i="4" s="1"/>
  <c r="F61" i="4"/>
  <c r="G61" i="4" s="1"/>
  <c r="H61" i="4" s="1"/>
  <c r="F62" i="4"/>
  <c r="G62" i="4" s="1"/>
  <c r="H62" i="4" s="1"/>
  <c r="F63" i="4"/>
  <c r="G63" i="4" s="1"/>
  <c r="H63" i="4" s="1"/>
  <c r="F64" i="4"/>
  <c r="G64" i="4" s="1"/>
  <c r="H64" i="4" s="1"/>
  <c r="F65" i="4"/>
  <c r="G65" i="4" s="1"/>
  <c r="H65" i="4" s="1"/>
  <c r="F66" i="4"/>
  <c r="G66" i="4" s="1"/>
  <c r="H66" i="4" s="1"/>
  <c r="F67" i="4"/>
  <c r="G67" i="4" s="1"/>
  <c r="H67" i="4" s="1"/>
  <c r="F68" i="4"/>
  <c r="G68" i="4" s="1"/>
  <c r="H68" i="4" s="1"/>
  <c r="F69" i="4"/>
  <c r="G69" i="4" s="1"/>
  <c r="H69" i="4" s="1"/>
  <c r="F70" i="4"/>
  <c r="G70" i="4" s="1"/>
  <c r="H70" i="4" s="1"/>
  <c r="F71" i="4"/>
  <c r="G71" i="4" s="1"/>
  <c r="H71" i="4" s="1"/>
  <c r="F72" i="4"/>
  <c r="G72" i="4" s="1"/>
  <c r="H72" i="4" s="1"/>
  <c r="F73" i="4"/>
  <c r="G73" i="4" s="1"/>
  <c r="H73" i="4" s="1"/>
  <c r="F74" i="4"/>
  <c r="G74" i="4" s="1"/>
  <c r="H74" i="4" s="1"/>
  <c r="F75" i="4"/>
  <c r="G75" i="4" s="1"/>
  <c r="H75" i="4" s="1"/>
  <c r="F76" i="4"/>
  <c r="G76" i="4" s="1"/>
  <c r="H76" i="4" s="1"/>
  <c r="F77" i="4"/>
  <c r="G77" i="4" s="1"/>
  <c r="H77" i="4" s="1"/>
  <c r="F78" i="4"/>
  <c r="G78" i="4" s="1"/>
  <c r="H78" i="4" s="1"/>
  <c r="F79" i="4"/>
  <c r="G79" i="4" s="1"/>
  <c r="H79" i="4" s="1"/>
  <c r="F80" i="4"/>
  <c r="G80" i="4" s="1"/>
  <c r="H80" i="4" s="1"/>
  <c r="F81" i="4"/>
  <c r="G81" i="4" s="1"/>
  <c r="H81" i="4" s="1"/>
  <c r="F82" i="4"/>
  <c r="G82" i="4" s="1"/>
  <c r="H82" i="4" s="1"/>
  <c r="F83" i="4"/>
  <c r="G83" i="4" s="1"/>
  <c r="H83" i="4" s="1"/>
  <c r="F84" i="4"/>
  <c r="G84" i="4" s="1"/>
  <c r="H84" i="4" s="1"/>
  <c r="F85" i="4"/>
  <c r="G85" i="4" s="1"/>
  <c r="H85" i="4" s="1"/>
  <c r="F86" i="4"/>
  <c r="G86" i="4" s="1"/>
  <c r="H86" i="4" s="1"/>
  <c r="F87" i="4"/>
  <c r="G87" i="4" s="1"/>
  <c r="H87" i="4" s="1"/>
  <c r="F88" i="4"/>
  <c r="G88" i="4" s="1"/>
  <c r="H88" i="4" s="1"/>
  <c r="F89" i="4"/>
  <c r="G89" i="4" s="1"/>
  <c r="H89" i="4" s="1"/>
  <c r="F90" i="4"/>
  <c r="G90" i="4" s="1"/>
  <c r="H90" i="4" s="1"/>
  <c r="F91" i="4"/>
  <c r="G91" i="4" s="1"/>
  <c r="H91" i="4" s="1"/>
  <c r="F92" i="4"/>
  <c r="G92" i="4" s="1"/>
  <c r="H92" i="4" s="1"/>
  <c r="F93" i="4"/>
  <c r="G93" i="4" s="1"/>
  <c r="H93" i="4" s="1"/>
  <c r="F94" i="4"/>
  <c r="G94" i="4" s="1"/>
  <c r="H94" i="4" s="1"/>
  <c r="F95" i="4"/>
  <c r="G95" i="4" s="1"/>
  <c r="H95" i="4" s="1"/>
  <c r="F96" i="4"/>
  <c r="G96" i="4" s="1"/>
  <c r="H96" i="4" s="1"/>
  <c r="F97" i="4"/>
  <c r="G97" i="4" s="1"/>
  <c r="H97" i="4" s="1"/>
  <c r="F98" i="4"/>
  <c r="G98" i="4" s="1"/>
  <c r="H98" i="4" s="1"/>
  <c r="F99" i="4"/>
  <c r="G99" i="4" s="1"/>
  <c r="H99" i="4" s="1"/>
  <c r="F100" i="4"/>
  <c r="G100" i="4" s="1"/>
  <c r="H100" i="4" s="1"/>
  <c r="F101" i="4"/>
  <c r="G101" i="4" s="1"/>
  <c r="H101" i="4" s="1"/>
  <c r="F102" i="4"/>
  <c r="G102" i="4" s="1"/>
  <c r="H102" i="4" s="1"/>
  <c r="F103" i="4"/>
  <c r="G103" i="4" s="1"/>
  <c r="H103" i="4" s="1"/>
  <c r="F104" i="4"/>
  <c r="G104" i="4" s="1"/>
  <c r="H104" i="4" s="1"/>
  <c r="F105" i="4"/>
  <c r="G105" i="4" s="1"/>
  <c r="H105" i="4" s="1"/>
  <c r="F106" i="4"/>
  <c r="G106" i="4" s="1"/>
  <c r="H106" i="4" s="1"/>
  <c r="F107" i="4"/>
  <c r="G107" i="4" s="1"/>
  <c r="H107" i="4" s="1"/>
  <c r="F108" i="4"/>
  <c r="G108" i="4" s="1"/>
  <c r="H108" i="4" s="1"/>
  <c r="F109" i="4"/>
  <c r="G109" i="4" s="1"/>
  <c r="H109" i="4" s="1"/>
  <c r="F110" i="4"/>
  <c r="G110" i="4" s="1"/>
  <c r="H110" i="4" s="1"/>
  <c r="F111" i="4"/>
  <c r="G111" i="4" s="1"/>
  <c r="H111" i="4" s="1"/>
  <c r="F112" i="4"/>
  <c r="G112" i="4" s="1"/>
  <c r="H112" i="4" s="1"/>
  <c r="F113" i="4"/>
  <c r="G113" i="4" s="1"/>
  <c r="H113" i="4" s="1"/>
  <c r="F114" i="4"/>
  <c r="G114" i="4" s="1"/>
  <c r="H114" i="4" s="1"/>
  <c r="F115" i="4"/>
  <c r="G115" i="4" s="1"/>
  <c r="H115" i="4" s="1"/>
  <c r="F116" i="4"/>
  <c r="G116" i="4" s="1"/>
  <c r="H116" i="4" s="1"/>
  <c r="F117" i="4"/>
  <c r="G117" i="4" s="1"/>
  <c r="H117" i="4" s="1"/>
  <c r="F118" i="4"/>
  <c r="G118" i="4" s="1"/>
  <c r="H118" i="4" s="1"/>
  <c r="F119" i="4"/>
  <c r="G119" i="4" s="1"/>
  <c r="H119" i="4" s="1"/>
  <c r="F120" i="4"/>
  <c r="G120" i="4" s="1"/>
  <c r="H120" i="4" s="1"/>
  <c r="F121" i="4"/>
  <c r="G121" i="4" s="1"/>
  <c r="H121" i="4" s="1"/>
  <c r="F122" i="4"/>
  <c r="G122" i="4" s="1"/>
  <c r="H122" i="4" s="1"/>
  <c r="F123" i="4"/>
  <c r="G123" i="4" s="1"/>
  <c r="H123" i="4" s="1"/>
  <c r="F124" i="4"/>
  <c r="G124" i="4" s="1"/>
  <c r="H124" i="4" s="1"/>
  <c r="F125" i="4"/>
  <c r="G125" i="4" s="1"/>
  <c r="H125" i="4" s="1"/>
  <c r="F126" i="4"/>
  <c r="G126" i="4" s="1"/>
  <c r="H126" i="4" s="1"/>
  <c r="F127" i="4"/>
  <c r="G127" i="4" s="1"/>
  <c r="H127" i="4" s="1"/>
  <c r="F128" i="4"/>
  <c r="G128" i="4" s="1"/>
  <c r="H128" i="4" s="1"/>
  <c r="F129" i="4"/>
  <c r="G129" i="4" s="1"/>
  <c r="H129" i="4" s="1"/>
  <c r="F130" i="4"/>
  <c r="G130" i="4" s="1"/>
  <c r="H130" i="4" s="1"/>
  <c r="F131" i="4"/>
  <c r="G131" i="4" s="1"/>
  <c r="H131" i="4" s="1"/>
  <c r="F132" i="4"/>
  <c r="G132" i="4" s="1"/>
  <c r="H132" i="4" s="1"/>
  <c r="F133" i="4"/>
  <c r="G133" i="4" s="1"/>
  <c r="H133" i="4" s="1"/>
  <c r="F134" i="4"/>
  <c r="G134" i="4" s="1"/>
  <c r="H134" i="4" s="1"/>
  <c r="F135" i="4"/>
  <c r="G135" i="4" s="1"/>
  <c r="H135" i="4" s="1"/>
  <c r="F136" i="4"/>
  <c r="G136" i="4" s="1"/>
  <c r="H136" i="4" s="1"/>
  <c r="F137" i="4"/>
  <c r="G137" i="4" s="1"/>
  <c r="H137" i="4" s="1"/>
  <c r="F138" i="4"/>
  <c r="G138" i="4" s="1"/>
  <c r="H138" i="4" s="1"/>
  <c r="F139" i="4"/>
  <c r="G139" i="4" s="1"/>
  <c r="H139" i="4" s="1"/>
  <c r="F140" i="4"/>
  <c r="G140" i="4" s="1"/>
  <c r="H140" i="4" s="1"/>
  <c r="F141" i="4"/>
  <c r="G141" i="4" s="1"/>
  <c r="H141" i="4" s="1"/>
  <c r="F142" i="4"/>
  <c r="G142" i="4" s="1"/>
  <c r="H142" i="4" s="1"/>
  <c r="F143" i="4"/>
  <c r="G143" i="4" s="1"/>
  <c r="H143" i="4" s="1"/>
  <c r="F144" i="4"/>
  <c r="G144" i="4" s="1"/>
  <c r="H144" i="4" s="1"/>
  <c r="F145" i="4"/>
  <c r="G145" i="4" s="1"/>
  <c r="H145" i="4" s="1"/>
  <c r="F146" i="4"/>
  <c r="G146" i="4" s="1"/>
  <c r="H146" i="4" s="1"/>
  <c r="F147" i="4"/>
  <c r="G147" i="4" s="1"/>
  <c r="H147" i="4" s="1"/>
  <c r="F148" i="4"/>
  <c r="G148" i="4" s="1"/>
  <c r="H148" i="4" s="1"/>
  <c r="F149" i="4"/>
  <c r="G149" i="4" s="1"/>
  <c r="H149" i="4" s="1"/>
  <c r="F150" i="4"/>
  <c r="G150" i="4" s="1"/>
  <c r="H150" i="4" s="1"/>
  <c r="F151" i="4"/>
  <c r="G151" i="4" s="1"/>
  <c r="H151" i="4" s="1"/>
  <c r="F152" i="4"/>
  <c r="G152" i="4" s="1"/>
  <c r="H152" i="4" s="1"/>
  <c r="F153" i="4"/>
  <c r="G153" i="4" s="1"/>
  <c r="H153" i="4" s="1"/>
  <c r="F154" i="4"/>
  <c r="G154" i="4" s="1"/>
  <c r="H154" i="4" s="1"/>
  <c r="F155" i="4"/>
  <c r="G155" i="4" s="1"/>
  <c r="H155" i="4" s="1"/>
  <c r="F156" i="4"/>
  <c r="G156" i="4" s="1"/>
  <c r="H156" i="4" s="1"/>
  <c r="F157" i="4"/>
  <c r="G157" i="4" s="1"/>
  <c r="H157" i="4" s="1"/>
  <c r="F158" i="4"/>
  <c r="G158" i="4" s="1"/>
  <c r="H158" i="4" s="1"/>
  <c r="F159" i="4"/>
  <c r="G159" i="4" s="1"/>
  <c r="H159" i="4" s="1"/>
  <c r="F160" i="4"/>
  <c r="G160" i="4" s="1"/>
  <c r="H160" i="4" s="1"/>
  <c r="F161" i="4"/>
  <c r="G161" i="4" s="1"/>
  <c r="H161" i="4" s="1"/>
  <c r="F162" i="4"/>
  <c r="G162" i="4" s="1"/>
  <c r="H162" i="4" s="1"/>
  <c r="F163" i="4"/>
  <c r="G163" i="4" s="1"/>
  <c r="H163" i="4" s="1"/>
  <c r="F164" i="4"/>
  <c r="G164" i="4" s="1"/>
  <c r="H164" i="4" s="1"/>
  <c r="F165" i="4"/>
  <c r="G165" i="4" s="1"/>
  <c r="H165" i="4" s="1"/>
  <c r="F166" i="4"/>
  <c r="G166" i="4" s="1"/>
  <c r="H166" i="4" s="1"/>
  <c r="F167" i="4"/>
  <c r="G167" i="4" s="1"/>
  <c r="H167" i="4" s="1"/>
  <c r="F168" i="4"/>
  <c r="G168" i="4" s="1"/>
  <c r="H168" i="4" s="1"/>
  <c r="F169" i="4"/>
  <c r="G169" i="4" s="1"/>
  <c r="H169" i="4" s="1"/>
  <c r="F170" i="4"/>
  <c r="G170" i="4" s="1"/>
  <c r="H170" i="4" s="1"/>
  <c r="F171" i="4"/>
  <c r="G171" i="4" s="1"/>
  <c r="H171" i="4" s="1"/>
  <c r="F172" i="4"/>
  <c r="G172" i="4" s="1"/>
  <c r="H172" i="4" s="1"/>
  <c r="F173" i="4"/>
  <c r="G173" i="4" s="1"/>
  <c r="H173" i="4" s="1"/>
  <c r="F174" i="4"/>
  <c r="G174" i="4" s="1"/>
  <c r="H174" i="4" s="1"/>
  <c r="F175" i="4"/>
  <c r="G175" i="4" s="1"/>
  <c r="H175" i="4" s="1"/>
  <c r="F176" i="4"/>
  <c r="G176" i="4" s="1"/>
  <c r="H176" i="4" s="1"/>
  <c r="F177" i="4"/>
  <c r="G177" i="4" s="1"/>
  <c r="H177" i="4" s="1"/>
  <c r="F178" i="4"/>
  <c r="G178" i="4" s="1"/>
  <c r="H178" i="4" s="1"/>
  <c r="F179" i="4"/>
  <c r="G179" i="4" s="1"/>
  <c r="H179" i="4" s="1"/>
  <c r="F180" i="4"/>
  <c r="G180" i="4" s="1"/>
  <c r="H180" i="4" s="1"/>
  <c r="F181" i="4"/>
  <c r="G181" i="4" s="1"/>
  <c r="H181" i="4" s="1"/>
  <c r="F182" i="4"/>
  <c r="G182" i="4" s="1"/>
  <c r="H182" i="4" s="1"/>
  <c r="F183" i="4"/>
  <c r="G183" i="4" s="1"/>
  <c r="H183" i="4" s="1"/>
  <c r="F184" i="4"/>
  <c r="G184" i="4" s="1"/>
  <c r="H184" i="4" s="1"/>
  <c r="F185" i="4"/>
  <c r="G185" i="4" s="1"/>
  <c r="H185" i="4" s="1"/>
  <c r="F186" i="4"/>
  <c r="G186" i="4" s="1"/>
  <c r="H186" i="4" s="1"/>
  <c r="F187" i="4"/>
  <c r="G187" i="4" s="1"/>
  <c r="H187" i="4" s="1"/>
  <c r="F188" i="4"/>
  <c r="G188" i="4" s="1"/>
  <c r="H188" i="4" s="1"/>
  <c r="F189" i="4"/>
  <c r="G189" i="4" s="1"/>
  <c r="H189" i="4" s="1"/>
  <c r="F190" i="4"/>
  <c r="G190" i="4" s="1"/>
  <c r="H190" i="4" s="1"/>
  <c r="F191" i="4"/>
  <c r="G191" i="4" s="1"/>
  <c r="H191" i="4" s="1"/>
  <c r="F192" i="4"/>
  <c r="G192" i="4" s="1"/>
  <c r="H192" i="4" s="1"/>
  <c r="F193" i="4"/>
  <c r="G193" i="4" s="1"/>
  <c r="H193" i="4" s="1"/>
  <c r="F194" i="4"/>
  <c r="G194" i="4" s="1"/>
  <c r="H194" i="4" s="1"/>
  <c r="F195" i="4"/>
  <c r="G195" i="4" s="1"/>
  <c r="H195" i="4" s="1"/>
  <c r="F196" i="4"/>
  <c r="G196" i="4" s="1"/>
  <c r="H196" i="4" s="1"/>
  <c r="F197" i="4"/>
  <c r="G197" i="4" s="1"/>
  <c r="H197" i="4" s="1"/>
  <c r="F198" i="4"/>
  <c r="G198" i="4" s="1"/>
  <c r="H198" i="4" s="1"/>
  <c r="F199" i="4"/>
  <c r="G199" i="4" s="1"/>
  <c r="H199" i="4" s="1"/>
  <c r="F200" i="4"/>
  <c r="G200" i="4" s="1"/>
  <c r="H200" i="4" s="1"/>
  <c r="F201" i="4"/>
  <c r="G201" i="4" s="1"/>
  <c r="H201" i="4" s="1"/>
  <c r="F202" i="4"/>
  <c r="G202" i="4" s="1"/>
  <c r="H202" i="4" s="1"/>
  <c r="F203" i="4"/>
  <c r="G203" i="4" s="1"/>
  <c r="H203" i="4" s="1"/>
  <c r="F204" i="4"/>
  <c r="G204" i="4" s="1"/>
  <c r="H204" i="4" s="1"/>
  <c r="F205" i="4"/>
  <c r="G205" i="4" s="1"/>
  <c r="H205" i="4" s="1"/>
  <c r="F206" i="4"/>
  <c r="G206" i="4" s="1"/>
  <c r="H206" i="4" s="1"/>
  <c r="F207" i="4"/>
  <c r="G207" i="4" s="1"/>
  <c r="H207" i="4" s="1"/>
  <c r="F208" i="4"/>
  <c r="G208" i="4" s="1"/>
  <c r="H208" i="4" s="1"/>
  <c r="F209" i="4"/>
  <c r="G209" i="4" s="1"/>
  <c r="H209" i="4" s="1"/>
  <c r="F210" i="4"/>
  <c r="G210" i="4" s="1"/>
  <c r="H210" i="4" s="1"/>
  <c r="F211" i="4"/>
  <c r="G211" i="4" s="1"/>
  <c r="H211" i="4" s="1"/>
  <c r="F212" i="4"/>
  <c r="G212" i="4" s="1"/>
  <c r="H212" i="4" s="1"/>
  <c r="F213" i="4"/>
  <c r="G213" i="4" s="1"/>
  <c r="H213" i="4" s="1"/>
  <c r="F214" i="4"/>
  <c r="G214" i="4" s="1"/>
  <c r="H214" i="4" s="1"/>
  <c r="F215" i="4"/>
  <c r="G215" i="4" s="1"/>
  <c r="H215" i="4" s="1"/>
  <c r="F216" i="4"/>
  <c r="G216" i="4" s="1"/>
  <c r="H216" i="4" s="1"/>
  <c r="F217" i="4"/>
  <c r="G217" i="4" s="1"/>
  <c r="H217" i="4" s="1"/>
  <c r="F218" i="4"/>
  <c r="G218" i="4" s="1"/>
  <c r="H218" i="4" s="1"/>
  <c r="F219" i="4"/>
  <c r="G219" i="4" s="1"/>
  <c r="H219" i="4" s="1"/>
  <c r="F220" i="4"/>
  <c r="G220" i="4" s="1"/>
  <c r="H220" i="4" s="1"/>
  <c r="F221" i="4"/>
  <c r="G221" i="4" s="1"/>
  <c r="H221" i="4" s="1"/>
  <c r="F222" i="4"/>
  <c r="G222" i="4" s="1"/>
  <c r="H222" i="4" s="1"/>
  <c r="F223" i="4"/>
  <c r="G223" i="4" s="1"/>
  <c r="H223" i="4" s="1"/>
  <c r="F224" i="4"/>
  <c r="G224" i="4" s="1"/>
  <c r="H224" i="4" s="1"/>
  <c r="F225" i="4"/>
  <c r="G225" i="4" s="1"/>
  <c r="H225" i="4" s="1"/>
  <c r="F226" i="4"/>
  <c r="G226" i="4" s="1"/>
  <c r="H226" i="4" s="1"/>
  <c r="F227" i="4"/>
  <c r="G227" i="4" s="1"/>
  <c r="H227" i="4" s="1"/>
  <c r="F228" i="4"/>
  <c r="G228" i="4" s="1"/>
  <c r="H228" i="4" s="1"/>
  <c r="F229" i="4"/>
  <c r="G229" i="4" s="1"/>
  <c r="H229" i="4" s="1"/>
  <c r="F230" i="4"/>
  <c r="G230" i="4" s="1"/>
  <c r="H230" i="4" s="1"/>
  <c r="F231" i="4"/>
  <c r="G231" i="4" s="1"/>
  <c r="H231" i="4" s="1"/>
  <c r="F232" i="4"/>
  <c r="G232" i="4" s="1"/>
  <c r="H232" i="4" s="1"/>
  <c r="F233" i="4"/>
  <c r="G233" i="4" s="1"/>
  <c r="H233" i="4" s="1"/>
  <c r="F234" i="4"/>
  <c r="G234" i="4" s="1"/>
  <c r="H234" i="4" s="1"/>
  <c r="F235" i="4"/>
  <c r="G235" i="4" s="1"/>
  <c r="H235" i="4" s="1"/>
  <c r="F236" i="4"/>
  <c r="G236" i="4" s="1"/>
  <c r="H236" i="4" s="1"/>
  <c r="F237" i="4"/>
  <c r="G237" i="4" s="1"/>
  <c r="H237" i="4" s="1"/>
  <c r="F238" i="4"/>
  <c r="G238" i="4" s="1"/>
  <c r="H238" i="4" s="1"/>
  <c r="F239" i="4"/>
  <c r="G239" i="4" s="1"/>
  <c r="H239" i="4" s="1"/>
  <c r="F240" i="4"/>
  <c r="G240" i="4" s="1"/>
  <c r="H240" i="4" s="1"/>
  <c r="F241" i="4"/>
  <c r="G241" i="4" s="1"/>
  <c r="H241" i="4" s="1"/>
  <c r="F242" i="4"/>
  <c r="G242" i="4" s="1"/>
  <c r="H242" i="4" s="1"/>
  <c r="F243" i="4"/>
  <c r="G243" i="4" s="1"/>
  <c r="H243" i="4" s="1"/>
  <c r="F244" i="4"/>
  <c r="G244" i="4" s="1"/>
  <c r="H244" i="4" s="1"/>
  <c r="F245" i="4"/>
  <c r="G245" i="4" s="1"/>
  <c r="H245" i="4" s="1"/>
  <c r="F246" i="4"/>
  <c r="G246" i="4" s="1"/>
  <c r="H246" i="4" s="1"/>
  <c r="F247" i="4"/>
  <c r="G247" i="4" s="1"/>
  <c r="H247" i="4" s="1"/>
  <c r="F248" i="4"/>
  <c r="G248" i="4" s="1"/>
  <c r="H248" i="4" s="1"/>
  <c r="F249" i="4"/>
  <c r="G249" i="4" s="1"/>
  <c r="H249" i="4" s="1"/>
  <c r="F250" i="4"/>
  <c r="G250" i="4" s="1"/>
  <c r="H250" i="4" s="1"/>
  <c r="F251" i="4"/>
  <c r="G251" i="4" s="1"/>
  <c r="H251" i="4" s="1"/>
  <c r="F252" i="4"/>
  <c r="G252" i="4" s="1"/>
  <c r="H252" i="4" s="1"/>
  <c r="F253" i="4"/>
  <c r="G253" i="4" s="1"/>
  <c r="H253" i="4" s="1"/>
  <c r="F254" i="4"/>
  <c r="G254" i="4" s="1"/>
  <c r="H254" i="4" s="1"/>
  <c r="F255" i="4"/>
  <c r="G255" i="4" s="1"/>
  <c r="H255" i="4" s="1"/>
  <c r="F256" i="4"/>
  <c r="G256" i="4" s="1"/>
  <c r="H256" i="4" s="1"/>
  <c r="F257" i="4"/>
  <c r="G257" i="4" s="1"/>
  <c r="H257" i="4" s="1"/>
  <c r="F258" i="4"/>
  <c r="G258" i="4" s="1"/>
  <c r="H258" i="4" s="1"/>
  <c r="F259" i="4"/>
  <c r="G259" i="4" s="1"/>
  <c r="H259" i="4" s="1"/>
  <c r="F260" i="4"/>
  <c r="G260" i="4" s="1"/>
  <c r="H260" i="4" s="1"/>
  <c r="F261" i="4"/>
  <c r="G261" i="4" s="1"/>
  <c r="H261" i="4" s="1"/>
  <c r="F262" i="4"/>
  <c r="G262" i="4" s="1"/>
  <c r="H262" i="4" s="1"/>
  <c r="F263" i="4"/>
  <c r="G263" i="4" s="1"/>
  <c r="H263" i="4" s="1"/>
  <c r="F264" i="4"/>
  <c r="G264" i="4" s="1"/>
  <c r="H264" i="4" s="1"/>
  <c r="F265" i="4"/>
  <c r="G265" i="4" s="1"/>
  <c r="H265" i="4" s="1"/>
  <c r="F266" i="4"/>
  <c r="G266" i="4" s="1"/>
  <c r="H266" i="4" s="1"/>
  <c r="F267" i="4"/>
  <c r="G267" i="4" s="1"/>
  <c r="H267" i="4" s="1"/>
  <c r="F268" i="4"/>
  <c r="G268" i="4" s="1"/>
  <c r="H268" i="4" s="1"/>
  <c r="F269" i="4"/>
  <c r="G269" i="4" s="1"/>
  <c r="H269" i="4" s="1"/>
  <c r="F270" i="4"/>
  <c r="G270" i="4" s="1"/>
  <c r="H270" i="4" s="1"/>
  <c r="F271" i="4"/>
  <c r="G271" i="4" s="1"/>
  <c r="H271" i="4" s="1"/>
  <c r="F272" i="4"/>
  <c r="G272" i="4" s="1"/>
  <c r="H272" i="4" s="1"/>
  <c r="F273" i="4"/>
  <c r="G273" i="4" s="1"/>
  <c r="H273" i="4" s="1"/>
  <c r="F274" i="4"/>
  <c r="G274" i="4" s="1"/>
  <c r="H274" i="4" s="1"/>
  <c r="F275" i="4"/>
  <c r="G275" i="4" s="1"/>
  <c r="H275" i="4" s="1"/>
  <c r="F276" i="4"/>
  <c r="G276" i="4" s="1"/>
  <c r="H276" i="4" s="1"/>
  <c r="F277" i="4"/>
  <c r="G277" i="4" s="1"/>
  <c r="H277" i="4" s="1"/>
  <c r="F278" i="4"/>
  <c r="G278" i="4" s="1"/>
  <c r="H278" i="4" s="1"/>
  <c r="F279" i="4"/>
  <c r="G279" i="4" s="1"/>
  <c r="H279" i="4" s="1"/>
  <c r="F280" i="4"/>
  <c r="G280" i="4" s="1"/>
  <c r="H280" i="4" s="1"/>
  <c r="F281" i="4"/>
  <c r="G281" i="4" s="1"/>
  <c r="H281" i="4" s="1"/>
  <c r="F282" i="4"/>
  <c r="G282" i="4" s="1"/>
  <c r="H282" i="4" s="1"/>
  <c r="F283" i="4"/>
  <c r="G283" i="4" s="1"/>
  <c r="H283" i="4" s="1"/>
  <c r="F284" i="4"/>
  <c r="G284" i="4" s="1"/>
  <c r="H284" i="4" s="1"/>
  <c r="F285" i="4"/>
  <c r="G285" i="4" s="1"/>
  <c r="H285" i="4" s="1"/>
  <c r="F286" i="4"/>
  <c r="G286" i="4" s="1"/>
  <c r="H286" i="4" s="1"/>
  <c r="F287" i="4"/>
  <c r="G287" i="4" s="1"/>
  <c r="H287" i="4" s="1"/>
  <c r="F288" i="4"/>
  <c r="G288" i="4" s="1"/>
  <c r="H288" i="4" s="1"/>
  <c r="F289" i="4"/>
  <c r="G289" i="4" s="1"/>
  <c r="H289" i="4" s="1"/>
  <c r="F290" i="4"/>
  <c r="G290" i="4" s="1"/>
  <c r="H290" i="4" s="1"/>
  <c r="F291" i="4"/>
  <c r="G291" i="4" s="1"/>
  <c r="H291" i="4" s="1"/>
  <c r="F292" i="4"/>
  <c r="G292" i="4" s="1"/>
  <c r="H292" i="4" s="1"/>
  <c r="F293" i="4"/>
  <c r="G293" i="4" s="1"/>
  <c r="H293" i="4" s="1"/>
  <c r="F294" i="4"/>
  <c r="G294" i="4" s="1"/>
  <c r="H294" i="4" s="1"/>
  <c r="F295" i="4"/>
  <c r="G295" i="4" s="1"/>
  <c r="H295" i="4" s="1"/>
  <c r="F296" i="4"/>
  <c r="G296" i="4" s="1"/>
  <c r="H296" i="4" s="1"/>
  <c r="F297" i="4"/>
  <c r="G297" i="4" s="1"/>
  <c r="H297" i="4" s="1"/>
  <c r="F298" i="4"/>
  <c r="G298" i="4" s="1"/>
  <c r="H298" i="4" s="1"/>
  <c r="F299" i="4"/>
  <c r="G299" i="4" s="1"/>
  <c r="H299" i="4" s="1"/>
  <c r="F300" i="4"/>
  <c r="G300" i="4" s="1"/>
  <c r="H300" i="4" s="1"/>
  <c r="F301" i="4"/>
  <c r="G301" i="4" s="1"/>
  <c r="H301" i="4" s="1"/>
  <c r="F302" i="4"/>
  <c r="G302" i="4" s="1"/>
  <c r="H302" i="4" s="1"/>
  <c r="F303" i="4"/>
  <c r="G303" i="4" s="1"/>
  <c r="H303" i="4" s="1"/>
  <c r="F304" i="4"/>
  <c r="G304" i="4" s="1"/>
  <c r="H304" i="4" s="1"/>
  <c r="F305" i="4"/>
  <c r="G305" i="4" s="1"/>
  <c r="H305" i="4" s="1"/>
  <c r="F306" i="4"/>
  <c r="G306" i="4" s="1"/>
  <c r="H306" i="4" s="1"/>
  <c r="F307" i="4"/>
  <c r="G307" i="4" s="1"/>
  <c r="H307" i="4" s="1"/>
  <c r="F308" i="4"/>
  <c r="G308" i="4" s="1"/>
  <c r="H308" i="4" s="1"/>
  <c r="F309" i="4"/>
  <c r="G309" i="4" s="1"/>
  <c r="H309" i="4" s="1"/>
  <c r="F310" i="4"/>
  <c r="G310" i="4" s="1"/>
  <c r="H310" i="4" s="1"/>
  <c r="F311" i="4"/>
  <c r="G311" i="4" s="1"/>
  <c r="H311" i="4" s="1"/>
  <c r="F312" i="4"/>
  <c r="G312" i="4" s="1"/>
  <c r="H312" i="4" s="1"/>
  <c r="F313" i="4"/>
  <c r="G313" i="4" s="1"/>
  <c r="H313" i="4" s="1"/>
  <c r="F314" i="4"/>
  <c r="G314" i="4" s="1"/>
  <c r="H314" i="4" s="1"/>
  <c r="F315" i="4"/>
  <c r="G315" i="4" s="1"/>
  <c r="H315" i="4" s="1"/>
  <c r="F316" i="4"/>
  <c r="G316" i="4" s="1"/>
  <c r="H316" i="4" s="1"/>
  <c r="F317" i="4"/>
  <c r="G317" i="4" s="1"/>
  <c r="H317" i="4" s="1"/>
  <c r="F318" i="4"/>
  <c r="G318" i="4" s="1"/>
  <c r="H318" i="4" s="1"/>
  <c r="F319" i="4"/>
  <c r="G319" i="4" s="1"/>
  <c r="H319" i="4" s="1"/>
  <c r="F320" i="4"/>
  <c r="G320" i="4" s="1"/>
  <c r="H320" i="4" s="1"/>
  <c r="F321" i="4"/>
  <c r="G321" i="4" s="1"/>
  <c r="H321" i="4" s="1"/>
  <c r="F322" i="4"/>
  <c r="G322" i="4" s="1"/>
  <c r="H322" i="4" s="1"/>
  <c r="F323" i="4"/>
  <c r="G323" i="4" s="1"/>
  <c r="H323" i="4" s="1"/>
  <c r="F324" i="4"/>
  <c r="G324" i="4" s="1"/>
  <c r="H324" i="4" s="1"/>
  <c r="F325" i="4"/>
  <c r="G325" i="4" s="1"/>
  <c r="H325" i="4" s="1"/>
  <c r="F326" i="4"/>
  <c r="G326" i="4" s="1"/>
  <c r="H326" i="4" s="1"/>
  <c r="F327" i="4"/>
  <c r="G327" i="4" s="1"/>
  <c r="H327" i="4" s="1"/>
  <c r="F328" i="4"/>
  <c r="G328" i="4" s="1"/>
  <c r="H328" i="4" s="1"/>
  <c r="F329" i="4"/>
  <c r="G329" i="4" s="1"/>
  <c r="H329" i="4" s="1"/>
  <c r="F330" i="4"/>
  <c r="G330" i="4" s="1"/>
  <c r="H330" i="4" s="1"/>
  <c r="F331" i="4"/>
  <c r="G331" i="4" s="1"/>
  <c r="H331" i="4" s="1"/>
  <c r="F332" i="4"/>
  <c r="G332" i="4" s="1"/>
  <c r="H332" i="4" s="1"/>
  <c r="F333" i="4"/>
  <c r="G333" i="4" s="1"/>
  <c r="H333" i="4" s="1"/>
  <c r="F334" i="4"/>
  <c r="G334" i="4" s="1"/>
  <c r="H334" i="4" s="1"/>
  <c r="F335" i="4"/>
  <c r="G335" i="4" s="1"/>
  <c r="H335" i="4" s="1"/>
  <c r="F336" i="4"/>
  <c r="G336" i="4" s="1"/>
  <c r="H336" i="4" s="1"/>
  <c r="F337" i="4"/>
  <c r="G337" i="4" s="1"/>
  <c r="H337" i="4" s="1"/>
  <c r="F338" i="4"/>
  <c r="G338" i="4" s="1"/>
  <c r="H338" i="4" s="1"/>
  <c r="F339" i="4"/>
  <c r="G339" i="4" s="1"/>
  <c r="H339" i="4" s="1"/>
  <c r="F340" i="4"/>
  <c r="G340" i="4" s="1"/>
  <c r="H340" i="4" s="1"/>
  <c r="F341" i="4"/>
  <c r="G341" i="4" s="1"/>
  <c r="H341" i="4" s="1"/>
  <c r="F342" i="4"/>
  <c r="G342" i="4" s="1"/>
  <c r="H342" i="4" s="1"/>
  <c r="F343" i="4"/>
  <c r="G343" i="4" s="1"/>
  <c r="H343" i="4" s="1"/>
  <c r="F344" i="4"/>
  <c r="G344" i="4" s="1"/>
  <c r="H344" i="4" s="1"/>
  <c r="F345" i="4"/>
  <c r="G345" i="4" s="1"/>
  <c r="H345" i="4" s="1"/>
  <c r="F346" i="4"/>
  <c r="G346" i="4" s="1"/>
  <c r="H346" i="4" s="1"/>
  <c r="F347" i="4"/>
  <c r="G347" i="4" s="1"/>
  <c r="H347" i="4" s="1"/>
  <c r="F348" i="4"/>
  <c r="G348" i="4" s="1"/>
  <c r="H348" i="4" s="1"/>
  <c r="F349" i="4"/>
  <c r="G349" i="4" s="1"/>
  <c r="H349" i="4" s="1"/>
  <c r="F350" i="4"/>
  <c r="G350" i="4" s="1"/>
  <c r="H350" i="4" s="1"/>
  <c r="F351" i="4"/>
  <c r="G351" i="4" s="1"/>
  <c r="H351" i="4" s="1"/>
  <c r="F352" i="4"/>
  <c r="G352" i="4" s="1"/>
  <c r="H352" i="4" s="1"/>
  <c r="F353" i="4"/>
  <c r="G353" i="4" s="1"/>
  <c r="H353" i="4" s="1"/>
  <c r="F354" i="4"/>
  <c r="G354" i="4" s="1"/>
  <c r="H354" i="4" s="1"/>
  <c r="F355" i="4"/>
  <c r="G355" i="4" s="1"/>
  <c r="H355" i="4" s="1"/>
  <c r="F356" i="4"/>
  <c r="G356" i="4" s="1"/>
  <c r="H356" i="4" s="1"/>
  <c r="F357" i="4"/>
  <c r="G357" i="4" s="1"/>
  <c r="H357" i="4" s="1"/>
  <c r="F358" i="4"/>
  <c r="G358" i="4" s="1"/>
  <c r="H358" i="4" s="1"/>
  <c r="F359" i="4"/>
  <c r="G359" i="4" s="1"/>
  <c r="H359" i="4" s="1"/>
  <c r="F360" i="4"/>
  <c r="G360" i="4" s="1"/>
  <c r="H360" i="4" s="1"/>
  <c r="F361" i="4"/>
  <c r="G361" i="4" s="1"/>
  <c r="H361" i="4" s="1"/>
  <c r="F362" i="4"/>
  <c r="G362" i="4" s="1"/>
  <c r="H362" i="4" s="1"/>
  <c r="F363" i="4"/>
  <c r="G363" i="4" s="1"/>
  <c r="H363" i="4" s="1"/>
  <c r="F364" i="4"/>
  <c r="G364" i="4" s="1"/>
  <c r="H364" i="4" s="1"/>
  <c r="F365" i="4"/>
  <c r="G365" i="4" s="1"/>
  <c r="H365" i="4" s="1"/>
  <c r="F366" i="4"/>
  <c r="G366" i="4" s="1"/>
  <c r="H366" i="4" s="1"/>
  <c r="F367" i="4"/>
  <c r="G367" i="4" s="1"/>
  <c r="H367" i="4" s="1"/>
  <c r="F368" i="4"/>
  <c r="G368" i="4" s="1"/>
  <c r="H368" i="4" s="1"/>
  <c r="F369" i="4"/>
  <c r="G369" i="4" s="1"/>
  <c r="H369" i="4" s="1"/>
  <c r="F370" i="4"/>
  <c r="G370" i="4" s="1"/>
  <c r="H370" i="4" s="1"/>
  <c r="F371" i="4"/>
  <c r="G371" i="4" s="1"/>
  <c r="H371" i="4" s="1"/>
  <c r="F372" i="4"/>
  <c r="G372" i="4" s="1"/>
  <c r="H372" i="4" s="1"/>
  <c r="F373" i="4"/>
  <c r="G373" i="4" s="1"/>
  <c r="H373" i="4" s="1"/>
  <c r="F374" i="4"/>
  <c r="G374" i="4" s="1"/>
  <c r="H374" i="4" s="1"/>
  <c r="F375" i="4"/>
  <c r="G375" i="4" s="1"/>
  <c r="H375" i="4" s="1"/>
  <c r="F376" i="4"/>
  <c r="G376" i="4" s="1"/>
  <c r="H376" i="4" s="1"/>
  <c r="F377" i="4"/>
  <c r="G377" i="4" s="1"/>
  <c r="H377" i="4" s="1"/>
  <c r="F378" i="4"/>
  <c r="G378" i="4" s="1"/>
  <c r="H378" i="4" s="1"/>
  <c r="F379" i="4"/>
  <c r="G379" i="4" s="1"/>
  <c r="H379" i="4" s="1"/>
  <c r="F380" i="4"/>
  <c r="G380" i="4" s="1"/>
  <c r="H380" i="4" s="1"/>
  <c r="F381" i="4"/>
  <c r="G381" i="4" s="1"/>
  <c r="H381" i="4" s="1"/>
  <c r="F382" i="4"/>
  <c r="G382" i="4" s="1"/>
  <c r="H382" i="4" s="1"/>
  <c r="F383" i="4"/>
  <c r="G383" i="4" s="1"/>
  <c r="H383" i="4" s="1"/>
  <c r="F384" i="4"/>
  <c r="G384" i="4" s="1"/>
  <c r="H384" i="4" s="1"/>
  <c r="F385" i="4"/>
  <c r="G385" i="4" s="1"/>
  <c r="H385" i="4" s="1"/>
  <c r="F386" i="4"/>
  <c r="G386" i="4" s="1"/>
  <c r="H386" i="4" s="1"/>
  <c r="F387" i="4"/>
  <c r="G387" i="4" s="1"/>
  <c r="H387" i="4" s="1"/>
  <c r="F388" i="4"/>
  <c r="G388" i="4" s="1"/>
  <c r="H388" i="4" s="1"/>
  <c r="F389" i="4"/>
  <c r="G389" i="4" s="1"/>
  <c r="H389" i="4" s="1"/>
  <c r="F390" i="4"/>
  <c r="G390" i="4" s="1"/>
  <c r="H390" i="4" s="1"/>
  <c r="F391" i="4"/>
  <c r="G391" i="4" s="1"/>
  <c r="H391" i="4" s="1"/>
  <c r="F392" i="4"/>
  <c r="G392" i="4" s="1"/>
  <c r="H392" i="4" s="1"/>
  <c r="F393" i="4"/>
  <c r="G393" i="4" s="1"/>
  <c r="H393" i="4" s="1"/>
  <c r="F394" i="4"/>
  <c r="G394" i="4" s="1"/>
  <c r="H394" i="4" s="1"/>
  <c r="F395" i="4"/>
  <c r="G395" i="4" s="1"/>
  <c r="H395" i="4" s="1"/>
  <c r="F396" i="4"/>
  <c r="G396" i="4" s="1"/>
  <c r="H396" i="4" s="1"/>
  <c r="F397" i="4"/>
  <c r="G397" i="4" s="1"/>
  <c r="H397" i="4" s="1"/>
  <c r="F398" i="4"/>
  <c r="G398" i="4" s="1"/>
  <c r="H398" i="4" s="1"/>
  <c r="F399" i="4"/>
  <c r="G399" i="4" s="1"/>
  <c r="H399" i="4" s="1"/>
  <c r="F400" i="4"/>
  <c r="G400" i="4" s="1"/>
  <c r="H400" i="4" s="1"/>
  <c r="F401" i="4"/>
  <c r="G401" i="4" s="1"/>
  <c r="H401" i="4" s="1"/>
  <c r="F402" i="4"/>
  <c r="G402" i="4" s="1"/>
  <c r="H402" i="4" s="1"/>
  <c r="F403" i="4"/>
  <c r="G403" i="4" s="1"/>
  <c r="H403" i="4" s="1"/>
  <c r="F404" i="4"/>
  <c r="G404" i="4" s="1"/>
  <c r="H404" i="4" s="1"/>
  <c r="F405" i="4"/>
  <c r="G405" i="4" s="1"/>
  <c r="H405" i="4" s="1"/>
  <c r="F406" i="4"/>
  <c r="G406" i="4" s="1"/>
  <c r="H406" i="4" s="1"/>
  <c r="F407" i="4"/>
  <c r="G407" i="4" s="1"/>
  <c r="H407" i="4" s="1"/>
  <c r="F408" i="4"/>
  <c r="G408" i="4" s="1"/>
  <c r="H408" i="4" s="1"/>
  <c r="F409" i="4"/>
  <c r="G409" i="4" s="1"/>
  <c r="H409" i="4" s="1"/>
  <c r="F410" i="4"/>
  <c r="G410" i="4" s="1"/>
  <c r="H410" i="4" s="1"/>
  <c r="F411" i="4"/>
  <c r="G411" i="4" s="1"/>
  <c r="H411" i="4" s="1"/>
  <c r="F412" i="4"/>
  <c r="G412" i="4" s="1"/>
  <c r="H412" i="4" s="1"/>
  <c r="F413" i="4"/>
  <c r="G413" i="4" s="1"/>
  <c r="H413" i="4" s="1"/>
  <c r="F414" i="4"/>
  <c r="G414" i="4" s="1"/>
  <c r="H414" i="4" s="1"/>
  <c r="F415" i="4"/>
  <c r="G415" i="4" s="1"/>
  <c r="H415" i="4" s="1"/>
  <c r="F416" i="4"/>
  <c r="G416" i="4" s="1"/>
  <c r="H416" i="4" s="1"/>
  <c r="F417" i="4"/>
  <c r="G417" i="4" s="1"/>
  <c r="H417" i="4" s="1"/>
  <c r="F418" i="4"/>
  <c r="G418" i="4" s="1"/>
  <c r="H418" i="4" s="1"/>
  <c r="F419" i="4"/>
  <c r="G419" i="4" s="1"/>
  <c r="H419" i="4" s="1"/>
  <c r="F420" i="4"/>
  <c r="G420" i="4" s="1"/>
  <c r="H420" i="4" s="1"/>
  <c r="F421" i="4"/>
  <c r="G421" i="4" s="1"/>
  <c r="H421" i="4" s="1"/>
  <c r="F422" i="4"/>
  <c r="G422" i="4" s="1"/>
  <c r="H422" i="4" s="1"/>
  <c r="F423" i="4"/>
  <c r="G423" i="4" s="1"/>
  <c r="H423" i="4" s="1"/>
  <c r="F424" i="4"/>
  <c r="G424" i="4" s="1"/>
  <c r="H424" i="4" s="1"/>
  <c r="F425" i="4"/>
  <c r="G425" i="4" s="1"/>
  <c r="H425" i="4" s="1"/>
  <c r="F426" i="4"/>
  <c r="G426" i="4" s="1"/>
  <c r="H426" i="4" s="1"/>
  <c r="F427" i="4"/>
  <c r="G427" i="4" s="1"/>
  <c r="H427" i="4" s="1"/>
  <c r="F428" i="4"/>
  <c r="G428" i="4" s="1"/>
  <c r="H428" i="4" s="1"/>
  <c r="F429" i="4"/>
  <c r="G429" i="4" s="1"/>
  <c r="H429" i="4" s="1"/>
  <c r="F430" i="4"/>
  <c r="G430" i="4" s="1"/>
  <c r="H430" i="4" s="1"/>
  <c r="F431" i="4"/>
  <c r="G431" i="4" s="1"/>
  <c r="H431" i="4" s="1"/>
  <c r="F432" i="4"/>
  <c r="G432" i="4" s="1"/>
  <c r="H432" i="4" s="1"/>
  <c r="F433" i="4"/>
  <c r="G433" i="4" s="1"/>
  <c r="H433" i="4" s="1"/>
  <c r="F434" i="4"/>
  <c r="G434" i="4" s="1"/>
  <c r="H434" i="4" s="1"/>
  <c r="F435" i="4"/>
  <c r="G435" i="4" s="1"/>
  <c r="H435" i="4" s="1"/>
  <c r="F436" i="4"/>
  <c r="G436" i="4" s="1"/>
  <c r="H436" i="4" s="1"/>
  <c r="F437" i="4"/>
  <c r="G437" i="4" s="1"/>
  <c r="H437" i="4" s="1"/>
  <c r="F438" i="4"/>
  <c r="G438" i="4" s="1"/>
  <c r="H438" i="4" s="1"/>
  <c r="F439" i="4"/>
  <c r="G439" i="4" s="1"/>
  <c r="H439" i="4" s="1"/>
  <c r="F440" i="4"/>
  <c r="G440" i="4" s="1"/>
  <c r="H440" i="4" s="1"/>
  <c r="F441" i="4"/>
  <c r="G441" i="4" s="1"/>
  <c r="H441" i="4" s="1"/>
  <c r="F442" i="4"/>
  <c r="G442" i="4" s="1"/>
  <c r="H442" i="4" s="1"/>
  <c r="F443" i="4"/>
  <c r="G443" i="4" s="1"/>
  <c r="H443" i="4" s="1"/>
  <c r="F444" i="4"/>
  <c r="G444" i="4" s="1"/>
  <c r="H444" i="4" s="1"/>
  <c r="F445" i="4"/>
  <c r="G445" i="4" s="1"/>
  <c r="H445" i="4" s="1"/>
  <c r="F446" i="4"/>
  <c r="G446" i="4" s="1"/>
  <c r="H446" i="4" s="1"/>
  <c r="F447" i="4"/>
  <c r="G447" i="4" s="1"/>
  <c r="H447" i="4" s="1"/>
  <c r="F448" i="4"/>
  <c r="G448" i="4" s="1"/>
  <c r="H448" i="4" s="1"/>
  <c r="F449" i="4"/>
  <c r="G449" i="4" s="1"/>
  <c r="H449" i="4" s="1"/>
  <c r="F450" i="4"/>
  <c r="G450" i="4" s="1"/>
  <c r="H450" i="4" s="1"/>
  <c r="F451" i="4"/>
  <c r="G451" i="4" s="1"/>
  <c r="H451" i="4" s="1"/>
  <c r="F452" i="4"/>
  <c r="G452" i="4" s="1"/>
  <c r="H452" i="4" s="1"/>
  <c r="F453" i="4"/>
  <c r="G453" i="4" s="1"/>
  <c r="H453" i="4" s="1"/>
  <c r="F454" i="4"/>
  <c r="G454" i="4" s="1"/>
  <c r="H454" i="4" s="1"/>
  <c r="F455" i="4"/>
  <c r="G455" i="4" s="1"/>
  <c r="H455" i="4" s="1"/>
  <c r="F456" i="4"/>
  <c r="G456" i="4" s="1"/>
  <c r="H456" i="4" s="1"/>
  <c r="F457" i="4"/>
  <c r="G457" i="4" s="1"/>
  <c r="H457" i="4" s="1"/>
  <c r="F458" i="4"/>
  <c r="G458" i="4" s="1"/>
  <c r="H458" i="4" s="1"/>
  <c r="F459" i="4"/>
  <c r="G459" i="4" s="1"/>
  <c r="H459" i="4" s="1"/>
  <c r="F460" i="4"/>
  <c r="G460" i="4" s="1"/>
  <c r="H460" i="4" s="1"/>
  <c r="F461" i="4"/>
  <c r="G461" i="4" s="1"/>
  <c r="H461" i="4" s="1"/>
  <c r="F462" i="4"/>
  <c r="G462" i="4" s="1"/>
  <c r="H462" i="4" s="1"/>
  <c r="F463" i="4"/>
  <c r="G463" i="4" s="1"/>
  <c r="H463" i="4" s="1"/>
  <c r="F464" i="4"/>
  <c r="G464" i="4" s="1"/>
  <c r="H464" i="4" s="1"/>
  <c r="F465" i="4"/>
  <c r="G465" i="4" s="1"/>
  <c r="H465" i="4" s="1"/>
  <c r="F466" i="4"/>
  <c r="G466" i="4" s="1"/>
  <c r="H466" i="4" s="1"/>
  <c r="F467" i="4"/>
  <c r="G467" i="4" s="1"/>
  <c r="H467" i="4" s="1"/>
  <c r="F468" i="4"/>
  <c r="G468" i="4" s="1"/>
  <c r="H468" i="4" s="1"/>
  <c r="F469" i="4"/>
  <c r="G469" i="4" s="1"/>
  <c r="H469" i="4" s="1"/>
  <c r="F470" i="4"/>
  <c r="G470" i="4" s="1"/>
  <c r="H470" i="4" s="1"/>
  <c r="F471" i="4"/>
  <c r="G471" i="4" s="1"/>
  <c r="H471" i="4" s="1"/>
  <c r="F472" i="4"/>
  <c r="G472" i="4" s="1"/>
  <c r="H472" i="4" s="1"/>
  <c r="F473" i="4"/>
  <c r="G473" i="4" s="1"/>
  <c r="H473" i="4" s="1"/>
  <c r="F474" i="4"/>
  <c r="G474" i="4" s="1"/>
  <c r="H474" i="4" s="1"/>
  <c r="F475" i="4"/>
  <c r="G475" i="4" s="1"/>
  <c r="H475" i="4" s="1"/>
  <c r="F476" i="4"/>
  <c r="G476" i="4" s="1"/>
  <c r="H476" i="4" s="1"/>
  <c r="F477" i="4"/>
  <c r="G477" i="4" s="1"/>
  <c r="H477" i="4" s="1"/>
  <c r="F478" i="4"/>
  <c r="G478" i="4" s="1"/>
  <c r="H478" i="4" s="1"/>
  <c r="F479" i="4"/>
  <c r="G479" i="4" s="1"/>
  <c r="H479" i="4" s="1"/>
  <c r="F480" i="4"/>
  <c r="G480" i="4" s="1"/>
  <c r="H480" i="4" s="1"/>
  <c r="F481" i="4"/>
  <c r="G481" i="4" s="1"/>
  <c r="H481" i="4" s="1"/>
  <c r="F482" i="4"/>
  <c r="G482" i="4" s="1"/>
  <c r="H482" i="4" s="1"/>
  <c r="F483" i="4"/>
  <c r="G483" i="4" s="1"/>
  <c r="H483" i="4" s="1"/>
  <c r="F484" i="4"/>
  <c r="G484" i="4" s="1"/>
  <c r="H484" i="4" s="1"/>
  <c r="F485" i="4"/>
  <c r="G485" i="4" s="1"/>
  <c r="H485" i="4" s="1"/>
  <c r="F486" i="4"/>
  <c r="G486" i="4" s="1"/>
  <c r="H486" i="4" s="1"/>
  <c r="F487" i="4"/>
  <c r="G487" i="4" s="1"/>
  <c r="H487" i="4" s="1"/>
  <c r="F488" i="4"/>
  <c r="G488" i="4" s="1"/>
  <c r="H488" i="4" s="1"/>
  <c r="F489" i="4"/>
  <c r="G489" i="4" s="1"/>
  <c r="H489" i="4" s="1"/>
  <c r="F490" i="4"/>
  <c r="G490" i="4" s="1"/>
  <c r="H490" i="4" s="1"/>
  <c r="F491" i="4"/>
  <c r="G491" i="4" s="1"/>
  <c r="H491" i="4" s="1"/>
  <c r="F492" i="4"/>
  <c r="G492" i="4" s="1"/>
  <c r="H492" i="4" s="1"/>
  <c r="F493" i="4"/>
  <c r="G493" i="4" s="1"/>
  <c r="H493" i="4" s="1"/>
  <c r="F494" i="4"/>
  <c r="G494" i="4" s="1"/>
  <c r="H494" i="4" s="1"/>
  <c r="F495" i="4"/>
  <c r="G495" i="4" s="1"/>
  <c r="H495" i="4" s="1"/>
  <c r="F496" i="4"/>
  <c r="G496" i="4" s="1"/>
  <c r="H496" i="4" s="1"/>
  <c r="F497" i="4"/>
  <c r="G497" i="4" s="1"/>
  <c r="H497" i="4" s="1"/>
  <c r="F498" i="4"/>
  <c r="G498" i="4" s="1"/>
  <c r="H498" i="4" s="1"/>
  <c r="F499" i="4"/>
  <c r="G499" i="4" s="1"/>
  <c r="H499" i="4" s="1"/>
  <c r="F500" i="4"/>
  <c r="G500" i="4" s="1"/>
  <c r="H500" i="4" s="1"/>
  <c r="F501" i="4"/>
  <c r="G501" i="4" s="1"/>
  <c r="H501" i="4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58" i="4"/>
  <c r="L158" i="4" s="1"/>
  <c r="K159" i="4"/>
  <c r="L159" i="4" s="1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 s="1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L190" i="4" s="1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K199" i="4"/>
  <c r="L199" i="4" s="1"/>
  <c r="K200" i="4"/>
  <c r="L200" i="4" s="1"/>
  <c r="K201" i="4"/>
  <c r="L201" i="4" s="1"/>
  <c r="K202" i="4"/>
  <c r="L202" i="4" s="1"/>
  <c r="K203" i="4"/>
  <c r="L203" i="4" s="1"/>
  <c r="K204" i="4"/>
  <c r="L204" i="4" s="1"/>
  <c r="K205" i="4"/>
  <c r="L205" i="4" s="1"/>
  <c r="K206" i="4"/>
  <c r="L206" i="4" s="1"/>
  <c r="K207" i="4"/>
  <c r="L207" i="4" s="1"/>
  <c r="K208" i="4"/>
  <c r="L208" i="4" s="1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 s="1"/>
  <c r="K215" i="4"/>
  <c r="L215" i="4" s="1"/>
  <c r="K216" i="4"/>
  <c r="L216" i="4" s="1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 s="1"/>
  <c r="K223" i="4"/>
  <c r="L223" i="4" s="1"/>
  <c r="K224" i="4"/>
  <c r="L224" i="4" s="1"/>
  <c r="K225" i="4"/>
  <c r="L225" i="4" s="1"/>
  <c r="K226" i="4"/>
  <c r="L226" i="4" s="1"/>
  <c r="K227" i="4"/>
  <c r="L227" i="4" s="1"/>
  <c r="K228" i="4"/>
  <c r="L228" i="4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 s="1"/>
  <c r="K253" i="4"/>
  <c r="L253" i="4" s="1"/>
  <c r="K254" i="4"/>
  <c r="L254" i="4" s="1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 s="1"/>
  <c r="K266" i="4"/>
  <c r="L266" i="4" s="1"/>
  <c r="K267" i="4"/>
  <c r="L267" i="4" s="1"/>
  <c r="K268" i="4"/>
  <c r="L268" i="4" s="1"/>
  <c r="K269" i="4"/>
  <c r="L269" i="4" s="1"/>
  <c r="K270" i="4"/>
  <c r="L270" i="4" s="1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 s="1"/>
  <c r="K277" i="4"/>
  <c r="L277" i="4" s="1"/>
  <c r="K278" i="4"/>
  <c r="L278" i="4" s="1"/>
  <c r="K279" i="4"/>
  <c r="L279" i="4" s="1"/>
  <c r="K280" i="4"/>
  <c r="L280" i="4" s="1"/>
  <c r="K281" i="4"/>
  <c r="L281" i="4" s="1"/>
  <c r="K282" i="4"/>
  <c r="L282" i="4" s="1"/>
  <c r="K283" i="4"/>
  <c r="L283" i="4" s="1"/>
  <c r="K284" i="4"/>
  <c r="L284" i="4" s="1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 s="1"/>
  <c r="K292" i="4"/>
  <c r="L292" i="4" s="1"/>
  <c r="K293" i="4"/>
  <c r="L293" i="4" s="1"/>
  <c r="K294" i="4"/>
  <c r="L294" i="4" s="1"/>
  <c r="K295" i="4"/>
  <c r="L295" i="4" s="1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 s="1"/>
  <c r="K302" i="4"/>
  <c r="L302" i="4" s="1"/>
  <c r="K303" i="4"/>
  <c r="L303" i="4" s="1"/>
  <c r="K304" i="4"/>
  <c r="L304" i="4" s="1"/>
  <c r="K305" i="4"/>
  <c r="L305" i="4" s="1"/>
  <c r="K306" i="4"/>
  <c r="L306" i="4" s="1"/>
  <c r="K307" i="4"/>
  <c r="L307" i="4" s="1"/>
  <c r="K308" i="4"/>
  <c r="L308" i="4" s="1"/>
  <c r="K309" i="4"/>
  <c r="L309" i="4" s="1"/>
  <c r="K310" i="4"/>
  <c r="L310" i="4" s="1"/>
  <c r="K311" i="4"/>
  <c r="L311" i="4" s="1"/>
  <c r="K312" i="4"/>
  <c r="L312" i="4" s="1"/>
  <c r="K313" i="4"/>
  <c r="L313" i="4" s="1"/>
  <c r="K314" i="4"/>
  <c r="L314" i="4" s="1"/>
  <c r="K315" i="4"/>
  <c r="L315" i="4" s="1"/>
  <c r="K316" i="4"/>
  <c r="L316" i="4" s="1"/>
  <c r="K317" i="4"/>
  <c r="L317" i="4" s="1"/>
  <c r="K318" i="4"/>
  <c r="L318" i="4" s="1"/>
  <c r="K319" i="4"/>
  <c r="L319" i="4" s="1"/>
  <c r="K320" i="4"/>
  <c r="L320" i="4" s="1"/>
  <c r="K321" i="4"/>
  <c r="L321" i="4" s="1"/>
  <c r="K322" i="4"/>
  <c r="L322" i="4" s="1"/>
  <c r="K323" i="4"/>
  <c r="L323" i="4" s="1"/>
  <c r="K324" i="4"/>
  <c r="L324" i="4" s="1"/>
  <c r="K325" i="4"/>
  <c r="L325" i="4" s="1"/>
  <c r="K326" i="4"/>
  <c r="L326" i="4" s="1"/>
  <c r="K327" i="4"/>
  <c r="L327" i="4" s="1"/>
  <c r="K328" i="4"/>
  <c r="L328" i="4" s="1"/>
  <c r="K329" i="4"/>
  <c r="L329" i="4" s="1"/>
  <c r="K330" i="4"/>
  <c r="L330" i="4" s="1"/>
  <c r="K331" i="4"/>
  <c r="L331" i="4" s="1"/>
  <c r="K332" i="4"/>
  <c r="L332" i="4" s="1"/>
  <c r="K333" i="4"/>
  <c r="L333" i="4" s="1"/>
  <c r="K334" i="4"/>
  <c r="L334" i="4" s="1"/>
  <c r="K335" i="4"/>
  <c r="L335" i="4" s="1"/>
  <c r="K336" i="4"/>
  <c r="L336" i="4" s="1"/>
  <c r="K337" i="4"/>
  <c r="L337" i="4" s="1"/>
  <c r="K338" i="4"/>
  <c r="L338" i="4" s="1"/>
  <c r="K339" i="4"/>
  <c r="L339" i="4" s="1"/>
  <c r="K340" i="4"/>
  <c r="L340" i="4" s="1"/>
  <c r="K341" i="4"/>
  <c r="L341" i="4" s="1"/>
  <c r="K342" i="4"/>
  <c r="L342" i="4" s="1"/>
  <c r="K343" i="4"/>
  <c r="L343" i="4" s="1"/>
  <c r="K344" i="4"/>
  <c r="L344" i="4" s="1"/>
  <c r="K345" i="4"/>
  <c r="L345" i="4" s="1"/>
  <c r="K346" i="4"/>
  <c r="L346" i="4" s="1"/>
  <c r="K347" i="4"/>
  <c r="L347" i="4" s="1"/>
  <c r="K348" i="4"/>
  <c r="L348" i="4" s="1"/>
  <c r="K349" i="4"/>
  <c r="L349" i="4" s="1"/>
  <c r="K350" i="4"/>
  <c r="L350" i="4" s="1"/>
  <c r="K351" i="4"/>
  <c r="L351" i="4" s="1"/>
  <c r="K352" i="4"/>
  <c r="L352" i="4" s="1"/>
  <c r="K353" i="4"/>
  <c r="L353" i="4" s="1"/>
  <c r="K354" i="4"/>
  <c r="L354" i="4" s="1"/>
  <c r="K355" i="4"/>
  <c r="L355" i="4" s="1"/>
  <c r="K356" i="4"/>
  <c r="L356" i="4" s="1"/>
  <c r="K357" i="4"/>
  <c r="L357" i="4" s="1"/>
  <c r="K358" i="4"/>
  <c r="L358" i="4" s="1"/>
  <c r="K359" i="4"/>
  <c r="L359" i="4" s="1"/>
  <c r="K360" i="4"/>
  <c r="L360" i="4" s="1"/>
  <c r="K361" i="4"/>
  <c r="L361" i="4" s="1"/>
  <c r="K362" i="4"/>
  <c r="L362" i="4" s="1"/>
  <c r="K363" i="4"/>
  <c r="L363" i="4" s="1"/>
  <c r="K364" i="4"/>
  <c r="L364" i="4" s="1"/>
  <c r="K365" i="4"/>
  <c r="L365" i="4" s="1"/>
  <c r="K366" i="4"/>
  <c r="L366" i="4" s="1"/>
  <c r="K367" i="4"/>
  <c r="L367" i="4" s="1"/>
  <c r="K368" i="4"/>
  <c r="L368" i="4" s="1"/>
  <c r="K369" i="4"/>
  <c r="L369" i="4" s="1"/>
  <c r="K370" i="4"/>
  <c r="L370" i="4" s="1"/>
  <c r="K371" i="4"/>
  <c r="L371" i="4" s="1"/>
  <c r="K372" i="4"/>
  <c r="L372" i="4" s="1"/>
  <c r="K373" i="4"/>
  <c r="L373" i="4" s="1"/>
  <c r="K374" i="4"/>
  <c r="L374" i="4" s="1"/>
  <c r="K375" i="4"/>
  <c r="L375" i="4" s="1"/>
  <c r="K376" i="4"/>
  <c r="L376" i="4" s="1"/>
  <c r="K377" i="4"/>
  <c r="L377" i="4" s="1"/>
  <c r="K378" i="4"/>
  <c r="L378" i="4" s="1"/>
  <c r="K379" i="4"/>
  <c r="L379" i="4" s="1"/>
  <c r="K380" i="4"/>
  <c r="L380" i="4" s="1"/>
  <c r="K381" i="4"/>
  <c r="L381" i="4" s="1"/>
  <c r="K382" i="4"/>
  <c r="L382" i="4" s="1"/>
  <c r="K383" i="4"/>
  <c r="L383" i="4" s="1"/>
  <c r="K384" i="4"/>
  <c r="L384" i="4" s="1"/>
  <c r="K385" i="4"/>
  <c r="L385" i="4" s="1"/>
  <c r="K386" i="4"/>
  <c r="L386" i="4" s="1"/>
  <c r="K387" i="4"/>
  <c r="L387" i="4" s="1"/>
  <c r="K388" i="4"/>
  <c r="L388" i="4" s="1"/>
  <c r="K389" i="4"/>
  <c r="L389" i="4" s="1"/>
  <c r="K390" i="4"/>
  <c r="L390" i="4" s="1"/>
  <c r="K391" i="4"/>
  <c r="L391" i="4" s="1"/>
  <c r="K392" i="4"/>
  <c r="L392" i="4" s="1"/>
  <c r="K393" i="4"/>
  <c r="L393" i="4" s="1"/>
  <c r="K394" i="4"/>
  <c r="L394" i="4" s="1"/>
  <c r="K395" i="4"/>
  <c r="L395" i="4" s="1"/>
  <c r="K396" i="4"/>
  <c r="L396" i="4" s="1"/>
  <c r="K397" i="4"/>
  <c r="L397" i="4" s="1"/>
  <c r="K398" i="4"/>
  <c r="L398" i="4" s="1"/>
  <c r="K399" i="4"/>
  <c r="L399" i="4" s="1"/>
  <c r="K400" i="4"/>
  <c r="L400" i="4" s="1"/>
  <c r="K401" i="4"/>
  <c r="L401" i="4" s="1"/>
  <c r="K402" i="4"/>
  <c r="L402" i="4" s="1"/>
  <c r="K403" i="4"/>
  <c r="L403" i="4" s="1"/>
  <c r="K404" i="4"/>
  <c r="L404" i="4" s="1"/>
  <c r="K405" i="4"/>
  <c r="L405" i="4" s="1"/>
  <c r="K406" i="4"/>
  <c r="L406" i="4" s="1"/>
  <c r="K407" i="4"/>
  <c r="L407" i="4" s="1"/>
  <c r="K408" i="4"/>
  <c r="L408" i="4" s="1"/>
  <c r="K409" i="4"/>
  <c r="L409" i="4" s="1"/>
  <c r="K410" i="4"/>
  <c r="L410" i="4" s="1"/>
  <c r="K411" i="4"/>
  <c r="L411" i="4" s="1"/>
  <c r="K412" i="4"/>
  <c r="L412" i="4" s="1"/>
  <c r="K413" i="4"/>
  <c r="L413" i="4" s="1"/>
  <c r="K414" i="4"/>
  <c r="L414" i="4" s="1"/>
  <c r="K415" i="4"/>
  <c r="L415" i="4" s="1"/>
  <c r="K416" i="4"/>
  <c r="L416" i="4" s="1"/>
  <c r="K417" i="4"/>
  <c r="L417" i="4" s="1"/>
  <c r="K418" i="4"/>
  <c r="L418" i="4" s="1"/>
  <c r="K419" i="4"/>
  <c r="L419" i="4" s="1"/>
  <c r="K420" i="4"/>
  <c r="L420" i="4" s="1"/>
  <c r="K421" i="4"/>
  <c r="L421" i="4" s="1"/>
  <c r="K422" i="4"/>
  <c r="L422" i="4" s="1"/>
  <c r="K423" i="4"/>
  <c r="L423" i="4" s="1"/>
  <c r="K424" i="4"/>
  <c r="L424" i="4" s="1"/>
  <c r="K425" i="4"/>
  <c r="L425" i="4" s="1"/>
  <c r="K426" i="4"/>
  <c r="L426" i="4" s="1"/>
  <c r="K427" i="4"/>
  <c r="L427" i="4" s="1"/>
  <c r="K428" i="4"/>
  <c r="L428" i="4" s="1"/>
  <c r="K429" i="4"/>
  <c r="L429" i="4" s="1"/>
  <c r="K430" i="4"/>
  <c r="L430" i="4" s="1"/>
  <c r="K431" i="4"/>
  <c r="L431" i="4" s="1"/>
  <c r="K432" i="4"/>
  <c r="L432" i="4" s="1"/>
  <c r="K433" i="4"/>
  <c r="L433" i="4" s="1"/>
  <c r="K434" i="4"/>
  <c r="L434" i="4" s="1"/>
  <c r="K435" i="4"/>
  <c r="L435" i="4" s="1"/>
  <c r="K436" i="4"/>
  <c r="L436" i="4" s="1"/>
  <c r="K437" i="4"/>
  <c r="L437" i="4" s="1"/>
  <c r="K438" i="4"/>
  <c r="L438" i="4" s="1"/>
  <c r="K439" i="4"/>
  <c r="L439" i="4" s="1"/>
  <c r="K440" i="4"/>
  <c r="L440" i="4" s="1"/>
  <c r="K441" i="4"/>
  <c r="L441" i="4" s="1"/>
  <c r="K442" i="4"/>
  <c r="L442" i="4" s="1"/>
  <c r="K443" i="4"/>
  <c r="L443" i="4" s="1"/>
  <c r="K444" i="4"/>
  <c r="L444" i="4" s="1"/>
  <c r="K445" i="4"/>
  <c r="L445" i="4" s="1"/>
  <c r="K446" i="4"/>
  <c r="L446" i="4" s="1"/>
  <c r="K447" i="4"/>
  <c r="L447" i="4" s="1"/>
  <c r="K448" i="4"/>
  <c r="L448" i="4" s="1"/>
  <c r="K449" i="4"/>
  <c r="L449" i="4" s="1"/>
  <c r="K450" i="4"/>
  <c r="L450" i="4" s="1"/>
  <c r="K451" i="4"/>
  <c r="L451" i="4" s="1"/>
  <c r="K452" i="4"/>
  <c r="L452" i="4" s="1"/>
  <c r="K453" i="4"/>
  <c r="L453" i="4" s="1"/>
  <c r="K454" i="4"/>
  <c r="L454" i="4" s="1"/>
  <c r="K455" i="4"/>
  <c r="L455" i="4" s="1"/>
  <c r="K456" i="4"/>
  <c r="L456" i="4" s="1"/>
  <c r="K457" i="4"/>
  <c r="L457" i="4" s="1"/>
  <c r="K458" i="4"/>
  <c r="L458" i="4" s="1"/>
  <c r="K459" i="4"/>
  <c r="L459" i="4" s="1"/>
  <c r="K460" i="4"/>
  <c r="L460" i="4" s="1"/>
  <c r="K461" i="4"/>
  <c r="L461" i="4" s="1"/>
  <c r="K462" i="4"/>
  <c r="L462" i="4" s="1"/>
  <c r="K463" i="4"/>
  <c r="L463" i="4" s="1"/>
  <c r="K464" i="4"/>
  <c r="L464" i="4" s="1"/>
  <c r="K465" i="4"/>
  <c r="L465" i="4" s="1"/>
  <c r="K466" i="4"/>
  <c r="L466" i="4" s="1"/>
  <c r="K467" i="4"/>
  <c r="L467" i="4" s="1"/>
  <c r="K468" i="4"/>
  <c r="L468" i="4" s="1"/>
  <c r="K469" i="4"/>
  <c r="L469" i="4" s="1"/>
  <c r="K470" i="4"/>
  <c r="L470" i="4" s="1"/>
  <c r="K471" i="4"/>
  <c r="L471" i="4" s="1"/>
  <c r="K472" i="4"/>
  <c r="L472" i="4" s="1"/>
  <c r="K473" i="4"/>
  <c r="L473" i="4" s="1"/>
  <c r="K474" i="4"/>
  <c r="L474" i="4" s="1"/>
  <c r="K475" i="4"/>
  <c r="L475" i="4" s="1"/>
  <c r="K476" i="4"/>
  <c r="L476" i="4" s="1"/>
  <c r="K477" i="4"/>
  <c r="L477" i="4" s="1"/>
  <c r="K478" i="4"/>
  <c r="L478" i="4" s="1"/>
  <c r="K479" i="4"/>
  <c r="L479" i="4" s="1"/>
  <c r="K480" i="4"/>
  <c r="L480" i="4" s="1"/>
  <c r="K481" i="4"/>
  <c r="L481" i="4" s="1"/>
  <c r="K482" i="4"/>
  <c r="L482" i="4" s="1"/>
  <c r="K483" i="4"/>
  <c r="L483" i="4" s="1"/>
  <c r="K484" i="4"/>
  <c r="L484" i="4" s="1"/>
  <c r="K485" i="4"/>
  <c r="L485" i="4" s="1"/>
  <c r="K486" i="4"/>
  <c r="L486" i="4" s="1"/>
  <c r="K487" i="4"/>
  <c r="L487" i="4" s="1"/>
  <c r="K488" i="4"/>
  <c r="L488" i="4" s="1"/>
  <c r="K489" i="4"/>
  <c r="L489" i="4" s="1"/>
  <c r="K490" i="4"/>
  <c r="L490" i="4" s="1"/>
  <c r="K491" i="4"/>
  <c r="L491" i="4" s="1"/>
  <c r="K492" i="4"/>
  <c r="L492" i="4" s="1"/>
  <c r="K493" i="4"/>
  <c r="L493" i="4" s="1"/>
  <c r="K494" i="4"/>
  <c r="L494" i="4" s="1"/>
  <c r="K495" i="4"/>
  <c r="L495" i="4" s="1"/>
  <c r="K496" i="4"/>
  <c r="L496" i="4" s="1"/>
  <c r="K497" i="4"/>
  <c r="L497" i="4" s="1"/>
  <c r="K498" i="4"/>
  <c r="L498" i="4" s="1"/>
  <c r="K499" i="4"/>
  <c r="L499" i="4" s="1"/>
  <c r="K500" i="4"/>
  <c r="L500" i="4" s="1"/>
  <c r="K501" i="4"/>
  <c r="L501" i="4" s="1"/>
  <c r="K2" i="4"/>
  <c r="L2" i="4" s="1"/>
  <c r="F2" i="4"/>
  <c r="G2" i="4" s="1"/>
  <c r="H2" i="4" s="1"/>
  <c r="D2" i="4"/>
  <c r="E2" i="4" s="1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2" i="4"/>
  <c r="C2" i="4" s="1"/>
  <c r="A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3" i="4"/>
  <c r="D12" i="1"/>
  <c r="D11" i="1"/>
  <c r="D8" i="1"/>
  <c r="D9" i="1"/>
  <c r="D10" i="1"/>
  <c r="D7" i="1"/>
  <c r="D6" i="1"/>
  <c r="D5" i="1"/>
  <c r="D3" i="1"/>
  <c r="D4" i="1"/>
  <c r="D2" i="1"/>
  <c r="M290" i="4" l="1"/>
  <c r="N290" i="4" s="1"/>
  <c r="M481" i="4"/>
  <c r="N481" i="4" s="1"/>
  <c r="M321" i="4"/>
  <c r="N321" i="4" s="1"/>
  <c r="M193" i="4"/>
  <c r="N193" i="4" s="1"/>
  <c r="M496" i="4"/>
  <c r="N496" i="4" s="1"/>
  <c r="M488" i="4"/>
  <c r="N488" i="4" s="1"/>
  <c r="M480" i="4"/>
  <c r="N480" i="4" s="1"/>
  <c r="M472" i="4"/>
  <c r="N472" i="4" s="1"/>
  <c r="M464" i="4"/>
  <c r="N464" i="4" s="1"/>
  <c r="M456" i="4"/>
  <c r="N456" i="4" s="1"/>
  <c r="M448" i="4"/>
  <c r="N448" i="4" s="1"/>
  <c r="M440" i="4"/>
  <c r="N440" i="4" s="1"/>
  <c r="M432" i="4"/>
  <c r="N432" i="4" s="1"/>
  <c r="M424" i="4"/>
  <c r="N424" i="4" s="1"/>
  <c r="M416" i="4"/>
  <c r="N416" i="4" s="1"/>
  <c r="M408" i="4"/>
  <c r="N408" i="4" s="1"/>
  <c r="M400" i="4"/>
  <c r="N400" i="4" s="1"/>
  <c r="M392" i="4"/>
  <c r="N392" i="4" s="1"/>
  <c r="M384" i="4"/>
  <c r="N384" i="4" s="1"/>
  <c r="M376" i="4"/>
  <c r="N376" i="4" s="1"/>
  <c r="M368" i="4"/>
  <c r="N368" i="4" s="1"/>
  <c r="M360" i="4"/>
  <c r="N360" i="4" s="1"/>
  <c r="M352" i="4"/>
  <c r="N352" i="4" s="1"/>
  <c r="M344" i="4"/>
  <c r="N344" i="4" s="1"/>
  <c r="M336" i="4"/>
  <c r="N336" i="4" s="1"/>
  <c r="M328" i="4"/>
  <c r="N328" i="4" s="1"/>
  <c r="M320" i="4"/>
  <c r="N320" i="4" s="1"/>
  <c r="M312" i="4"/>
  <c r="N312" i="4" s="1"/>
  <c r="M304" i="4"/>
  <c r="N304" i="4" s="1"/>
  <c r="M296" i="4"/>
  <c r="N296" i="4" s="1"/>
  <c r="M288" i="4"/>
  <c r="N288" i="4" s="1"/>
  <c r="M280" i="4"/>
  <c r="N280" i="4" s="1"/>
  <c r="M272" i="4"/>
  <c r="N272" i="4" s="1"/>
  <c r="M264" i="4"/>
  <c r="N264" i="4" s="1"/>
  <c r="M256" i="4"/>
  <c r="N256" i="4" s="1"/>
  <c r="M248" i="4"/>
  <c r="N248" i="4" s="1"/>
  <c r="M240" i="4"/>
  <c r="N240" i="4" s="1"/>
  <c r="M232" i="4"/>
  <c r="N232" i="4" s="1"/>
  <c r="M224" i="4"/>
  <c r="N224" i="4" s="1"/>
  <c r="M216" i="4"/>
  <c r="N216" i="4" s="1"/>
  <c r="M208" i="4"/>
  <c r="N208" i="4" s="1"/>
  <c r="M200" i="4"/>
  <c r="N200" i="4" s="1"/>
  <c r="M192" i="4"/>
  <c r="N192" i="4" s="1"/>
  <c r="M184" i="4"/>
  <c r="N184" i="4" s="1"/>
  <c r="M176" i="4"/>
  <c r="N176" i="4" s="1"/>
  <c r="M168" i="4"/>
  <c r="N168" i="4" s="1"/>
  <c r="M160" i="4"/>
  <c r="N160" i="4" s="1"/>
  <c r="M152" i="4"/>
  <c r="N152" i="4" s="1"/>
  <c r="M144" i="4"/>
  <c r="N144" i="4" s="1"/>
  <c r="M136" i="4"/>
  <c r="N136" i="4" s="1"/>
  <c r="M128" i="4"/>
  <c r="N128" i="4" s="1"/>
  <c r="M120" i="4"/>
  <c r="N120" i="4" s="1"/>
  <c r="M112" i="4"/>
  <c r="N112" i="4" s="1"/>
  <c r="M104" i="4"/>
  <c r="N104" i="4" s="1"/>
  <c r="M96" i="4"/>
  <c r="N96" i="4" s="1"/>
  <c r="M88" i="4"/>
  <c r="N88" i="4" s="1"/>
  <c r="M80" i="4"/>
  <c r="N80" i="4" s="1"/>
  <c r="M72" i="4"/>
  <c r="N72" i="4" s="1"/>
  <c r="M64" i="4"/>
  <c r="N64" i="4" s="1"/>
  <c r="M56" i="4"/>
  <c r="N56" i="4" s="1"/>
  <c r="M48" i="4"/>
  <c r="N48" i="4" s="1"/>
  <c r="M40" i="4"/>
  <c r="N40" i="4" s="1"/>
  <c r="M32" i="4"/>
  <c r="N32" i="4" s="1"/>
  <c r="M24" i="4"/>
  <c r="N24" i="4" s="1"/>
  <c r="M16" i="4"/>
  <c r="N16" i="4" s="1"/>
  <c r="M8" i="4"/>
  <c r="N8" i="4" s="1"/>
  <c r="M442" i="4"/>
  <c r="N442" i="4" s="1"/>
  <c r="M410" i="4"/>
  <c r="N410" i="4" s="1"/>
  <c r="M314" i="4"/>
  <c r="N314" i="4" s="1"/>
  <c r="M218" i="4"/>
  <c r="N218" i="4" s="1"/>
  <c r="M495" i="4"/>
  <c r="N495" i="4" s="1"/>
  <c r="M479" i="4"/>
  <c r="N479" i="4" s="1"/>
  <c r="M471" i="4"/>
  <c r="N471" i="4" s="1"/>
  <c r="M463" i="4"/>
  <c r="N463" i="4" s="1"/>
  <c r="M455" i="4"/>
  <c r="N455" i="4" s="1"/>
  <c r="M447" i="4"/>
  <c r="N447" i="4" s="1"/>
  <c r="M439" i="4"/>
  <c r="N439" i="4" s="1"/>
  <c r="M431" i="4"/>
  <c r="N431" i="4" s="1"/>
  <c r="M423" i="4"/>
  <c r="N423" i="4" s="1"/>
  <c r="M407" i="4"/>
  <c r="N407" i="4" s="1"/>
  <c r="M399" i="4"/>
  <c r="N399" i="4" s="1"/>
  <c r="M391" i="4"/>
  <c r="N391" i="4" s="1"/>
  <c r="M383" i="4"/>
  <c r="N383" i="4" s="1"/>
  <c r="M375" i="4"/>
  <c r="N375" i="4" s="1"/>
  <c r="M367" i="4"/>
  <c r="N367" i="4" s="1"/>
  <c r="M359" i="4"/>
  <c r="N359" i="4" s="1"/>
  <c r="M351" i="4"/>
  <c r="N351" i="4" s="1"/>
  <c r="M343" i="4"/>
  <c r="N343" i="4" s="1"/>
  <c r="M335" i="4"/>
  <c r="N335" i="4" s="1"/>
  <c r="M327" i="4"/>
  <c r="N327" i="4" s="1"/>
  <c r="M319" i="4"/>
  <c r="N319" i="4" s="1"/>
  <c r="M303" i="4"/>
  <c r="N303" i="4" s="1"/>
  <c r="M295" i="4"/>
  <c r="N295" i="4" s="1"/>
  <c r="M287" i="4"/>
  <c r="N287" i="4" s="1"/>
  <c r="M279" i="4"/>
  <c r="N279" i="4" s="1"/>
  <c r="M271" i="4"/>
  <c r="N271" i="4" s="1"/>
  <c r="M263" i="4"/>
  <c r="N263" i="4" s="1"/>
  <c r="M255" i="4"/>
  <c r="N255" i="4" s="1"/>
  <c r="M247" i="4"/>
  <c r="N247" i="4" s="1"/>
  <c r="M231" i="4"/>
  <c r="N231" i="4" s="1"/>
  <c r="M223" i="4"/>
  <c r="N223" i="4" s="1"/>
  <c r="M215" i="4"/>
  <c r="N215" i="4" s="1"/>
  <c r="M207" i="4"/>
  <c r="N207" i="4" s="1"/>
  <c r="M191" i="4"/>
  <c r="N191" i="4" s="1"/>
  <c r="M183" i="4"/>
  <c r="N183" i="4" s="1"/>
  <c r="M175" i="4"/>
  <c r="N175" i="4" s="1"/>
  <c r="M345" i="4"/>
  <c r="N345" i="4" s="1"/>
  <c r="M57" i="4"/>
  <c r="N57" i="4" s="1"/>
  <c r="M494" i="4"/>
  <c r="N494" i="4" s="1"/>
  <c r="M486" i="4"/>
  <c r="N486" i="4" s="1"/>
  <c r="M478" i="4"/>
  <c r="N478" i="4" s="1"/>
  <c r="M470" i="4"/>
  <c r="N470" i="4" s="1"/>
  <c r="M462" i="4"/>
  <c r="N462" i="4" s="1"/>
  <c r="M454" i="4"/>
  <c r="N454" i="4" s="1"/>
  <c r="M446" i="4"/>
  <c r="N446" i="4" s="1"/>
  <c r="M438" i="4"/>
  <c r="N438" i="4" s="1"/>
  <c r="M430" i="4"/>
  <c r="N430" i="4" s="1"/>
  <c r="M422" i="4"/>
  <c r="N422" i="4" s="1"/>
  <c r="M414" i="4"/>
  <c r="N414" i="4" s="1"/>
  <c r="M406" i="4"/>
  <c r="N406" i="4" s="1"/>
  <c r="M398" i="4"/>
  <c r="N398" i="4" s="1"/>
  <c r="M390" i="4"/>
  <c r="N390" i="4" s="1"/>
  <c r="M382" i="4"/>
  <c r="N382" i="4" s="1"/>
  <c r="M374" i="4"/>
  <c r="N374" i="4" s="1"/>
  <c r="M366" i="4"/>
  <c r="N366" i="4" s="1"/>
  <c r="M358" i="4"/>
  <c r="N358" i="4" s="1"/>
  <c r="M350" i="4"/>
  <c r="N350" i="4" s="1"/>
  <c r="M342" i="4"/>
  <c r="N342" i="4" s="1"/>
  <c r="M334" i="4"/>
  <c r="N334" i="4" s="1"/>
  <c r="M326" i="4"/>
  <c r="N326" i="4" s="1"/>
  <c r="M318" i="4"/>
  <c r="N318" i="4" s="1"/>
  <c r="M310" i="4"/>
  <c r="N310" i="4" s="1"/>
  <c r="M302" i="4"/>
  <c r="N302" i="4" s="1"/>
  <c r="M294" i="4"/>
  <c r="N294" i="4" s="1"/>
  <c r="M286" i="4"/>
  <c r="N286" i="4" s="1"/>
  <c r="M278" i="4"/>
  <c r="N278" i="4" s="1"/>
  <c r="M270" i="4"/>
  <c r="N270" i="4" s="1"/>
  <c r="M262" i="4"/>
  <c r="N262" i="4" s="1"/>
  <c r="M254" i="4"/>
  <c r="N254" i="4" s="1"/>
  <c r="M246" i="4"/>
  <c r="N246" i="4" s="1"/>
  <c r="M238" i="4"/>
  <c r="N238" i="4" s="1"/>
  <c r="M230" i="4"/>
  <c r="N230" i="4" s="1"/>
  <c r="M222" i="4"/>
  <c r="N222" i="4" s="1"/>
  <c r="M214" i="4"/>
  <c r="N214" i="4" s="1"/>
  <c r="M206" i="4"/>
  <c r="N206" i="4" s="1"/>
  <c r="M198" i="4"/>
  <c r="N198" i="4" s="1"/>
  <c r="M190" i="4"/>
  <c r="N190" i="4" s="1"/>
  <c r="M182" i="4"/>
  <c r="N182" i="4" s="1"/>
  <c r="M174" i="4"/>
  <c r="N174" i="4" s="1"/>
  <c r="M166" i="4"/>
  <c r="N166" i="4" s="1"/>
  <c r="M498" i="4"/>
  <c r="N498" i="4" s="1"/>
  <c r="M466" i="4"/>
  <c r="N466" i="4" s="1"/>
  <c r="M434" i="4"/>
  <c r="N434" i="4" s="1"/>
  <c r="M370" i="4"/>
  <c r="N370" i="4" s="1"/>
  <c r="M338" i="4"/>
  <c r="N338" i="4" s="1"/>
  <c r="M146" i="4"/>
  <c r="N146" i="4" s="1"/>
  <c r="M162" i="4"/>
  <c r="N162" i="4" s="1"/>
  <c r="M385" i="4"/>
  <c r="N385" i="4" s="1"/>
  <c r="M97" i="4"/>
  <c r="N97" i="4" s="1"/>
  <c r="M501" i="4"/>
  <c r="N501" i="4" s="1"/>
  <c r="M493" i="4"/>
  <c r="N493" i="4" s="1"/>
  <c r="M485" i="4"/>
  <c r="N485" i="4" s="1"/>
  <c r="M477" i="4"/>
  <c r="N477" i="4" s="1"/>
  <c r="M469" i="4"/>
  <c r="N469" i="4" s="1"/>
  <c r="M461" i="4"/>
  <c r="N461" i="4" s="1"/>
  <c r="M453" i="4"/>
  <c r="N453" i="4" s="1"/>
  <c r="M445" i="4"/>
  <c r="N445" i="4" s="1"/>
  <c r="M437" i="4"/>
  <c r="N437" i="4" s="1"/>
  <c r="M429" i="4"/>
  <c r="N429" i="4" s="1"/>
  <c r="M421" i="4"/>
  <c r="N421" i="4" s="1"/>
  <c r="M413" i="4"/>
  <c r="N413" i="4" s="1"/>
  <c r="M405" i="4"/>
  <c r="N405" i="4" s="1"/>
  <c r="M397" i="4"/>
  <c r="N397" i="4" s="1"/>
  <c r="M389" i="4"/>
  <c r="N389" i="4" s="1"/>
  <c r="M381" i="4"/>
  <c r="N381" i="4" s="1"/>
  <c r="M373" i="4"/>
  <c r="N373" i="4" s="1"/>
  <c r="M365" i="4"/>
  <c r="N365" i="4" s="1"/>
  <c r="M357" i="4"/>
  <c r="N357" i="4" s="1"/>
  <c r="M349" i="4"/>
  <c r="N349" i="4" s="1"/>
  <c r="M341" i="4"/>
  <c r="N341" i="4" s="1"/>
  <c r="M333" i="4"/>
  <c r="N333" i="4" s="1"/>
  <c r="M325" i="4"/>
  <c r="N325" i="4" s="1"/>
  <c r="M317" i="4"/>
  <c r="N317" i="4" s="1"/>
  <c r="M309" i="4"/>
  <c r="N309" i="4" s="1"/>
  <c r="M301" i="4"/>
  <c r="N301" i="4" s="1"/>
  <c r="M293" i="4"/>
  <c r="N293" i="4" s="1"/>
  <c r="M285" i="4"/>
  <c r="N285" i="4" s="1"/>
  <c r="M277" i="4"/>
  <c r="N277" i="4" s="1"/>
  <c r="M269" i="4"/>
  <c r="N269" i="4" s="1"/>
  <c r="M261" i="4"/>
  <c r="N261" i="4" s="1"/>
  <c r="M253" i="4"/>
  <c r="N253" i="4" s="1"/>
  <c r="M245" i="4"/>
  <c r="N245" i="4" s="1"/>
  <c r="M237" i="4"/>
  <c r="N237" i="4" s="1"/>
  <c r="M229" i="4"/>
  <c r="N229" i="4" s="1"/>
  <c r="M221" i="4"/>
  <c r="N221" i="4" s="1"/>
  <c r="M213" i="4"/>
  <c r="N213" i="4" s="1"/>
  <c r="M205" i="4"/>
  <c r="N205" i="4" s="1"/>
  <c r="M197" i="4"/>
  <c r="N197" i="4" s="1"/>
  <c r="M189" i="4"/>
  <c r="N189" i="4" s="1"/>
  <c r="M181" i="4"/>
  <c r="N181" i="4" s="1"/>
  <c r="M173" i="4"/>
  <c r="N173" i="4" s="1"/>
  <c r="M401" i="4"/>
  <c r="N401" i="4" s="1"/>
  <c r="M369" i="4"/>
  <c r="N369" i="4" s="1"/>
  <c r="M305" i="4"/>
  <c r="N305" i="4" s="1"/>
  <c r="M241" i="4"/>
  <c r="N241" i="4" s="1"/>
  <c r="M209" i="4"/>
  <c r="N209" i="4" s="1"/>
  <c r="M145" i="4"/>
  <c r="N145" i="4" s="1"/>
  <c r="M81" i="4"/>
  <c r="N81" i="4" s="1"/>
  <c r="M49" i="4"/>
  <c r="N49" i="4" s="1"/>
  <c r="M17" i="4"/>
  <c r="N17" i="4" s="1"/>
  <c r="M418" i="4"/>
  <c r="N418" i="4" s="1"/>
  <c r="M354" i="4"/>
  <c r="N354" i="4" s="1"/>
  <c r="M258" i="4"/>
  <c r="N258" i="4" s="1"/>
  <c r="M226" i="4"/>
  <c r="N226" i="4" s="1"/>
  <c r="M194" i="4"/>
  <c r="N194" i="4" s="1"/>
  <c r="M449" i="4"/>
  <c r="N449" i="4" s="1"/>
  <c r="M353" i="4"/>
  <c r="N353" i="4" s="1"/>
  <c r="M289" i="4"/>
  <c r="N289" i="4" s="1"/>
  <c r="M225" i="4"/>
  <c r="N225" i="4" s="1"/>
  <c r="M65" i="4"/>
  <c r="N65" i="4" s="1"/>
  <c r="M500" i="4"/>
  <c r="N500" i="4" s="1"/>
  <c r="M492" i="4"/>
  <c r="N492" i="4" s="1"/>
  <c r="M484" i="4"/>
  <c r="N484" i="4" s="1"/>
  <c r="M476" i="4"/>
  <c r="N476" i="4" s="1"/>
  <c r="M468" i="4"/>
  <c r="N468" i="4" s="1"/>
  <c r="M460" i="4"/>
  <c r="N460" i="4" s="1"/>
  <c r="M452" i="4"/>
  <c r="N452" i="4" s="1"/>
  <c r="M444" i="4"/>
  <c r="N444" i="4" s="1"/>
  <c r="M436" i="4"/>
  <c r="N436" i="4" s="1"/>
  <c r="M428" i="4"/>
  <c r="N428" i="4" s="1"/>
  <c r="M420" i="4"/>
  <c r="N420" i="4" s="1"/>
  <c r="M412" i="4"/>
  <c r="N412" i="4" s="1"/>
  <c r="M404" i="4"/>
  <c r="N404" i="4" s="1"/>
  <c r="M396" i="4"/>
  <c r="N396" i="4" s="1"/>
  <c r="M388" i="4"/>
  <c r="N388" i="4" s="1"/>
  <c r="M380" i="4"/>
  <c r="N380" i="4" s="1"/>
  <c r="M372" i="4"/>
  <c r="N372" i="4" s="1"/>
  <c r="M364" i="4"/>
  <c r="N364" i="4" s="1"/>
  <c r="M356" i="4"/>
  <c r="N356" i="4" s="1"/>
  <c r="M348" i="4"/>
  <c r="N348" i="4" s="1"/>
  <c r="M340" i="4"/>
  <c r="N340" i="4" s="1"/>
  <c r="M332" i="4"/>
  <c r="N332" i="4" s="1"/>
  <c r="M324" i="4"/>
  <c r="N324" i="4" s="1"/>
  <c r="M316" i="4"/>
  <c r="N316" i="4" s="1"/>
  <c r="M308" i="4"/>
  <c r="N308" i="4" s="1"/>
  <c r="M300" i="4"/>
  <c r="N300" i="4" s="1"/>
  <c r="M292" i="4"/>
  <c r="N292" i="4" s="1"/>
  <c r="M284" i="4"/>
  <c r="N284" i="4" s="1"/>
  <c r="M276" i="4"/>
  <c r="N276" i="4" s="1"/>
  <c r="M268" i="4"/>
  <c r="N268" i="4" s="1"/>
  <c r="M260" i="4"/>
  <c r="N260" i="4" s="1"/>
  <c r="M252" i="4"/>
  <c r="N252" i="4" s="1"/>
  <c r="M244" i="4"/>
  <c r="N244" i="4" s="1"/>
  <c r="M236" i="4"/>
  <c r="N236" i="4" s="1"/>
  <c r="M228" i="4"/>
  <c r="N228" i="4" s="1"/>
  <c r="M220" i="4"/>
  <c r="N220" i="4" s="1"/>
  <c r="M212" i="4"/>
  <c r="N212" i="4" s="1"/>
  <c r="M204" i="4"/>
  <c r="N204" i="4" s="1"/>
  <c r="M196" i="4"/>
  <c r="N196" i="4" s="1"/>
  <c r="M188" i="4"/>
  <c r="N188" i="4" s="1"/>
  <c r="M180" i="4"/>
  <c r="N180" i="4" s="1"/>
  <c r="M172" i="4"/>
  <c r="N172" i="4" s="1"/>
  <c r="M164" i="4"/>
  <c r="N164" i="4" s="1"/>
  <c r="M458" i="4"/>
  <c r="N458" i="4" s="1"/>
  <c r="M426" i="4"/>
  <c r="N426" i="4" s="1"/>
  <c r="M394" i="4"/>
  <c r="N394" i="4" s="1"/>
  <c r="M362" i="4"/>
  <c r="N362" i="4" s="1"/>
  <c r="M330" i="4"/>
  <c r="N330" i="4" s="1"/>
  <c r="M298" i="4"/>
  <c r="N298" i="4" s="1"/>
  <c r="M266" i="4"/>
  <c r="N266" i="4" s="1"/>
  <c r="M234" i="4"/>
  <c r="N234" i="4" s="1"/>
  <c r="M202" i="4"/>
  <c r="N202" i="4" s="1"/>
  <c r="M170" i="4"/>
  <c r="N170" i="4" s="1"/>
  <c r="M499" i="4"/>
  <c r="N499" i="4" s="1"/>
  <c r="M491" i="4"/>
  <c r="N491" i="4" s="1"/>
  <c r="M483" i="4"/>
  <c r="N483" i="4" s="1"/>
  <c r="M475" i="4"/>
  <c r="N475" i="4" s="1"/>
  <c r="M467" i="4"/>
  <c r="N467" i="4" s="1"/>
  <c r="M459" i="4"/>
  <c r="N459" i="4" s="1"/>
  <c r="M451" i="4"/>
  <c r="N451" i="4" s="1"/>
  <c r="M443" i="4"/>
  <c r="N443" i="4" s="1"/>
  <c r="M435" i="4"/>
  <c r="N435" i="4" s="1"/>
  <c r="M427" i="4"/>
  <c r="N427" i="4" s="1"/>
  <c r="M419" i="4"/>
  <c r="N419" i="4" s="1"/>
  <c r="M411" i="4"/>
  <c r="N411" i="4" s="1"/>
  <c r="M403" i="4"/>
  <c r="N403" i="4" s="1"/>
  <c r="M395" i="4"/>
  <c r="N395" i="4" s="1"/>
  <c r="M387" i="4"/>
  <c r="N387" i="4" s="1"/>
  <c r="M379" i="4"/>
  <c r="N379" i="4" s="1"/>
  <c r="M371" i="4"/>
  <c r="N371" i="4" s="1"/>
  <c r="M363" i="4"/>
  <c r="N363" i="4" s="1"/>
  <c r="M355" i="4"/>
  <c r="N355" i="4" s="1"/>
  <c r="M347" i="4"/>
  <c r="N347" i="4" s="1"/>
  <c r="M339" i="4"/>
  <c r="N339" i="4" s="1"/>
  <c r="M331" i="4"/>
  <c r="N331" i="4" s="1"/>
  <c r="M323" i="4"/>
  <c r="N323" i="4" s="1"/>
  <c r="M315" i="4"/>
  <c r="N315" i="4" s="1"/>
  <c r="M307" i="4"/>
  <c r="N307" i="4" s="1"/>
  <c r="M299" i="4"/>
  <c r="N299" i="4" s="1"/>
  <c r="M291" i="4"/>
  <c r="N291" i="4" s="1"/>
  <c r="M283" i="4"/>
  <c r="N283" i="4" s="1"/>
  <c r="M275" i="4"/>
  <c r="N275" i="4" s="1"/>
  <c r="M267" i="4"/>
  <c r="N267" i="4" s="1"/>
  <c r="M259" i="4"/>
  <c r="N259" i="4" s="1"/>
  <c r="M251" i="4"/>
  <c r="N251" i="4" s="1"/>
  <c r="M243" i="4"/>
  <c r="N243" i="4" s="1"/>
  <c r="M235" i="4"/>
  <c r="N235" i="4" s="1"/>
  <c r="M227" i="4"/>
  <c r="N227" i="4" s="1"/>
  <c r="M219" i="4"/>
  <c r="N219" i="4" s="1"/>
  <c r="M211" i="4"/>
  <c r="N211" i="4" s="1"/>
  <c r="M203" i="4"/>
  <c r="N203" i="4" s="1"/>
  <c r="M195" i="4"/>
  <c r="N195" i="4" s="1"/>
  <c r="M187" i="4"/>
  <c r="N187" i="4" s="1"/>
  <c r="M179" i="4"/>
  <c r="N179" i="4" s="1"/>
  <c r="M171" i="4"/>
  <c r="N171" i="4" s="1"/>
  <c r="M489" i="4"/>
  <c r="N489" i="4" s="1"/>
  <c r="M457" i="4"/>
  <c r="N457" i="4" s="1"/>
  <c r="M425" i="4"/>
  <c r="N425" i="4" s="1"/>
  <c r="M393" i="4"/>
  <c r="N393" i="4" s="1"/>
  <c r="M361" i="4"/>
  <c r="N361" i="4" s="1"/>
  <c r="M329" i="4"/>
  <c r="N329" i="4" s="1"/>
  <c r="M297" i="4"/>
  <c r="N297" i="4" s="1"/>
  <c r="M265" i="4"/>
  <c r="N265" i="4" s="1"/>
  <c r="M233" i="4"/>
  <c r="N233" i="4" s="1"/>
  <c r="M201" i="4"/>
  <c r="N201" i="4" s="1"/>
  <c r="M169" i="4"/>
  <c r="N169" i="4" s="1"/>
  <c r="M137" i="4"/>
  <c r="N137" i="4" s="1"/>
  <c r="M105" i="4"/>
  <c r="N105" i="4" s="1"/>
  <c r="M73" i="4"/>
  <c r="N73" i="4" s="1"/>
  <c r="M41" i="4"/>
  <c r="N41" i="4" s="1"/>
  <c r="M9" i="4"/>
  <c r="N9" i="4" s="1"/>
  <c r="M159" i="4"/>
  <c r="N159" i="4" s="1"/>
  <c r="M151" i="4"/>
  <c r="N151" i="4" s="1"/>
  <c r="M143" i="4"/>
  <c r="N143" i="4" s="1"/>
  <c r="M127" i="4"/>
  <c r="N127" i="4" s="1"/>
  <c r="M119" i="4"/>
  <c r="N119" i="4" s="1"/>
  <c r="M111" i="4"/>
  <c r="N111" i="4" s="1"/>
  <c r="M95" i="4"/>
  <c r="N95" i="4" s="1"/>
  <c r="M87" i="4"/>
  <c r="N87" i="4" s="1"/>
  <c r="M79" i="4"/>
  <c r="N79" i="4" s="1"/>
  <c r="M71" i="4"/>
  <c r="N71" i="4" s="1"/>
  <c r="M63" i="4"/>
  <c r="N63" i="4" s="1"/>
  <c r="M55" i="4"/>
  <c r="N55" i="4" s="1"/>
  <c r="M47" i="4"/>
  <c r="N47" i="4" s="1"/>
  <c r="M39" i="4"/>
  <c r="N39" i="4" s="1"/>
  <c r="M31" i="4"/>
  <c r="N31" i="4" s="1"/>
  <c r="M23" i="4"/>
  <c r="N23" i="4" s="1"/>
  <c r="M15" i="4"/>
  <c r="N15" i="4" s="1"/>
  <c r="M7" i="4"/>
  <c r="N7" i="4" s="1"/>
  <c r="M158" i="4"/>
  <c r="N158" i="4" s="1"/>
  <c r="M150" i="4"/>
  <c r="N150" i="4" s="1"/>
  <c r="M142" i="4"/>
  <c r="N142" i="4" s="1"/>
  <c r="M134" i="4"/>
  <c r="N134" i="4" s="1"/>
  <c r="M126" i="4"/>
  <c r="N126" i="4" s="1"/>
  <c r="M118" i="4"/>
  <c r="N118" i="4" s="1"/>
  <c r="M110" i="4"/>
  <c r="N110" i="4" s="1"/>
  <c r="M102" i="4"/>
  <c r="N102" i="4" s="1"/>
  <c r="M94" i="4"/>
  <c r="N94" i="4" s="1"/>
  <c r="M86" i="4"/>
  <c r="N86" i="4" s="1"/>
  <c r="M78" i="4"/>
  <c r="N78" i="4" s="1"/>
  <c r="M70" i="4"/>
  <c r="N70" i="4" s="1"/>
  <c r="M62" i="4"/>
  <c r="N62" i="4" s="1"/>
  <c r="M54" i="4"/>
  <c r="N54" i="4" s="1"/>
  <c r="M46" i="4"/>
  <c r="N46" i="4" s="1"/>
  <c r="M38" i="4"/>
  <c r="N38" i="4" s="1"/>
  <c r="M30" i="4"/>
  <c r="N30" i="4" s="1"/>
  <c r="M22" i="4"/>
  <c r="N22" i="4" s="1"/>
  <c r="M14" i="4"/>
  <c r="N14" i="4" s="1"/>
  <c r="M6" i="4"/>
  <c r="N6" i="4" s="1"/>
  <c r="M165" i="4"/>
  <c r="N165" i="4" s="1"/>
  <c r="M157" i="4"/>
  <c r="N157" i="4" s="1"/>
  <c r="M149" i="4"/>
  <c r="N149" i="4" s="1"/>
  <c r="M141" i="4"/>
  <c r="N141" i="4" s="1"/>
  <c r="M133" i="4"/>
  <c r="N133" i="4" s="1"/>
  <c r="M125" i="4"/>
  <c r="N125" i="4" s="1"/>
  <c r="M117" i="4"/>
  <c r="N117" i="4" s="1"/>
  <c r="M109" i="4"/>
  <c r="N109" i="4" s="1"/>
  <c r="M101" i="4"/>
  <c r="N101" i="4" s="1"/>
  <c r="M93" i="4"/>
  <c r="N93" i="4" s="1"/>
  <c r="M85" i="4"/>
  <c r="N85" i="4" s="1"/>
  <c r="M77" i="4"/>
  <c r="N77" i="4" s="1"/>
  <c r="M69" i="4"/>
  <c r="N69" i="4" s="1"/>
  <c r="M61" i="4"/>
  <c r="N61" i="4" s="1"/>
  <c r="M53" i="4"/>
  <c r="N53" i="4" s="1"/>
  <c r="M45" i="4"/>
  <c r="N45" i="4" s="1"/>
  <c r="M37" i="4"/>
  <c r="N37" i="4" s="1"/>
  <c r="M29" i="4"/>
  <c r="N29" i="4" s="1"/>
  <c r="M21" i="4"/>
  <c r="N21" i="4" s="1"/>
  <c r="M13" i="4"/>
  <c r="N13" i="4" s="1"/>
  <c r="M5" i="4"/>
  <c r="N5" i="4" s="1"/>
  <c r="M156" i="4"/>
  <c r="N156" i="4" s="1"/>
  <c r="M148" i="4"/>
  <c r="N148" i="4" s="1"/>
  <c r="M140" i="4"/>
  <c r="N140" i="4" s="1"/>
  <c r="M132" i="4"/>
  <c r="N132" i="4" s="1"/>
  <c r="M124" i="4"/>
  <c r="N124" i="4" s="1"/>
  <c r="M116" i="4"/>
  <c r="N116" i="4" s="1"/>
  <c r="M108" i="4"/>
  <c r="N108" i="4" s="1"/>
  <c r="M100" i="4"/>
  <c r="N100" i="4" s="1"/>
  <c r="M92" i="4"/>
  <c r="N92" i="4" s="1"/>
  <c r="M84" i="4"/>
  <c r="N84" i="4" s="1"/>
  <c r="M76" i="4"/>
  <c r="N76" i="4" s="1"/>
  <c r="M68" i="4"/>
  <c r="N68" i="4" s="1"/>
  <c r="M60" i="4"/>
  <c r="N60" i="4" s="1"/>
  <c r="M52" i="4"/>
  <c r="N52" i="4" s="1"/>
  <c r="M44" i="4"/>
  <c r="N44" i="4" s="1"/>
  <c r="M36" i="4"/>
  <c r="N36" i="4" s="1"/>
  <c r="M28" i="4"/>
  <c r="N28" i="4" s="1"/>
  <c r="M20" i="4"/>
  <c r="N20" i="4" s="1"/>
  <c r="M12" i="4"/>
  <c r="N12" i="4" s="1"/>
  <c r="M4" i="4"/>
  <c r="N4" i="4" s="1"/>
  <c r="M163" i="4"/>
  <c r="N163" i="4" s="1"/>
  <c r="M155" i="4"/>
  <c r="N155" i="4" s="1"/>
  <c r="M147" i="4"/>
  <c r="N147" i="4" s="1"/>
  <c r="M139" i="4"/>
  <c r="N139" i="4" s="1"/>
  <c r="M131" i="4"/>
  <c r="N131" i="4" s="1"/>
  <c r="M123" i="4"/>
  <c r="N123" i="4" s="1"/>
  <c r="M115" i="4"/>
  <c r="N115" i="4" s="1"/>
  <c r="M107" i="4"/>
  <c r="N107" i="4" s="1"/>
  <c r="M99" i="4"/>
  <c r="N99" i="4" s="1"/>
  <c r="M91" i="4"/>
  <c r="N91" i="4" s="1"/>
  <c r="M83" i="4"/>
  <c r="N83" i="4" s="1"/>
  <c r="M75" i="4"/>
  <c r="N75" i="4" s="1"/>
  <c r="M67" i="4"/>
  <c r="N67" i="4" s="1"/>
  <c r="M59" i="4"/>
  <c r="N59" i="4" s="1"/>
  <c r="M51" i="4"/>
  <c r="N51" i="4" s="1"/>
  <c r="M43" i="4"/>
  <c r="N43" i="4" s="1"/>
  <c r="M35" i="4"/>
  <c r="N35" i="4" s="1"/>
  <c r="M27" i="4"/>
  <c r="N27" i="4" s="1"/>
  <c r="M19" i="4"/>
  <c r="N19" i="4" s="1"/>
  <c r="M11" i="4"/>
  <c r="N11" i="4" s="1"/>
  <c r="M3" i="4"/>
  <c r="N3" i="4" s="1"/>
  <c r="M2" i="4"/>
  <c r="N2" i="4" s="1"/>
  <c r="I9" i="4"/>
  <c r="J9" i="4" s="1"/>
  <c r="I489" i="4"/>
  <c r="J489" i="4" s="1"/>
  <c r="I433" i="4"/>
  <c r="J433" i="4" s="1"/>
  <c r="I377" i="4"/>
  <c r="J377" i="4" s="1"/>
  <c r="I337" i="4"/>
  <c r="J337" i="4" s="1"/>
  <c r="I289" i="4"/>
  <c r="J289" i="4" s="1"/>
  <c r="I233" i="4"/>
  <c r="J233" i="4" s="1"/>
  <c r="I185" i="4"/>
  <c r="J185" i="4" s="1"/>
  <c r="I137" i="4"/>
  <c r="J137" i="4" s="1"/>
  <c r="I89" i="4"/>
  <c r="J89" i="4" s="1"/>
  <c r="I49" i="4"/>
  <c r="J49" i="4" s="1"/>
  <c r="I498" i="4"/>
  <c r="J498" i="4" s="1"/>
  <c r="I490" i="4"/>
  <c r="J490" i="4" s="1"/>
  <c r="I482" i="4"/>
  <c r="J482" i="4" s="1"/>
  <c r="I474" i="4"/>
  <c r="J474" i="4" s="1"/>
  <c r="I466" i="4"/>
  <c r="J466" i="4" s="1"/>
  <c r="I458" i="4"/>
  <c r="J458" i="4" s="1"/>
  <c r="I450" i="4"/>
  <c r="J450" i="4" s="1"/>
  <c r="I442" i="4"/>
  <c r="J442" i="4" s="1"/>
  <c r="I434" i="4"/>
  <c r="J434" i="4" s="1"/>
  <c r="I426" i="4"/>
  <c r="J426" i="4" s="1"/>
  <c r="I418" i="4"/>
  <c r="J418" i="4" s="1"/>
  <c r="I410" i="4"/>
  <c r="J410" i="4" s="1"/>
  <c r="I402" i="4"/>
  <c r="J402" i="4" s="1"/>
  <c r="I394" i="4"/>
  <c r="J394" i="4" s="1"/>
  <c r="I386" i="4"/>
  <c r="J386" i="4" s="1"/>
  <c r="I378" i="4"/>
  <c r="J378" i="4" s="1"/>
  <c r="I370" i="4"/>
  <c r="J370" i="4" s="1"/>
  <c r="I362" i="4"/>
  <c r="J362" i="4" s="1"/>
  <c r="I354" i="4"/>
  <c r="J354" i="4" s="1"/>
  <c r="I346" i="4"/>
  <c r="J346" i="4" s="1"/>
  <c r="I338" i="4"/>
  <c r="J338" i="4" s="1"/>
  <c r="I330" i="4"/>
  <c r="J330" i="4" s="1"/>
  <c r="I322" i="4"/>
  <c r="J322" i="4" s="1"/>
  <c r="I314" i="4"/>
  <c r="J314" i="4" s="1"/>
  <c r="I306" i="4"/>
  <c r="J306" i="4" s="1"/>
  <c r="I298" i="4"/>
  <c r="J298" i="4" s="1"/>
  <c r="I290" i="4"/>
  <c r="J290" i="4" s="1"/>
  <c r="I282" i="4"/>
  <c r="J282" i="4" s="1"/>
  <c r="I274" i="4"/>
  <c r="J274" i="4" s="1"/>
  <c r="I266" i="4"/>
  <c r="J266" i="4" s="1"/>
  <c r="I258" i="4"/>
  <c r="J258" i="4" s="1"/>
  <c r="I250" i="4"/>
  <c r="J250" i="4" s="1"/>
  <c r="I242" i="4"/>
  <c r="J242" i="4" s="1"/>
  <c r="I234" i="4"/>
  <c r="J234" i="4" s="1"/>
  <c r="I226" i="4"/>
  <c r="J226" i="4" s="1"/>
  <c r="I218" i="4"/>
  <c r="J218" i="4" s="1"/>
  <c r="I210" i="4"/>
  <c r="J210" i="4" s="1"/>
  <c r="I202" i="4"/>
  <c r="J202" i="4" s="1"/>
  <c r="I194" i="4"/>
  <c r="J194" i="4" s="1"/>
  <c r="I186" i="4"/>
  <c r="J186" i="4" s="1"/>
  <c r="I178" i="4"/>
  <c r="J178" i="4" s="1"/>
  <c r="I170" i="4"/>
  <c r="J170" i="4" s="1"/>
  <c r="I162" i="4"/>
  <c r="J162" i="4" s="1"/>
  <c r="I154" i="4"/>
  <c r="J154" i="4" s="1"/>
  <c r="I146" i="4"/>
  <c r="J146" i="4" s="1"/>
  <c r="I138" i="4"/>
  <c r="J138" i="4" s="1"/>
  <c r="I130" i="4"/>
  <c r="J130" i="4" s="1"/>
  <c r="I122" i="4"/>
  <c r="J122" i="4" s="1"/>
  <c r="I114" i="4"/>
  <c r="J114" i="4" s="1"/>
  <c r="I106" i="4"/>
  <c r="J106" i="4" s="1"/>
  <c r="I98" i="4"/>
  <c r="J98" i="4" s="1"/>
  <c r="I90" i="4"/>
  <c r="J90" i="4" s="1"/>
  <c r="I82" i="4"/>
  <c r="J82" i="4" s="1"/>
  <c r="I74" i="4"/>
  <c r="J74" i="4" s="1"/>
  <c r="I66" i="4"/>
  <c r="J66" i="4" s="1"/>
  <c r="I58" i="4"/>
  <c r="J58" i="4" s="1"/>
  <c r="I50" i="4"/>
  <c r="J50" i="4" s="1"/>
  <c r="I42" i="4"/>
  <c r="J42" i="4" s="1"/>
  <c r="I34" i="4"/>
  <c r="J34" i="4" s="1"/>
  <c r="I26" i="4"/>
  <c r="J26" i="4" s="1"/>
  <c r="I18" i="4"/>
  <c r="J18" i="4" s="1"/>
  <c r="I10" i="4"/>
  <c r="J10" i="4" s="1"/>
  <c r="I496" i="4"/>
  <c r="J496" i="4" s="1"/>
  <c r="I488" i="4"/>
  <c r="J488" i="4" s="1"/>
  <c r="I480" i="4"/>
  <c r="J480" i="4" s="1"/>
  <c r="I472" i="4"/>
  <c r="J472" i="4" s="1"/>
  <c r="I464" i="4"/>
  <c r="J464" i="4" s="1"/>
  <c r="I456" i="4"/>
  <c r="J456" i="4" s="1"/>
  <c r="I448" i="4"/>
  <c r="J448" i="4" s="1"/>
  <c r="I440" i="4"/>
  <c r="J440" i="4" s="1"/>
  <c r="I432" i="4"/>
  <c r="J432" i="4" s="1"/>
  <c r="I424" i="4"/>
  <c r="J424" i="4" s="1"/>
  <c r="I416" i="4"/>
  <c r="J416" i="4" s="1"/>
  <c r="I408" i="4"/>
  <c r="J408" i="4" s="1"/>
  <c r="I400" i="4"/>
  <c r="J400" i="4" s="1"/>
  <c r="I392" i="4"/>
  <c r="J392" i="4" s="1"/>
  <c r="I384" i="4"/>
  <c r="J384" i="4" s="1"/>
  <c r="I376" i="4"/>
  <c r="J376" i="4" s="1"/>
  <c r="I368" i="4"/>
  <c r="J368" i="4" s="1"/>
  <c r="I360" i="4"/>
  <c r="J360" i="4" s="1"/>
  <c r="I352" i="4"/>
  <c r="J352" i="4" s="1"/>
  <c r="I344" i="4"/>
  <c r="J344" i="4" s="1"/>
  <c r="I336" i="4"/>
  <c r="J336" i="4" s="1"/>
  <c r="I328" i="4"/>
  <c r="J328" i="4" s="1"/>
  <c r="I320" i="4"/>
  <c r="J320" i="4" s="1"/>
  <c r="I312" i="4"/>
  <c r="J312" i="4" s="1"/>
  <c r="I304" i="4"/>
  <c r="J304" i="4" s="1"/>
  <c r="I296" i="4"/>
  <c r="J296" i="4" s="1"/>
  <c r="I288" i="4"/>
  <c r="J288" i="4" s="1"/>
  <c r="I280" i="4"/>
  <c r="J280" i="4" s="1"/>
  <c r="I272" i="4"/>
  <c r="J272" i="4" s="1"/>
  <c r="I264" i="4"/>
  <c r="J264" i="4" s="1"/>
  <c r="I256" i="4"/>
  <c r="J256" i="4" s="1"/>
  <c r="I248" i="4"/>
  <c r="J248" i="4" s="1"/>
  <c r="I240" i="4"/>
  <c r="J240" i="4" s="1"/>
  <c r="I232" i="4"/>
  <c r="J232" i="4" s="1"/>
  <c r="I224" i="4"/>
  <c r="J224" i="4" s="1"/>
  <c r="I216" i="4"/>
  <c r="J216" i="4" s="1"/>
  <c r="I208" i="4"/>
  <c r="J208" i="4" s="1"/>
  <c r="I200" i="4"/>
  <c r="J200" i="4" s="1"/>
  <c r="I192" i="4"/>
  <c r="J192" i="4" s="1"/>
  <c r="I184" i="4"/>
  <c r="J184" i="4" s="1"/>
  <c r="I176" i="4"/>
  <c r="J176" i="4" s="1"/>
  <c r="I168" i="4"/>
  <c r="J168" i="4" s="1"/>
  <c r="I160" i="4"/>
  <c r="J160" i="4" s="1"/>
  <c r="I152" i="4"/>
  <c r="J152" i="4" s="1"/>
  <c r="I144" i="4"/>
  <c r="J144" i="4" s="1"/>
  <c r="I136" i="4"/>
  <c r="J136" i="4" s="1"/>
  <c r="I128" i="4"/>
  <c r="J128" i="4" s="1"/>
  <c r="I120" i="4"/>
  <c r="J120" i="4" s="1"/>
  <c r="I112" i="4"/>
  <c r="J112" i="4" s="1"/>
  <c r="I104" i="4"/>
  <c r="J104" i="4" s="1"/>
  <c r="I96" i="4"/>
  <c r="J96" i="4" s="1"/>
  <c r="I88" i="4"/>
  <c r="J88" i="4" s="1"/>
  <c r="I80" i="4"/>
  <c r="J80" i="4" s="1"/>
  <c r="I72" i="4"/>
  <c r="J72" i="4" s="1"/>
  <c r="I64" i="4"/>
  <c r="J64" i="4" s="1"/>
  <c r="I56" i="4"/>
  <c r="J56" i="4" s="1"/>
  <c r="I48" i="4"/>
  <c r="J48" i="4" s="1"/>
  <c r="I40" i="4"/>
  <c r="J40" i="4" s="1"/>
  <c r="I32" i="4"/>
  <c r="J32" i="4" s="1"/>
  <c r="I24" i="4"/>
  <c r="J24" i="4" s="1"/>
  <c r="I16" i="4"/>
  <c r="J16" i="4" s="1"/>
  <c r="I8" i="4"/>
  <c r="J8" i="4" s="1"/>
  <c r="I497" i="4"/>
  <c r="J497" i="4" s="1"/>
  <c r="I441" i="4"/>
  <c r="J441" i="4" s="1"/>
  <c r="I393" i="4"/>
  <c r="J393" i="4" s="1"/>
  <c r="I345" i="4"/>
  <c r="J345" i="4" s="1"/>
  <c r="I297" i="4"/>
  <c r="J297" i="4" s="1"/>
  <c r="I257" i="4"/>
  <c r="J257" i="4" s="1"/>
  <c r="I201" i="4"/>
  <c r="J201" i="4" s="1"/>
  <c r="I153" i="4"/>
  <c r="J153" i="4" s="1"/>
  <c r="I105" i="4"/>
  <c r="J105" i="4" s="1"/>
  <c r="I65" i="4"/>
  <c r="J65" i="4" s="1"/>
  <c r="I57" i="4"/>
  <c r="J57" i="4" s="1"/>
  <c r="I495" i="4"/>
  <c r="J495" i="4" s="1"/>
  <c r="I487" i="4"/>
  <c r="J487" i="4" s="1"/>
  <c r="I479" i="4"/>
  <c r="J479" i="4" s="1"/>
  <c r="I471" i="4"/>
  <c r="J471" i="4" s="1"/>
  <c r="I463" i="4"/>
  <c r="J463" i="4" s="1"/>
  <c r="I455" i="4"/>
  <c r="J455" i="4" s="1"/>
  <c r="I447" i="4"/>
  <c r="J447" i="4" s="1"/>
  <c r="I439" i="4"/>
  <c r="J439" i="4" s="1"/>
  <c r="I431" i="4"/>
  <c r="J431" i="4" s="1"/>
  <c r="I423" i="4"/>
  <c r="J423" i="4" s="1"/>
  <c r="I415" i="4"/>
  <c r="J415" i="4" s="1"/>
  <c r="I407" i="4"/>
  <c r="J407" i="4" s="1"/>
  <c r="I399" i="4"/>
  <c r="J399" i="4" s="1"/>
  <c r="I391" i="4"/>
  <c r="J391" i="4" s="1"/>
  <c r="I383" i="4"/>
  <c r="J383" i="4" s="1"/>
  <c r="I375" i="4"/>
  <c r="J375" i="4" s="1"/>
  <c r="I367" i="4"/>
  <c r="J367" i="4" s="1"/>
  <c r="I359" i="4"/>
  <c r="J359" i="4" s="1"/>
  <c r="I351" i="4"/>
  <c r="J351" i="4" s="1"/>
  <c r="I343" i="4"/>
  <c r="J343" i="4" s="1"/>
  <c r="I335" i="4"/>
  <c r="J335" i="4" s="1"/>
  <c r="I327" i="4"/>
  <c r="J327" i="4" s="1"/>
  <c r="I319" i="4"/>
  <c r="J319" i="4" s="1"/>
  <c r="I311" i="4"/>
  <c r="J311" i="4" s="1"/>
  <c r="I303" i="4"/>
  <c r="J303" i="4" s="1"/>
  <c r="I295" i="4"/>
  <c r="J295" i="4" s="1"/>
  <c r="I287" i="4"/>
  <c r="J287" i="4" s="1"/>
  <c r="I279" i="4"/>
  <c r="J279" i="4" s="1"/>
  <c r="I271" i="4"/>
  <c r="J271" i="4" s="1"/>
  <c r="I263" i="4"/>
  <c r="J263" i="4" s="1"/>
  <c r="I255" i="4"/>
  <c r="J255" i="4" s="1"/>
  <c r="I247" i="4"/>
  <c r="J247" i="4" s="1"/>
  <c r="I239" i="4"/>
  <c r="J239" i="4" s="1"/>
  <c r="I231" i="4"/>
  <c r="J231" i="4" s="1"/>
  <c r="I223" i="4"/>
  <c r="J223" i="4" s="1"/>
  <c r="I215" i="4"/>
  <c r="J215" i="4" s="1"/>
  <c r="I207" i="4"/>
  <c r="J207" i="4" s="1"/>
  <c r="I199" i="4"/>
  <c r="J199" i="4" s="1"/>
  <c r="I191" i="4"/>
  <c r="J191" i="4" s="1"/>
  <c r="I183" i="4"/>
  <c r="J183" i="4" s="1"/>
  <c r="I175" i="4"/>
  <c r="J175" i="4" s="1"/>
  <c r="I167" i="4"/>
  <c r="J167" i="4" s="1"/>
  <c r="I159" i="4"/>
  <c r="J159" i="4" s="1"/>
  <c r="I151" i="4"/>
  <c r="J151" i="4" s="1"/>
  <c r="I143" i="4"/>
  <c r="J143" i="4" s="1"/>
  <c r="I135" i="4"/>
  <c r="J135" i="4" s="1"/>
  <c r="I127" i="4"/>
  <c r="J127" i="4" s="1"/>
  <c r="I119" i="4"/>
  <c r="J119" i="4" s="1"/>
  <c r="I111" i="4"/>
  <c r="J111" i="4" s="1"/>
  <c r="I103" i="4"/>
  <c r="J103" i="4" s="1"/>
  <c r="I95" i="4"/>
  <c r="J95" i="4" s="1"/>
  <c r="I87" i="4"/>
  <c r="J87" i="4" s="1"/>
  <c r="I79" i="4"/>
  <c r="J79" i="4" s="1"/>
  <c r="I71" i="4"/>
  <c r="J71" i="4" s="1"/>
  <c r="I63" i="4"/>
  <c r="J63" i="4" s="1"/>
  <c r="I55" i="4"/>
  <c r="J55" i="4" s="1"/>
  <c r="I47" i="4"/>
  <c r="J47" i="4" s="1"/>
  <c r="I39" i="4"/>
  <c r="J39" i="4" s="1"/>
  <c r="I31" i="4"/>
  <c r="J31" i="4" s="1"/>
  <c r="I23" i="4"/>
  <c r="J23" i="4" s="1"/>
  <c r="I15" i="4"/>
  <c r="J15" i="4" s="1"/>
  <c r="I7" i="4"/>
  <c r="J7" i="4" s="1"/>
  <c r="I481" i="4"/>
  <c r="J481" i="4" s="1"/>
  <c r="I465" i="4"/>
  <c r="J465" i="4" s="1"/>
  <c r="I425" i="4"/>
  <c r="J425" i="4" s="1"/>
  <c r="I385" i="4"/>
  <c r="J385" i="4" s="1"/>
  <c r="I369" i="4"/>
  <c r="J369" i="4" s="1"/>
  <c r="I321" i="4"/>
  <c r="J321" i="4" s="1"/>
  <c r="I273" i="4"/>
  <c r="J273" i="4" s="1"/>
  <c r="I241" i="4"/>
  <c r="J241" i="4" s="1"/>
  <c r="I209" i="4"/>
  <c r="J209" i="4" s="1"/>
  <c r="I169" i="4"/>
  <c r="J169" i="4" s="1"/>
  <c r="I121" i="4"/>
  <c r="J121" i="4" s="1"/>
  <c r="I73" i="4"/>
  <c r="J73" i="4" s="1"/>
  <c r="I25" i="4"/>
  <c r="J25" i="4" s="1"/>
  <c r="I2" i="4"/>
  <c r="J2" i="4" s="1"/>
  <c r="I494" i="4"/>
  <c r="J494" i="4" s="1"/>
  <c r="I486" i="4"/>
  <c r="J486" i="4" s="1"/>
  <c r="I478" i="4"/>
  <c r="J478" i="4" s="1"/>
  <c r="I470" i="4"/>
  <c r="J470" i="4" s="1"/>
  <c r="I462" i="4"/>
  <c r="J462" i="4" s="1"/>
  <c r="I454" i="4"/>
  <c r="J454" i="4" s="1"/>
  <c r="I446" i="4"/>
  <c r="J446" i="4" s="1"/>
  <c r="I438" i="4"/>
  <c r="J438" i="4" s="1"/>
  <c r="I430" i="4"/>
  <c r="J430" i="4" s="1"/>
  <c r="I422" i="4"/>
  <c r="J422" i="4" s="1"/>
  <c r="I414" i="4"/>
  <c r="J414" i="4" s="1"/>
  <c r="I406" i="4"/>
  <c r="J406" i="4" s="1"/>
  <c r="I398" i="4"/>
  <c r="J398" i="4" s="1"/>
  <c r="I390" i="4"/>
  <c r="J390" i="4" s="1"/>
  <c r="I382" i="4"/>
  <c r="J382" i="4" s="1"/>
  <c r="I374" i="4"/>
  <c r="J374" i="4" s="1"/>
  <c r="I366" i="4"/>
  <c r="J366" i="4" s="1"/>
  <c r="I358" i="4"/>
  <c r="J358" i="4" s="1"/>
  <c r="I350" i="4"/>
  <c r="J350" i="4" s="1"/>
  <c r="I342" i="4"/>
  <c r="J342" i="4" s="1"/>
  <c r="I334" i="4"/>
  <c r="J334" i="4" s="1"/>
  <c r="I326" i="4"/>
  <c r="J326" i="4" s="1"/>
  <c r="I318" i="4"/>
  <c r="J318" i="4" s="1"/>
  <c r="I310" i="4"/>
  <c r="J310" i="4" s="1"/>
  <c r="I302" i="4"/>
  <c r="J302" i="4" s="1"/>
  <c r="I294" i="4"/>
  <c r="J294" i="4" s="1"/>
  <c r="I286" i="4"/>
  <c r="J286" i="4" s="1"/>
  <c r="I278" i="4"/>
  <c r="J278" i="4" s="1"/>
  <c r="I270" i="4"/>
  <c r="J270" i="4" s="1"/>
  <c r="I262" i="4"/>
  <c r="J262" i="4" s="1"/>
  <c r="I254" i="4"/>
  <c r="J254" i="4" s="1"/>
  <c r="I246" i="4"/>
  <c r="J246" i="4" s="1"/>
  <c r="I238" i="4"/>
  <c r="J238" i="4" s="1"/>
  <c r="I230" i="4"/>
  <c r="J230" i="4" s="1"/>
  <c r="I222" i="4"/>
  <c r="J222" i="4" s="1"/>
  <c r="I214" i="4"/>
  <c r="J214" i="4" s="1"/>
  <c r="I206" i="4"/>
  <c r="J206" i="4" s="1"/>
  <c r="I198" i="4"/>
  <c r="J198" i="4" s="1"/>
  <c r="I190" i="4"/>
  <c r="J190" i="4" s="1"/>
  <c r="I182" i="4"/>
  <c r="J182" i="4" s="1"/>
  <c r="I174" i="4"/>
  <c r="J174" i="4" s="1"/>
  <c r="I166" i="4"/>
  <c r="J166" i="4" s="1"/>
  <c r="I158" i="4"/>
  <c r="J158" i="4" s="1"/>
  <c r="I150" i="4"/>
  <c r="J150" i="4" s="1"/>
  <c r="I142" i="4"/>
  <c r="J142" i="4" s="1"/>
  <c r="I134" i="4"/>
  <c r="J134" i="4" s="1"/>
  <c r="I126" i="4"/>
  <c r="J126" i="4" s="1"/>
  <c r="I118" i="4"/>
  <c r="J118" i="4" s="1"/>
  <c r="I110" i="4"/>
  <c r="J110" i="4" s="1"/>
  <c r="I102" i="4"/>
  <c r="J102" i="4" s="1"/>
  <c r="I94" i="4"/>
  <c r="J94" i="4" s="1"/>
  <c r="I86" i="4"/>
  <c r="J86" i="4" s="1"/>
  <c r="I78" i="4"/>
  <c r="J78" i="4" s="1"/>
  <c r="I70" i="4"/>
  <c r="J70" i="4" s="1"/>
  <c r="I62" i="4"/>
  <c r="J62" i="4" s="1"/>
  <c r="I54" i="4"/>
  <c r="J54" i="4" s="1"/>
  <c r="I46" i="4"/>
  <c r="J46" i="4" s="1"/>
  <c r="I38" i="4"/>
  <c r="J38" i="4" s="1"/>
  <c r="I30" i="4"/>
  <c r="J30" i="4" s="1"/>
  <c r="I22" i="4"/>
  <c r="J22" i="4" s="1"/>
  <c r="I14" i="4"/>
  <c r="J14" i="4" s="1"/>
  <c r="I6" i="4"/>
  <c r="J6" i="4" s="1"/>
  <c r="I473" i="4"/>
  <c r="J473" i="4" s="1"/>
  <c r="I401" i="4"/>
  <c r="J401" i="4" s="1"/>
  <c r="I329" i="4"/>
  <c r="J329" i="4" s="1"/>
  <c r="I281" i="4"/>
  <c r="J281" i="4" s="1"/>
  <c r="I225" i="4"/>
  <c r="J225" i="4" s="1"/>
  <c r="I177" i="4"/>
  <c r="J177" i="4" s="1"/>
  <c r="I129" i="4"/>
  <c r="J129" i="4" s="1"/>
  <c r="I81" i="4"/>
  <c r="J81" i="4" s="1"/>
  <c r="I33" i="4"/>
  <c r="J33" i="4" s="1"/>
  <c r="I501" i="4"/>
  <c r="J501" i="4" s="1"/>
  <c r="I493" i="4"/>
  <c r="J493" i="4" s="1"/>
  <c r="I485" i="4"/>
  <c r="J485" i="4" s="1"/>
  <c r="I477" i="4"/>
  <c r="J477" i="4" s="1"/>
  <c r="I469" i="4"/>
  <c r="J469" i="4" s="1"/>
  <c r="I461" i="4"/>
  <c r="J461" i="4" s="1"/>
  <c r="I453" i="4"/>
  <c r="J453" i="4" s="1"/>
  <c r="I445" i="4"/>
  <c r="J445" i="4" s="1"/>
  <c r="I437" i="4"/>
  <c r="J437" i="4" s="1"/>
  <c r="I429" i="4"/>
  <c r="J429" i="4" s="1"/>
  <c r="I421" i="4"/>
  <c r="J421" i="4" s="1"/>
  <c r="I413" i="4"/>
  <c r="J413" i="4" s="1"/>
  <c r="I405" i="4"/>
  <c r="J405" i="4" s="1"/>
  <c r="I397" i="4"/>
  <c r="J397" i="4" s="1"/>
  <c r="I389" i="4"/>
  <c r="J389" i="4" s="1"/>
  <c r="I381" i="4"/>
  <c r="J381" i="4" s="1"/>
  <c r="I373" i="4"/>
  <c r="J373" i="4" s="1"/>
  <c r="I365" i="4"/>
  <c r="J365" i="4" s="1"/>
  <c r="I357" i="4"/>
  <c r="J357" i="4" s="1"/>
  <c r="I349" i="4"/>
  <c r="J349" i="4" s="1"/>
  <c r="I341" i="4"/>
  <c r="J341" i="4" s="1"/>
  <c r="I333" i="4"/>
  <c r="J333" i="4" s="1"/>
  <c r="I325" i="4"/>
  <c r="J325" i="4" s="1"/>
  <c r="I317" i="4"/>
  <c r="J317" i="4" s="1"/>
  <c r="I309" i="4"/>
  <c r="J309" i="4" s="1"/>
  <c r="I301" i="4"/>
  <c r="J301" i="4" s="1"/>
  <c r="I293" i="4"/>
  <c r="J293" i="4" s="1"/>
  <c r="I285" i="4"/>
  <c r="J285" i="4" s="1"/>
  <c r="I277" i="4"/>
  <c r="J277" i="4" s="1"/>
  <c r="I269" i="4"/>
  <c r="J269" i="4" s="1"/>
  <c r="I261" i="4"/>
  <c r="J261" i="4" s="1"/>
  <c r="I253" i="4"/>
  <c r="J253" i="4" s="1"/>
  <c r="I245" i="4"/>
  <c r="J245" i="4" s="1"/>
  <c r="I237" i="4"/>
  <c r="J237" i="4" s="1"/>
  <c r="I229" i="4"/>
  <c r="J229" i="4" s="1"/>
  <c r="I221" i="4"/>
  <c r="J221" i="4" s="1"/>
  <c r="I213" i="4"/>
  <c r="J213" i="4" s="1"/>
  <c r="I205" i="4"/>
  <c r="J205" i="4" s="1"/>
  <c r="I197" i="4"/>
  <c r="J197" i="4" s="1"/>
  <c r="I189" i="4"/>
  <c r="J189" i="4" s="1"/>
  <c r="I181" i="4"/>
  <c r="J181" i="4" s="1"/>
  <c r="I173" i="4"/>
  <c r="J173" i="4" s="1"/>
  <c r="I165" i="4"/>
  <c r="J165" i="4" s="1"/>
  <c r="I157" i="4"/>
  <c r="J157" i="4" s="1"/>
  <c r="I149" i="4"/>
  <c r="J149" i="4" s="1"/>
  <c r="I141" i="4"/>
  <c r="J141" i="4" s="1"/>
  <c r="I133" i="4"/>
  <c r="J133" i="4" s="1"/>
  <c r="I125" i="4"/>
  <c r="J125" i="4" s="1"/>
  <c r="I117" i="4"/>
  <c r="J117" i="4" s="1"/>
  <c r="I109" i="4"/>
  <c r="J109" i="4" s="1"/>
  <c r="I101" i="4"/>
  <c r="J101" i="4" s="1"/>
  <c r="I93" i="4"/>
  <c r="J93" i="4" s="1"/>
  <c r="I85" i="4"/>
  <c r="J85" i="4" s="1"/>
  <c r="I77" i="4"/>
  <c r="J77" i="4" s="1"/>
  <c r="I69" i="4"/>
  <c r="J69" i="4" s="1"/>
  <c r="I61" i="4"/>
  <c r="J61" i="4" s="1"/>
  <c r="I53" i="4"/>
  <c r="J53" i="4" s="1"/>
  <c r="I45" i="4"/>
  <c r="J45" i="4" s="1"/>
  <c r="I37" i="4"/>
  <c r="J37" i="4" s="1"/>
  <c r="I29" i="4"/>
  <c r="J29" i="4" s="1"/>
  <c r="I21" i="4"/>
  <c r="J21" i="4" s="1"/>
  <c r="I13" i="4"/>
  <c r="J13" i="4" s="1"/>
  <c r="I5" i="4"/>
  <c r="J5" i="4" s="1"/>
  <c r="I449" i="4"/>
  <c r="J449" i="4" s="1"/>
  <c r="I417" i="4"/>
  <c r="J417" i="4" s="1"/>
  <c r="I361" i="4"/>
  <c r="J361" i="4" s="1"/>
  <c r="I313" i="4"/>
  <c r="J313" i="4" s="1"/>
  <c r="I265" i="4"/>
  <c r="J265" i="4" s="1"/>
  <c r="I217" i="4"/>
  <c r="J217" i="4" s="1"/>
  <c r="I145" i="4"/>
  <c r="J145" i="4" s="1"/>
  <c r="I97" i="4"/>
  <c r="J97" i="4" s="1"/>
  <c r="I17" i="4"/>
  <c r="J17" i="4" s="1"/>
  <c r="I500" i="4"/>
  <c r="J500" i="4" s="1"/>
  <c r="I492" i="4"/>
  <c r="J492" i="4" s="1"/>
  <c r="I484" i="4"/>
  <c r="J484" i="4" s="1"/>
  <c r="I476" i="4"/>
  <c r="J476" i="4" s="1"/>
  <c r="I468" i="4"/>
  <c r="J468" i="4" s="1"/>
  <c r="I460" i="4"/>
  <c r="J460" i="4" s="1"/>
  <c r="I452" i="4"/>
  <c r="J452" i="4" s="1"/>
  <c r="I444" i="4"/>
  <c r="J444" i="4" s="1"/>
  <c r="I436" i="4"/>
  <c r="J436" i="4" s="1"/>
  <c r="I428" i="4"/>
  <c r="J428" i="4" s="1"/>
  <c r="I420" i="4"/>
  <c r="J420" i="4" s="1"/>
  <c r="I412" i="4"/>
  <c r="J412" i="4" s="1"/>
  <c r="I404" i="4"/>
  <c r="J404" i="4" s="1"/>
  <c r="I396" i="4"/>
  <c r="J396" i="4" s="1"/>
  <c r="I388" i="4"/>
  <c r="J388" i="4" s="1"/>
  <c r="I380" i="4"/>
  <c r="J380" i="4" s="1"/>
  <c r="I372" i="4"/>
  <c r="J372" i="4" s="1"/>
  <c r="I364" i="4"/>
  <c r="J364" i="4" s="1"/>
  <c r="I356" i="4"/>
  <c r="J356" i="4" s="1"/>
  <c r="I348" i="4"/>
  <c r="J348" i="4" s="1"/>
  <c r="I340" i="4"/>
  <c r="J340" i="4" s="1"/>
  <c r="I332" i="4"/>
  <c r="J332" i="4" s="1"/>
  <c r="I324" i="4"/>
  <c r="J324" i="4" s="1"/>
  <c r="I316" i="4"/>
  <c r="J316" i="4" s="1"/>
  <c r="I308" i="4"/>
  <c r="J308" i="4" s="1"/>
  <c r="I300" i="4"/>
  <c r="J300" i="4" s="1"/>
  <c r="I292" i="4"/>
  <c r="J292" i="4" s="1"/>
  <c r="I284" i="4"/>
  <c r="J284" i="4" s="1"/>
  <c r="I276" i="4"/>
  <c r="J276" i="4" s="1"/>
  <c r="I268" i="4"/>
  <c r="J268" i="4" s="1"/>
  <c r="I260" i="4"/>
  <c r="J260" i="4" s="1"/>
  <c r="I252" i="4"/>
  <c r="J252" i="4" s="1"/>
  <c r="I244" i="4"/>
  <c r="J244" i="4" s="1"/>
  <c r="I236" i="4"/>
  <c r="J236" i="4" s="1"/>
  <c r="I228" i="4"/>
  <c r="J228" i="4" s="1"/>
  <c r="I220" i="4"/>
  <c r="J220" i="4" s="1"/>
  <c r="I212" i="4"/>
  <c r="J212" i="4" s="1"/>
  <c r="I204" i="4"/>
  <c r="J204" i="4" s="1"/>
  <c r="I196" i="4"/>
  <c r="J196" i="4" s="1"/>
  <c r="I188" i="4"/>
  <c r="J188" i="4" s="1"/>
  <c r="I180" i="4"/>
  <c r="J180" i="4" s="1"/>
  <c r="I172" i="4"/>
  <c r="J172" i="4" s="1"/>
  <c r="I164" i="4"/>
  <c r="J164" i="4" s="1"/>
  <c r="I156" i="4"/>
  <c r="J156" i="4" s="1"/>
  <c r="I148" i="4"/>
  <c r="J148" i="4" s="1"/>
  <c r="I140" i="4"/>
  <c r="J140" i="4" s="1"/>
  <c r="I132" i="4"/>
  <c r="J132" i="4" s="1"/>
  <c r="I124" i="4"/>
  <c r="J124" i="4" s="1"/>
  <c r="I116" i="4"/>
  <c r="J116" i="4" s="1"/>
  <c r="I108" i="4"/>
  <c r="J108" i="4" s="1"/>
  <c r="I100" i="4"/>
  <c r="J100" i="4" s="1"/>
  <c r="I92" i="4"/>
  <c r="J92" i="4" s="1"/>
  <c r="I84" i="4"/>
  <c r="J84" i="4" s="1"/>
  <c r="I76" i="4"/>
  <c r="J76" i="4" s="1"/>
  <c r="I68" i="4"/>
  <c r="J68" i="4" s="1"/>
  <c r="I60" i="4"/>
  <c r="J60" i="4" s="1"/>
  <c r="I52" i="4"/>
  <c r="J52" i="4" s="1"/>
  <c r="I44" i="4"/>
  <c r="J44" i="4" s="1"/>
  <c r="I36" i="4"/>
  <c r="J36" i="4" s="1"/>
  <c r="I28" i="4"/>
  <c r="J28" i="4" s="1"/>
  <c r="I20" i="4"/>
  <c r="J20" i="4" s="1"/>
  <c r="I12" i="4"/>
  <c r="J12" i="4" s="1"/>
  <c r="I4" i="4"/>
  <c r="J4" i="4" s="1"/>
  <c r="I457" i="4"/>
  <c r="J457" i="4" s="1"/>
  <c r="I409" i="4"/>
  <c r="J409" i="4" s="1"/>
  <c r="I353" i="4"/>
  <c r="J353" i="4" s="1"/>
  <c r="I305" i="4"/>
  <c r="J305" i="4" s="1"/>
  <c r="I249" i="4"/>
  <c r="J249" i="4" s="1"/>
  <c r="I193" i="4"/>
  <c r="J193" i="4" s="1"/>
  <c r="I161" i="4"/>
  <c r="J161" i="4" s="1"/>
  <c r="I113" i="4"/>
  <c r="J113" i="4" s="1"/>
  <c r="I41" i="4"/>
  <c r="J41" i="4" s="1"/>
  <c r="I499" i="4"/>
  <c r="J499" i="4" s="1"/>
  <c r="I491" i="4"/>
  <c r="J491" i="4" s="1"/>
  <c r="I483" i="4"/>
  <c r="J483" i="4" s="1"/>
  <c r="I475" i="4"/>
  <c r="J475" i="4" s="1"/>
  <c r="I467" i="4"/>
  <c r="J467" i="4" s="1"/>
  <c r="I459" i="4"/>
  <c r="J459" i="4" s="1"/>
  <c r="I451" i="4"/>
  <c r="J451" i="4" s="1"/>
  <c r="I443" i="4"/>
  <c r="J443" i="4" s="1"/>
  <c r="I435" i="4"/>
  <c r="J435" i="4" s="1"/>
  <c r="I427" i="4"/>
  <c r="J427" i="4" s="1"/>
  <c r="I419" i="4"/>
  <c r="J419" i="4" s="1"/>
  <c r="I411" i="4"/>
  <c r="J411" i="4" s="1"/>
  <c r="I403" i="4"/>
  <c r="J403" i="4" s="1"/>
  <c r="I395" i="4"/>
  <c r="J395" i="4" s="1"/>
  <c r="I387" i="4"/>
  <c r="J387" i="4" s="1"/>
  <c r="I379" i="4"/>
  <c r="J379" i="4" s="1"/>
  <c r="I371" i="4"/>
  <c r="J371" i="4" s="1"/>
  <c r="I363" i="4"/>
  <c r="J363" i="4" s="1"/>
  <c r="I355" i="4"/>
  <c r="J355" i="4" s="1"/>
  <c r="I347" i="4"/>
  <c r="J347" i="4" s="1"/>
  <c r="I339" i="4"/>
  <c r="J339" i="4" s="1"/>
  <c r="I331" i="4"/>
  <c r="J331" i="4" s="1"/>
  <c r="I323" i="4"/>
  <c r="J323" i="4" s="1"/>
  <c r="I315" i="4"/>
  <c r="J315" i="4" s="1"/>
  <c r="I307" i="4"/>
  <c r="J307" i="4" s="1"/>
  <c r="I299" i="4"/>
  <c r="J299" i="4" s="1"/>
  <c r="I291" i="4"/>
  <c r="J291" i="4" s="1"/>
  <c r="I283" i="4"/>
  <c r="J283" i="4" s="1"/>
  <c r="I275" i="4"/>
  <c r="J275" i="4" s="1"/>
  <c r="I267" i="4"/>
  <c r="J267" i="4" s="1"/>
  <c r="I259" i="4"/>
  <c r="J259" i="4" s="1"/>
  <c r="I251" i="4"/>
  <c r="J251" i="4" s="1"/>
  <c r="I243" i="4"/>
  <c r="J243" i="4" s="1"/>
  <c r="I235" i="4"/>
  <c r="J235" i="4" s="1"/>
  <c r="I227" i="4"/>
  <c r="J227" i="4" s="1"/>
  <c r="I219" i="4"/>
  <c r="J219" i="4" s="1"/>
  <c r="I211" i="4"/>
  <c r="J211" i="4" s="1"/>
  <c r="I203" i="4"/>
  <c r="J203" i="4" s="1"/>
  <c r="I195" i="4"/>
  <c r="J195" i="4" s="1"/>
  <c r="I187" i="4"/>
  <c r="J187" i="4" s="1"/>
  <c r="I179" i="4"/>
  <c r="J179" i="4" s="1"/>
  <c r="I171" i="4"/>
  <c r="J171" i="4" s="1"/>
  <c r="I163" i="4"/>
  <c r="J163" i="4" s="1"/>
  <c r="I155" i="4"/>
  <c r="J155" i="4" s="1"/>
  <c r="I147" i="4"/>
  <c r="J147" i="4" s="1"/>
  <c r="I139" i="4"/>
  <c r="J139" i="4" s="1"/>
  <c r="I131" i="4"/>
  <c r="J131" i="4" s="1"/>
  <c r="I123" i="4"/>
  <c r="J123" i="4" s="1"/>
  <c r="I115" i="4"/>
  <c r="J115" i="4" s="1"/>
  <c r="I107" i="4"/>
  <c r="J107" i="4" s="1"/>
  <c r="I99" i="4"/>
  <c r="J99" i="4" s="1"/>
  <c r="I91" i="4"/>
  <c r="J91" i="4" s="1"/>
  <c r="I83" i="4"/>
  <c r="J83" i="4" s="1"/>
  <c r="I75" i="4"/>
  <c r="J75" i="4" s="1"/>
  <c r="I67" i="4"/>
  <c r="J67" i="4" s="1"/>
  <c r="I59" i="4"/>
  <c r="J59" i="4" s="1"/>
  <c r="I51" i="4"/>
  <c r="J51" i="4" s="1"/>
  <c r="I43" i="4"/>
  <c r="J43" i="4" s="1"/>
  <c r="I35" i="4"/>
  <c r="J35" i="4" s="1"/>
  <c r="I27" i="4"/>
  <c r="J27" i="4" s="1"/>
  <c r="I19" i="4"/>
  <c r="J19" i="4" s="1"/>
  <c r="I11" i="4"/>
  <c r="J11" i="4" s="1"/>
  <c r="I3" i="4"/>
  <c r="J3" i="4" s="1"/>
</calcChain>
</file>

<file path=xl/sharedStrings.xml><?xml version="1.0" encoding="utf-8"?>
<sst xmlns="http://schemas.openxmlformats.org/spreadsheetml/2006/main" count="3920" uniqueCount="106">
  <si>
    <t>Field</t>
  </si>
  <si>
    <t>Value</t>
  </si>
  <si>
    <t>Probability</t>
  </si>
  <si>
    <t>Region</t>
  </si>
  <si>
    <t>ON</t>
  </si>
  <si>
    <t>QC</t>
  </si>
  <si>
    <t>BC</t>
  </si>
  <si>
    <t>Class</t>
  </si>
  <si>
    <t>A</t>
  </si>
  <si>
    <t>B</t>
  </si>
  <si>
    <t>AgeBand</t>
  </si>
  <si>
    <t>Smoker</t>
  </si>
  <si>
    <t>N</t>
  </si>
  <si>
    <t>Y</t>
  </si>
  <si>
    <t>MinAge</t>
  </si>
  <si>
    <t>MaxAge</t>
  </si>
  <si>
    <t>CumProb</t>
  </si>
  <si>
    <t>BenefitLine</t>
  </si>
  <si>
    <t>RateBasis</t>
  </si>
  <si>
    <t>ManualRate</t>
  </si>
  <si>
    <t>Health</t>
  </si>
  <si>
    <t>PLPM</t>
  </si>
  <si>
    <t>All</t>
  </si>
  <si>
    <t>Dental</t>
  </si>
  <si>
    <t>LTD</t>
  </si>
  <si>
    <t>%Salary</t>
  </si>
  <si>
    <t>STD</t>
  </si>
  <si>
    <t>EmployeeID</t>
  </si>
  <si>
    <t>rRegion</t>
  </si>
  <si>
    <t>rClass</t>
  </si>
  <si>
    <t>rAgeBand</t>
  </si>
  <si>
    <t>Age</t>
  </si>
  <si>
    <t>rSmoker</t>
  </si>
  <si>
    <t>Salary</t>
  </si>
  <si>
    <t>Life_FaceAmount</t>
  </si>
  <si>
    <t>25-34</t>
  </si>
  <si>
    <t>35-44</t>
  </si>
  <si>
    <t>45-54</t>
  </si>
  <si>
    <t>55-64</t>
  </si>
  <si>
    <t>Health &amp; Dental</t>
  </si>
  <si>
    <t>STD &amp; LTD</t>
  </si>
  <si>
    <t>HealthRates (Key = Class|Region)</t>
  </si>
  <si>
    <t>Key</t>
  </si>
  <si>
    <t>Rate</t>
  </si>
  <si>
    <t>A|ON</t>
  </si>
  <si>
    <t>A|QC</t>
  </si>
  <si>
    <t>A|BC</t>
  </si>
  <si>
    <t>B|ON</t>
  </si>
  <si>
    <t>B|QC</t>
  </si>
  <si>
    <t>B|BC</t>
  </si>
  <si>
    <t>DentalRates (Key = Class|Region)</t>
  </si>
  <si>
    <t>STDRates (Key = Class|AgeBand)</t>
  </si>
  <si>
    <t>LTDRates (Key = Class|AgeBand)</t>
  </si>
  <si>
    <t>A|25-34</t>
  </si>
  <si>
    <t>A|35-44</t>
  </si>
  <si>
    <t>A|45-54</t>
  </si>
  <si>
    <t>A|55-64</t>
  </si>
  <si>
    <t>B|25-34</t>
  </si>
  <si>
    <t>B|35-44</t>
  </si>
  <si>
    <t>B|45-54</t>
  </si>
  <si>
    <t>B|55-64</t>
  </si>
  <si>
    <t>HealthRate</t>
  </si>
  <si>
    <t>DentalRate</t>
  </si>
  <si>
    <t>STDRate</t>
  </si>
  <si>
    <t>LTDRate</t>
  </si>
  <si>
    <t>HealthPrem_M</t>
  </si>
  <si>
    <t>DentalPrem_M</t>
  </si>
  <si>
    <t>STDPrem_M</t>
  </si>
  <si>
    <t>LTDPrem_M</t>
  </si>
  <si>
    <t>TotalPrem_M</t>
  </si>
  <si>
    <t>Month</t>
  </si>
  <si>
    <t>Benefit</t>
  </si>
  <si>
    <t>Exposure</t>
  </si>
  <si>
    <t>ClaimCount</t>
  </si>
  <si>
    <t>ClaimsPaid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</si>
  <si>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</si>
  <si>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</si>
  <si>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</si>
  <si>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</si>
  <si>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</si>
  <si>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</si>
  <si>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</si>
  <si>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</si>
  <si>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</si>
  <si>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</si>
  <si>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</si>
  <si>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</si>
  <si>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%</t>
  </si>
  <si>
    <t>Assumptions on how many people use each type of insurance per month</t>
  </si>
  <si>
    <t>Cost per claim (severity)</t>
  </si>
  <si>
    <t>claim</t>
  </si>
  <si>
    <t>Assumptions on cost per claim</t>
  </si>
  <si>
    <t>Flag</t>
  </si>
  <si>
    <t>ExpCostPerLife</t>
  </si>
  <si>
    <t>ManualCostPerLife</t>
  </si>
  <si>
    <t>Ratio</t>
  </si>
  <si>
    <t>AvgSalary_Group</t>
  </si>
  <si>
    <t>A|All</t>
  </si>
  <si>
    <t>B|All</t>
  </si>
  <si>
    <t>Row Labels</t>
  </si>
  <si>
    <t>Grand Total</t>
  </si>
  <si>
    <t>Average of ManualCostPerLife</t>
  </si>
  <si>
    <t>Average of ExpCostPerLife</t>
  </si>
  <si>
    <t>Column Labels</t>
  </si>
  <si>
    <t>Average of Ratio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</si>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</sst>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0" fontId="2" fillId="0" borderId="0" xfId="0" applyFon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19"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  <dxf>
      <numFmt numFmtId="164" formatCode="0.00000000"/>
    </dxf>
    <dxf>
      <numFmt numFmtId="164" formatCode="0.00000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[Rate Calculation.xlsx]vis_ManualVSExp!PivotTable1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737542601095744E-2"/>
          <c:y val="0.14249781277340332"/>
          <c:w val="0.6639041086533114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vis_ManualVSExp!$B$3</c:f>
              <c:strCache>
                <c:ptCount val="1"/>
                <c:pt idx="0">
                  <c:v>Average of ManualCostPerLife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vis_ManualVSExp!$A$4:$A$8</c:f>
              <c:strCache>
                <c:ptCount val="4"/>
                <c:pt idx="0">
                  <c:v>Dental</c:v>
                </c:pt>
                <c:pt idx="1">
                  <c:v>Health</c:v>
                </c:pt>
                <c:pt idx="2">
                  <c:v>LTD</c:v>
                </c:pt>
                <c:pt idx="3">
                  <c:v>STD</c:v>
                </c:pt>
              </c:strCache>
            </c:strRef>
          </c:cat>
          <c:val>
            <c:numRef>
              <c:f>vis_ManualVSExp!$B$4:$B$8</c:f>
              <c:numCache>
                <c:formatCode>0</c:formatCode>
                <c:ptCount val="4"/>
                <c:pt idx="0">
                  <c:v>38.5</c:v>
                </c:pt>
                <c:pt idx="1">
                  <c:v>92.666666666666671</c:v>
                </c:pt>
                <c:pt idx="2">
                  <c:v>20.233696186291684</c:v>
                </c:pt>
                <c:pt idx="3">
                  <c:v>9.4696740085759661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D-486D-9E30-C14D34FA2E94}"/>
            </c:ext>
          </c:extLst>
        </c:ser>
        <c:ser>
          <c:idx val="1"/>
          <c:order val="1"/>
          <c:tx>
            <c:strRef>
              <c:f>vis_ManualVSExp!$C$3</c:f>
              <c:strCache>
                <c:ptCount val="1"/>
                <c:pt idx="0">
                  <c:v>Average of ExpCostPerLife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vis_ManualVSExp!$A$4:$A$8</c:f>
              <c:strCache>
                <c:ptCount val="4"/>
                <c:pt idx="0">
                  <c:v>Dental</c:v>
                </c:pt>
                <c:pt idx="1">
                  <c:v>Health</c:v>
                </c:pt>
                <c:pt idx="2">
                  <c:v>LTD</c:v>
                </c:pt>
                <c:pt idx="3">
                  <c:v>STD</c:v>
                </c:pt>
              </c:strCache>
            </c:strRef>
          </c:cat>
          <c:val>
            <c:numRef>
              <c:f>vis_ManualVSExp!$C$4:$C$8</c:f>
              <c:numCache>
                <c:formatCode>0</c:formatCode>
                <c:ptCount val="4"/>
                <c:pt idx="0">
                  <c:v>18.0115107805671</c:v>
                </c:pt>
                <c:pt idx="1">
                  <c:v>37.841345606257079</c:v>
                </c:pt>
                <c:pt idx="2">
                  <c:v>5.5555555555555562</c:v>
                </c:pt>
                <c:pt idx="3">
                  <c:v>10.060668836934004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D-486D-9E30-C14D34FA2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95152"/>
        <c:axId val="561092632"/>
      </c:barChart>
      <c:catAx>
        <c:axId val="5610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92632"/>
        <c:crosses val="autoZero"/>
        <c:auto val="1"/>
        <c:lblAlgn val="ctr"/>
        <c:lblOffset val="100"/>
        <c:noMultiLvlLbl val="0"/>
      </c:catAx>
      <c:valAx>
        <c:axId val="56109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9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95916452452595"/>
          <c:y val="0.33789333624963547"/>
          <c:w val="0.21622814407619798"/>
          <c:h val="0.518657407407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[Rate Calculation.xlsx]vis_RegionClassCompare!PivotTable2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vis_RegionClassCompare!$B$3:$B$4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vis_RegionClassCompare!$A$5:$A$8</c:f>
              <c:strCache>
                <c:ptCount val="3"/>
                <c:pt idx="0">
                  <c:v>BC</c:v>
                </c:pt>
                <c:pt idx="1">
                  <c:v>ON</c:v>
                </c:pt>
                <c:pt idx="2">
                  <c:v>QC</c:v>
                </c:pt>
              </c:strCache>
            </c:strRef>
          </c:cat>
          <c:val>
            <c:numRef>
              <c:f>vis_RegionClassCompare!$B$5:$B$8</c:f>
              <c:numCache>
                <c:formatCode>0.00</c:formatCode>
                <c:ptCount val="3"/>
                <c:pt idx="0">
                  <c:v>0.63816450422786175</c:v>
                </c:pt>
                <c:pt idx="1">
                  <c:v>1.0011350588681942</c:v>
                </c:pt>
                <c:pt idx="2">
                  <c:v>0.69187668608179553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C-4D32-94B6-2C52DF498B8E}"/>
            </c:ext>
          </c:extLst>
        </c:ser>
        <c:ser>
          <c:idx val="1"/>
          <c:order val="1"/>
          <c:tx>
            <c:strRef>
              <c:f>vis_RegionClassCompare!$C$3:$C$4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vis_RegionClassCompare!$A$5:$A$8</c:f>
              <c:strCache>
                <c:ptCount val="3"/>
                <c:pt idx="0">
                  <c:v>BC</c:v>
                </c:pt>
                <c:pt idx="1">
                  <c:v>ON</c:v>
                </c:pt>
                <c:pt idx="2">
                  <c:v>QC</c:v>
                </c:pt>
              </c:strCache>
            </c:strRef>
          </c:cat>
          <c:val>
            <c:numRef>
              <c:f>vis_RegionClassCompare!$C$5:$C$8</c:f>
              <c:numCache>
                <c:formatCode>0.00</c:formatCode>
                <c:ptCount val="3"/>
                <c:pt idx="0">
                  <c:v>0.21634979548553251</c:v>
                </c:pt>
                <c:pt idx="1">
                  <c:v>0.50972364695168948</c:v>
                </c:pt>
                <c:pt idx="2">
                  <c:v>0.20449308755760368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C-4D32-94B6-2C52DF498B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5121680"/>
        <c:axId val="105120600"/>
      </c:barChart>
      <c:catAx>
        <c:axId val="10512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20600"/>
        <c:crosses val="autoZero"/>
        <c:auto val="1"/>
        <c:lblAlgn val="ctr"/>
        <c:lblOffset val="100"/>
        <c:noMultiLvlLbl val="0"/>
      </c:catAx>
      <c:valAx>
        <c:axId val="1051206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512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126204</xdr:colOff>
      <xdr:row>8</xdr:row>
      <xdr:rowOff>161924</xdr:rowOff>
    </xdr:from>
    <xdr:to>
      <xdr:col>4</xdr:col>
      <xdr:colOff>266699</xdr:colOff>
      <xdr:row>24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64687-9B21-5885-1144-AD4E7D304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9</xdr:row>
      <xdr:rowOff>71437</xdr:rowOff>
    </xdr:from>
    <xdr:to>
      <xdr:col>6</xdr:col>
      <xdr:colOff>550069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9D249-56EA-E2B6-A442-F9477E98D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6.599353124999" createdVersion="8" refreshedVersion="8" minRefreshableVersion="3" recordCount="24" xr:uid="{0027F445-DE0D-482B-A2E6-C3D4697C4D2A}">
  <cacheSource type="worksheet">
    <worksheetSource ref="A1:I25" sheet="Compare_ClassRegion"/>
  </cacheSource>
  <cacheFields count="9">
    <cacheField name="Benefit" numFmtId="0">
      <sharedItems count="4">
        <s v="Health"/>
        <s v="Dental"/>
        <s v="STD"/>
        <s v="LTD"/>
      </sharedItems>
    </cacheField>
    <cacheField name="Region" numFmtId="0">
      <sharedItems count="3">
        <s v="ON"/>
        <s v="QC"/>
        <s v="BC"/>
      </sharedItems>
    </cacheField>
    <cacheField name="Class" numFmtId="0">
      <sharedItems count="2">
        <s v="A"/>
        <s v="B"/>
      </sharedItems>
    </cacheField>
    <cacheField name="Exposure" numFmtId="0">
      <sharedItems containsSemiMixedTypes="0" containsString="0" containsNumber="1" containsInteger="1" minValue="31" maxValue="180"/>
    </cacheField>
    <cacheField name="ExpCostPerLife" numFmtId="0">
      <sharedItems containsSemiMixedTypes="0" containsString="0" containsNumber="1" minValue="0" maxValue="40.322580645161288"/>
    </cacheField>
    <cacheField name="AvgSalary_Group" numFmtId="0">
      <sharedItems containsSemiMixedTypes="0" containsString="0" containsNumber="1" minValue="62145.032258064515" maxValue="94355.016129032258"/>
    </cacheField>
    <cacheField name="ManualCostPerLife" numFmtId="0">
      <sharedItems containsSemiMixedTypes="0" containsString="0" containsNumber="1" minValue="8.803879569892473" maxValue="100"/>
    </cacheField>
    <cacheField name="Ratio" numFmtId="0">
      <sharedItems containsSemiMixedTypes="0" containsString="0" containsNumber="1" minValue="0" maxValue="1.8934875638563891"/>
    </cacheField>
    <cacheField name="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180"/>
    <n v="37.5"/>
    <n v="87217.861111111109"/>
    <n v="85"/>
    <n v="0.44117647058823528"/>
    <s v="Favorable"/>
  </r>
  <r>
    <x v="0"/>
    <x v="0"/>
    <x v="1"/>
    <n v="109"/>
    <n v="36.697247706422019"/>
    <n v="64842.018348623853"/>
    <n v="95"/>
    <n v="0.38628681796233705"/>
    <s v="Favorable"/>
  </r>
  <r>
    <x v="0"/>
    <x v="1"/>
    <x v="0"/>
    <n v="62"/>
    <n v="36.29032258064516"/>
    <n v="94355.016129032258"/>
    <n v="90"/>
    <n v="0.40322580645161288"/>
    <s v="Favorable"/>
  </r>
  <r>
    <x v="0"/>
    <x v="1"/>
    <x v="1"/>
    <n v="31"/>
    <n v="40.322580645161288"/>
    <n v="62145.032258064515"/>
    <n v="100"/>
    <n v="0.40322580645161288"/>
    <s v="Favorable"/>
  </r>
  <r>
    <x v="0"/>
    <x v="2"/>
    <x v="0"/>
    <n v="72"/>
    <n v="38.194444444444443"/>
    <n v="94238.5"/>
    <n v="88"/>
    <n v="0.43402777777777773"/>
    <s v="Favorable"/>
  </r>
  <r>
    <x v="0"/>
    <x v="2"/>
    <x v="1"/>
    <n v="46"/>
    <n v="38.04347826086957"/>
    <n v="63166.913043478264"/>
    <n v="98"/>
    <n v="0.38819875776397522"/>
    <s v="Favorable"/>
  </r>
  <r>
    <x v="1"/>
    <x v="0"/>
    <x v="0"/>
    <n v="180"/>
    <n v="18"/>
    <n v="87217.861111111109"/>
    <n v="35"/>
    <n v="0.51428571428571423"/>
    <s v="Favorable"/>
  </r>
  <r>
    <x v="1"/>
    <x v="0"/>
    <x v="1"/>
    <n v="109"/>
    <n v="18.165137614678901"/>
    <n v="64842.018348623853"/>
    <n v="40"/>
    <n v="0.45412844036697253"/>
    <s v="Favorable"/>
  </r>
  <r>
    <x v="1"/>
    <x v="1"/>
    <x v="0"/>
    <n v="62"/>
    <n v="17.419354838709676"/>
    <n v="94355.016129032258"/>
    <n v="37"/>
    <n v="0.47079337401918042"/>
    <s v="Favorable"/>
  </r>
  <r>
    <x v="1"/>
    <x v="1"/>
    <x v="1"/>
    <n v="31"/>
    <n v="17.419354838709676"/>
    <n v="62145.032258064515"/>
    <n v="42"/>
    <n v="0.41474654377880182"/>
    <s v="Favorable"/>
  </r>
  <r>
    <x v="1"/>
    <x v="2"/>
    <x v="0"/>
    <n v="72"/>
    <n v="17.5"/>
    <n v="94238.5"/>
    <n v="36"/>
    <n v="0.4861111111111111"/>
    <s v="Favorable"/>
  </r>
  <r>
    <x v="1"/>
    <x v="2"/>
    <x v="1"/>
    <n v="46"/>
    <n v="19.565217391304348"/>
    <n v="63166.913043478264"/>
    <n v="41"/>
    <n v="0.47720042417815484"/>
    <s v="Favorable"/>
  </r>
  <r>
    <x v="2"/>
    <x v="0"/>
    <x v="0"/>
    <n v="180"/>
    <n v="13.333333333333334"/>
    <n v="87217.861111111109"/>
    <n v="9.4486016203703702"/>
    <n v="1.4111435606077218"/>
    <s v="Unfavorable"/>
  </r>
  <r>
    <x v="2"/>
    <x v="0"/>
    <x v="1"/>
    <n v="109"/>
    <n v="11.009174311926605"/>
    <n v="64842.018348623853"/>
    <n v="9.1859525993883775"/>
    <n v="1.1984793294774483"/>
    <s v="Unfavorable"/>
  </r>
  <r>
    <x v="2"/>
    <x v="1"/>
    <x v="0"/>
    <n v="62"/>
    <n v="19.35483870967742"/>
    <n v="94355.016129032258"/>
    <n v="10.221793413978494"/>
    <n v="1.8934875638563891"/>
    <s v="Unfavorable"/>
  </r>
  <r>
    <x v="2"/>
    <x v="1"/>
    <x v="1"/>
    <n v="31"/>
    <n v="0"/>
    <n v="62145.032258064515"/>
    <n v="8.803879569892473"/>
    <n v="0"/>
    <s v="Favorable"/>
  </r>
  <r>
    <x v="2"/>
    <x v="2"/>
    <x v="0"/>
    <n v="72"/>
    <n v="16.666666666666668"/>
    <n v="94238.5"/>
    <n v="10.209170833333333"/>
    <n v="1.6325191280225582"/>
    <s v="Unfavorable"/>
  </r>
  <r>
    <x v="2"/>
    <x v="2"/>
    <x v="1"/>
    <n v="46"/>
    <n v="0"/>
    <n v="63166.913043478264"/>
    <n v="8.9486460144927538"/>
    <n v="0"/>
    <s v="Favorable"/>
  </r>
  <r>
    <x v="3"/>
    <x v="0"/>
    <x v="0"/>
    <n v="180"/>
    <n v="33.333333333333336"/>
    <n v="87217.861111111109"/>
    <n v="20.350834259259258"/>
    <n v="1.6379344899911057"/>
    <s v="Unfavorable"/>
  </r>
  <r>
    <x v="3"/>
    <x v="0"/>
    <x v="1"/>
    <n v="109"/>
    <n v="0"/>
    <n v="64842.018348623853"/>
    <n v="19.452605504587154"/>
    <n v="0"/>
    <s v="Favorable"/>
  </r>
  <r>
    <x v="3"/>
    <x v="1"/>
    <x v="0"/>
    <n v="62"/>
    <n v="0"/>
    <n v="94355.016129032258"/>
    <n v="22.016170430107525"/>
    <n v="0"/>
    <s v="Favorable"/>
  </r>
  <r>
    <x v="3"/>
    <x v="1"/>
    <x v="1"/>
    <n v="31"/>
    <n v="0"/>
    <n v="62145.032258064515"/>
    <n v="18.643509677419356"/>
    <n v="0"/>
    <s v="Favorable"/>
  </r>
  <r>
    <x v="3"/>
    <x v="2"/>
    <x v="0"/>
    <n v="72"/>
    <n v="0"/>
    <n v="94238.5"/>
    <n v="21.988983333333334"/>
    <n v="0"/>
    <s v="Favorable"/>
  </r>
  <r>
    <x v="3"/>
    <x v="2"/>
    <x v="1"/>
    <n v="46"/>
    <n v="0"/>
    <n v="63166.913043478264"/>
    <n v="18.950073913043479"/>
    <n v="0"/>
    <s v="Favor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D6A94-8035-45D4-B8FE-1D0B46AE4F1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9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nualCostPerLife" fld="6" subtotal="average" baseField="0" baseItem="0"/>
    <dataField name="Average of ExpCostPerLife" fld="4" subtotal="average" baseField="0" baseItem="0"/>
  </dataFields>
  <formats count="1">
    <format dxfId="1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2C20A-3806-48D7-95EF-B8A74994ADF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9"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atio" fld="7" subtotal="average" baseField="1" baseItem="1" numFmtId="2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909F-082C-48BC-8498-25F52055757A}">
  <dimension ref="A3:C8"/>
  <sheetViews>
    <sheetView workbookViewId="0">
      <selection activeCell="G19" sqref="G19"/>
    </sheetView>
  </sheetViews>
  <sheetFormatPr defaultRowHeight="14.25" x14ac:dyDescent="0.45"/>
  <cols>
    <col min="1" max="1" width="12.06640625" bestFit="1" customWidth="1"/>
    <col min="2" max="2" width="25.46484375" bestFit="1" customWidth="1"/>
    <col min="3" max="3" width="22.1328125" bestFit="1" customWidth="1"/>
  </cols>
  <sheetData>
    <row r="3" spans="1:3" x14ac:dyDescent="0.45">
      <c r="A3" s="14" t="s">
        <v>99</v>
      </c>
      <c r="B3" t="s">
        <v>101</v>
      </c>
      <c r="C3" t="s">
        <v>102</v>
      </c>
    </row>
    <row r="4" spans="1:3" x14ac:dyDescent="0.45">
      <c r="A4" s="15" t="s">
        <v>23</v>
      </c>
      <c r="B4" s="16">
        <v>38.5</v>
      </c>
      <c r="C4" s="16">
        <v>18.0115107805671</v>
      </c>
    </row>
    <row r="5" spans="1:3" x14ac:dyDescent="0.45">
      <c r="A5" s="15" t="s">
        <v>20</v>
      </c>
      <c r="B5" s="16">
        <v>92.666666666666671</v>
      </c>
      <c r="C5" s="16">
        <v>37.841345606257079</v>
      </c>
    </row>
    <row r="6" spans="1:3" x14ac:dyDescent="0.45">
      <c r="A6" s="15" t="s">
        <v>24</v>
      </c>
      <c r="B6" s="16">
        <v>20.233696186291684</v>
      </c>
      <c r="C6" s="16">
        <v>5.5555555555555562</v>
      </c>
    </row>
    <row r="7" spans="1:3" x14ac:dyDescent="0.45">
      <c r="A7" s="15" t="s">
        <v>26</v>
      </c>
      <c r="B7" s="16">
        <v>9.4696740085759661</v>
      </c>
      <c r="C7" s="16">
        <v>10.060668836934004</v>
      </c>
    </row>
    <row r="8" spans="1:3" x14ac:dyDescent="0.45">
      <c r="A8" s="15" t="s">
        <v>100</v>
      </c>
      <c r="B8" s="16">
        <v>40.217509215383586</v>
      </c>
      <c r="C8" s="16">
        <v>17.867270194828432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78E-AFA5-4D26-9F6F-1944C2C916F0}">
  <dimension ref="A3:I12"/>
  <sheetViews>
    <sheetView tabSelected="1" workbookViewId="0">
      <selection activeCell="H20" sqref="H20"/>
    </sheetView>
  </sheetViews>
  <sheetFormatPr defaultRowHeight="14.25" x14ac:dyDescent="0.45"/>
  <cols>
    <col min="1" max="1" width="14.265625" bestFit="1" customWidth="1"/>
    <col min="2" max="2" width="14.73046875" bestFit="1" customWidth="1"/>
    <col min="3" max="3" width="4.265625" bestFit="1" customWidth="1"/>
    <col min="4" max="4" width="10.19921875" bestFit="1" customWidth="1"/>
  </cols>
  <sheetData>
    <row r="3" spans="1:9" x14ac:dyDescent="0.45">
      <c r="A3" s="14" t="s">
        <v>104</v>
      </c>
      <c r="B3" s="14" t="s">
        <v>103</v>
      </c>
    </row>
    <row r="4" spans="1:9" x14ac:dyDescent="0.45">
      <c r="A4" s="14" t="s">
        <v>99</v>
      </c>
      <c r="B4" t="s">
        <v>8</v>
      </c>
      <c r="C4" t="s">
        <v>9</v>
      </c>
      <c r="D4" t="s">
        <v>100</v>
      </c>
    </row>
    <row r="5" spans="1:9" x14ac:dyDescent="0.45">
      <c r="A5" s="15" t="s">
        <v>6</v>
      </c>
      <c r="B5" s="17">
        <v>0.63816450422786175</v>
      </c>
      <c r="C5" s="17">
        <v>0.21634979548553251</v>
      </c>
      <c r="D5" s="17">
        <v>0.4272571498566971</v>
      </c>
    </row>
    <row r="6" spans="1:9" x14ac:dyDescent="0.45">
      <c r="A6" s="15" t="s">
        <v>4</v>
      </c>
      <c r="B6" s="17">
        <v>1.0011350588681942</v>
      </c>
      <c r="C6" s="17">
        <v>0.50972364695168948</v>
      </c>
      <c r="D6" s="17">
        <v>0.75542935290994184</v>
      </c>
    </row>
    <row r="7" spans="1:9" x14ac:dyDescent="0.45">
      <c r="A7" s="15" t="s">
        <v>5</v>
      </c>
      <c r="B7" s="17">
        <v>0.69187668608179553</v>
      </c>
      <c r="C7" s="17">
        <v>0.20449308755760368</v>
      </c>
      <c r="D7" s="17">
        <v>0.44818488681969959</v>
      </c>
    </row>
    <row r="8" spans="1:9" x14ac:dyDescent="0.45">
      <c r="A8" s="15" t="s">
        <v>100</v>
      </c>
      <c r="B8" s="17">
        <v>0.77705874972595057</v>
      </c>
      <c r="C8" s="17">
        <v>0.31018884333160851</v>
      </c>
      <c r="D8" s="17">
        <v>0.54362379652877946</v>
      </c>
    </row>
    <row r="12" spans="1:9" x14ac:dyDescent="0.45">
      <c r="I12" t="s">
        <v>105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FA55-5130-44D0-89E8-0C440F4DD46F}">
  <dimension ref="A1:I25"/>
  <sheetViews>
    <sheetView zoomScale="82" workbookViewId="0">
      <selection activeCell="I19" sqref="I19"/>
    </sheetView>
  </sheetViews>
  <sheetFormatPr defaultRowHeight="14.25" x14ac:dyDescent="0.45"/>
  <cols>
    <col min="5" max="5" width="7.9296875" customWidth="1"/>
    <col min="6" max="6" width="10" customWidth="1"/>
    <col min="7" max="7" width="10.796875" customWidth="1"/>
    <col min="9" max="9" width="14.59765625" customWidth="1"/>
  </cols>
  <sheetData>
    <row r="1" spans="1:9" ht="28.5" x14ac:dyDescent="0.45">
      <c r="A1" s="1" t="s">
        <v>71</v>
      </c>
      <c r="B1" s="1" t="s">
        <v>3</v>
      </c>
      <c r="C1" s="1" t="s">
        <v>7</v>
      </c>
      <c r="D1" s="8" t="s">
        <v>72</v>
      </c>
      <c r="E1" s="8" t="s">
        <v>93</v>
      </c>
      <c r="F1" s="8" t="s">
        <v>96</v>
      </c>
      <c r="G1" s="8" t="s">
        <v>94</v>
      </c>
      <c r="H1" s="8" t="s">
        <v>95</v>
      </c>
      <c r="I1" s="1" t="s">
        <v>92</v>
      </c>
    </row>
    <row r="2" spans="1:9" x14ac:dyDescent="0.45">
      <c r="A2" t="s">
        <v>20</v>
      </c>
      <c r="B2" t="s">
        <v>4</v>
      </c>
      <c r="C2" t="s">
        <v>8</v>
      </c>
      <c r="D2">
        <f>COUNTIFS(Census!B:B,Compare_ClassRegion!B2,Census!C:C,Compare_ClassRegion!C2)</f>
        <v>180</v>
      </c>
      <c r="E2">
        <f>IF(D2=0,0,SUMIFS(Experience_12m!$G:$G,Experience_12m!$B:$B,$A2,Experience_12m!$C:$C,$B2,Experience_12m!$D:$D,$C2)/D2/12)</f>
        <v>37.5</v>
      </c>
      <c r="F2">
        <f>IF(D2=0,0,AVERAGEIFS(Census!$I:$I,Census!$B:$B,$B2,Census!$C:$C,$C2))</f>
        <v>87217.861111111109</v>
      </c>
      <c r="G2">
        <f>IF(A2="Health",VLOOKUP(C2&amp;"|"&amp;B2,rate_tables!$A$3:$B$8,2,FALSE),IF(A2="Dental",VLOOKUP(C2&amp;"|"&amp;B2,rate_tables!$A$12:$B$17,2,FALSE),IF(A2="STD",VLOOKUP(C2&amp;"|All",rate_tables!$D$21:$E$22,2,FALSE)*F2/12,VLOOKUP(C2&amp;"|All",rate_tables!$D$32:$E$33,2,FALSE)*F2/12)))</f>
        <v>85</v>
      </c>
      <c r="H2">
        <f>E2/G2</f>
        <v>0.44117647058823528</v>
      </c>
      <c r="I2" t="str">
        <f>IF(H2&gt;=1.1,"Unfavorable",IF(H2&lt;0.9,"Favorable","Neutral"))</f>
        <v>Favorable</v>
      </c>
    </row>
    <row r="3" spans="1:9" x14ac:dyDescent="0.45">
      <c r="A3" t="s">
        <v>20</v>
      </c>
      <c r="B3" t="s">
        <v>4</v>
      </c>
      <c r="C3" t="s">
        <v>9</v>
      </c>
      <c r="D3">
        <f>COUNTIFS(Census!B:B,Compare_ClassRegion!B3,Census!C:C,Compare_ClassRegion!C3)</f>
        <v>109</v>
      </c>
      <c r="E3">
        <f>IF(D3=0,0,SUMIFS(Experience_12m!$G:$G,Experience_12m!$B:$B,$A3,Experience_12m!$C:$C,$B3,Experience_12m!$D:$D,$C3)/D3/12)</f>
        <v>36.697247706422019</v>
      </c>
      <c r="F3">
        <f>IF(D3=0,0,AVERAGEIFS(Census!$I:$I,Census!$B:$B,$B3,Census!$C:$C,$C3))</f>
        <v>64842.018348623853</v>
      </c>
      <c r="G3">
        <f>IF(A3="Health",VLOOKUP(C3&amp;"|"&amp;B3,rate_tables!$A$3:$B$8,2,FALSE),IF(A3="Dental",VLOOKUP(C3&amp;"|"&amp;B3,rate_tables!$A$12:$B$17,2,FALSE),IF(A3="STD",VLOOKUP(C3&amp;"|All",rate_tables!$D$21:$E$22,2,FALSE)*F3/12,VLOOKUP(C3&amp;"|All",rate_tables!$D$32:$E$33,2,FALSE)*F3/12)))</f>
        <v>95</v>
      </c>
      <c r="H3">
        <f t="shared" ref="H3:H25" si="0">E3/G3</f>
        <v>0.38628681796233705</v>
      </c>
      <c r="I3" t="str">
        <f t="shared" ref="I3:I25" si="1">IF(H3&gt;=1.1,"Unfavorable",IF(H3&lt;0.9,"Favorable","Neutral"))</f>
        <v>Favorable</v>
      </c>
    </row>
    <row r="4" spans="1:9" x14ac:dyDescent="0.45">
      <c r="A4" t="s">
        <v>20</v>
      </c>
      <c r="B4" t="s">
        <v>5</v>
      </c>
      <c r="C4" t="s">
        <v>8</v>
      </c>
      <c r="D4">
        <f>COUNTIFS(Census!B:B,Compare_ClassRegion!B4,Census!C:C,Compare_ClassRegion!C4)</f>
        <v>62</v>
      </c>
      <c r="E4">
        <f>IF(D4=0,0,SUMIFS(Experience_12m!$G:$G,Experience_12m!$B:$B,$A4,Experience_12m!$C:$C,$B4,Experience_12m!$D:$D,$C4)/D4/12)</f>
        <v>36.29032258064516</v>
      </c>
      <c r="F4">
        <f>IF(D4=0,0,AVERAGEIFS(Census!$I:$I,Census!$B:$B,$B4,Census!$C:$C,$C4))</f>
        <v>94355.016129032258</v>
      </c>
      <c r="G4">
        <f>IF(A4="Health",VLOOKUP(C4&amp;"|"&amp;B4,rate_tables!$A$3:$B$8,2,FALSE),IF(A4="Dental",VLOOKUP(C4&amp;"|"&amp;B4,rate_tables!$A$12:$B$17,2,FALSE),IF(A4="STD",VLOOKUP(C4&amp;"|All",rate_tables!$D$21:$E$22,2,FALSE)*F4/12,VLOOKUP(C4&amp;"|All",rate_tables!$D$32:$E$33,2,FALSE)*F4/12)))</f>
        <v>90</v>
      </c>
      <c r="H4">
        <f t="shared" si="0"/>
        <v>0.40322580645161288</v>
      </c>
      <c r="I4" t="str">
        <f t="shared" si="1"/>
        <v>Favorable</v>
      </c>
    </row>
    <row r="5" spans="1:9" x14ac:dyDescent="0.45">
      <c r="A5" t="s">
        <v>20</v>
      </c>
      <c r="B5" t="s">
        <v>5</v>
      </c>
      <c r="C5" t="s">
        <v>9</v>
      </c>
      <c r="D5">
        <f>COUNTIFS(Census!B:B,Compare_ClassRegion!B5,Census!C:C,Compare_ClassRegion!C5)</f>
        <v>31</v>
      </c>
      <c r="E5">
        <f>IF(D5=0,0,SUMIFS(Experience_12m!$G:$G,Experience_12m!$B:$B,$A5,Experience_12m!$C:$C,$B5,Experience_12m!$D:$D,$C5)/D5/12)</f>
        <v>40.322580645161288</v>
      </c>
      <c r="F5">
        <f>IF(D5=0,0,AVERAGEIFS(Census!$I:$I,Census!$B:$B,$B5,Census!$C:$C,$C5))</f>
        <v>62145.032258064515</v>
      </c>
      <c r="G5">
        <f>IF(A5="Health",VLOOKUP(C5&amp;"|"&amp;B5,rate_tables!$A$3:$B$8,2,FALSE),IF(A5="Dental",VLOOKUP(C5&amp;"|"&amp;B5,rate_tables!$A$12:$B$17,2,FALSE),IF(A5="STD",VLOOKUP(C5&amp;"|All",rate_tables!$D$21:$E$22,2,FALSE)*F5/12,VLOOKUP(C5&amp;"|All",rate_tables!$D$32:$E$33,2,FALSE)*F5/12)))</f>
        <v>100</v>
      </c>
      <c r="H5">
        <f t="shared" si="0"/>
        <v>0.40322580645161288</v>
      </c>
      <c r="I5" t="str">
        <f t="shared" si="1"/>
        <v>Favorable</v>
      </c>
    </row>
    <row r="6" spans="1:9" x14ac:dyDescent="0.45">
      <c r="A6" t="s">
        <v>20</v>
      </c>
      <c r="B6" t="s">
        <v>6</v>
      </c>
      <c r="C6" t="s">
        <v>8</v>
      </c>
      <c r="D6">
        <f>COUNTIFS(Census!B:B,Compare_ClassRegion!B6,Census!C:C,Compare_ClassRegion!C6)</f>
        <v>72</v>
      </c>
      <c r="E6">
        <f>IF(D6=0,0,SUMIFS(Experience_12m!$G:$G,Experience_12m!$B:$B,$A6,Experience_12m!$C:$C,$B6,Experience_12m!$D:$D,$C6)/D6/12)</f>
        <v>38.194444444444443</v>
      </c>
      <c r="F6">
        <f>IF(D6=0,0,AVERAGEIFS(Census!$I:$I,Census!$B:$B,$B6,Census!$C:$C,$C6))</f>
        <v>94238.5</v>
      </c>
      <c r="G6">
        <f>IF(A6="Health",VLOOKUP(C6&amp;"|"&amp;B6,rate_tables!$A$3:$B$8,2,FALSE),IF(A6="Dental",VLOOKUP(C6&amp;"|"&amp;B6,rate_tables!$A$12:$B$17,2,FALSE),IF(A6="STD",VLOOKUP(C6&amp;"|All",rate_tables!$D$21:$E$22,2,FALSE)*F6/12,VLOOKUP(C6&amp;"|All",rate_tables!$D$32:$E$33,2,FALSE)*F6/12)))</f>
        <v>88</v>
      </c>
      <c r="H6">
        <f t="shared" si="0"/>
        <v>0.43402777777777773</v>
      </c>
      <c r="I6" t="str">
        <f t="shared" si="1"/>
        <v>Favorable</v>
      </c>
    </row>
    <row r="7" spans="1:9" x14ac:dyDescent="0.45">
      <c r="A7" t="s">
        <v>20</v>
      </c>
      <c r="B7" t="s">
        <v>6</v>
      </c>
      <c r="C7" t="s">
        <v>9</v>
      </c>
      <c r="D7">
        <f>COUNTIFS(Census!B:B,Compare_ClassRegion!B7,Census!C:C,Compare_ClassRegion!C7)</f>
        <v>46</v>
      </c>
      <c r="E7">
        <f>IF(D7=0,0,SUMIFS(Experience_12m!$G:$G,Experience_12m!$B:$B,$A7,Experience_12m!$C:$C,$B7,Experience_12m!$D:$D,$C7)/D7/12)</f>
        <v>38.04347826086957</v>
      </c>
      <c r="F7">
        <f>IF(D7=0,0,AVERAGEIFS(Census!$I:$I,Census!$B:$B,$B7,Census!$C:$C,$C7))</f>
        <v>63166.913043478264</v>
      </c>
      <c r="G7">
        <f>IF(A7="Health",VLOOKUP(C7&amp;"|"&amp;B7,rate_tables!$A$3:$B$8,2,FALSE),IF(A7="Dental",VLOOKUP(C7&amp;"|"&amp;B7,rate_tables!$A$12:$B$17,2,FALSE),IF(A7="STD",VLOOKUP(C7&amp;"|All",rate_tables!$D$21:$E$22,2,FALSE)*F7/12,VLOOKUP(C7&amp;"|All",rate_tables!$D$32:$E$33,2,FALSE)*F7/12)))</f>
        <v>98</v>
      </c>
      <c r="H7">
        <f t="shared" si="0"/>
        <v>0.38819875776397522</v>
      </c>
      <c r="I7" t="str">
        <f t="shared" si="1"/>
        <v>Favorable</v>
      </c>
    </row>
    <row r="8" spans="1:9" x14ac:dyDescent="0.45">
      <c r="A8" t="s">
        <v>23</v>
      </c>
      <c r="B8" t="s">
        <v>4</v>
      </c>
      <c r="C8" t="s">
        <v>8</v>
      </c>
      <c r="D8">
        <f>COUNTIFS(Census!B:B,Compare_ClassRegion!B8,Census!C:C,Compare_ClassRegion!C8)</f>
        <v>180</v>
      </c>
      <c r="E8">
        <f>IF(D8=0,0,SUMIFS(Experience_12m!$G:$G,Experience_12m!$B:$B,$A8,Experience_12m!$C:$C,$B8,Experience_12m!$D:$D,$C8)/D8/12)</f>
        <v>18</v>
      </c>
      <c r="F8">
        <f>IF(D8=0,0,AVERAGEIFS(Census!$I:$I,Census!$B:$B,$B8,Census!$C:$C,$C8))</f>
        <v>87217.861111111109</v>
      </c>
      <c r="G8">
        <f>IF(A8="Health",VLOOKUP(C8&amp;"|"&amp;B8,rate_tables!$A$3:$B$8,2,FALSE),IF(A8="Dental",VLOOKUP(C8&amp;"|"&amp;B8,rate_tables!$A$12:$B$17,2,FALSE),IF(A8="STD",VLOOKUP(C8&amp;"|All",rate_tables!$D$21:$E$22,2,FALSE)*F8/12,VLOOKUP(C8&amp;"|All",rate_tables!$D$32:$E$33,2,FALSE)*F8/12)))</f>
        <v>35</v>
      </c>
      <c r="H8">
        <f t="shared" si="0"/>
        <v>0.51428571428571423</v>
      </c>
      <c r="I8" t="str">
        <f t="shared" si="1"/>
        <v>Favorable</v>
      </c>
    </row>
    <row r="9" spans="1:9" x14ac:dyDescent="0.45">
      <c r="A9" t="s">
        <v>23</v>
      </c>
      <c r="B9" t="s">
        <v>4</v>
      </c>
      <c r="C9" t="s">
        <v>9</v>
      </c>
      <c r="D9">
        <f>COUNTIFS(Census!B:B,Compare_ClassRegion!B9,Census!C:C,Compare_ClassRegion!C9)</f>
        <v>109</v>
      </c>
      <c r="E9">
        <f>IF(D9=0,0,SUMIFS(Experience_12m!$G:$G,Experience_12m!$B:$B,$A9,Experience_12m!$C:$C,$B9,Experience_12m!$D:$D,$C9)/D9/12)</f>
        <v>18.165137614678901</v>
      </c>
      <c r="F9">
        <f>IF(D9=0,0,AVERAGEIFS(Census!$I:$I,Census!$B:$B,$B9,Census!$C:$C,$C9))</f>
        <v>64842.018348623853</v>
      </c>
      <c r="G9">
        <f>IF(A9="Health",VLOOKUP(C9&amp;"|"&amp;B9,rate_tables!$A$3:$B$8,2,FALSE),IF(A9="Dental",VLOOKUP(C9&amp;"|"&amp;B9,rate_tables!$A$12:$B$17,2,FALSE),IF(A9="STD",VLOOKUP(C9&amp;"|All",rate_tables!$D$21:$E$22,2,FALSE)*F9/12,VLOOKUP(C9&amp;"|All",rate_tables!$D$32:$E$33,2,FALSE)*F9/12)))</f>
        <v>40</v>
      </c>
      <c r="H9">
        <f t="shared" si="0"/>
        <v>0.45412844036697253</v>
      </c>
      <c r="I9" t="str">
        <f t="shared" si="1"/>
        <v>Favorable</v>
      </c>
    </row>
    <row r="10" spans="1:9" x14ac:dyDescent="0.45">
      <c r="A10" t="s">
        <v>23</v>
      </c>
      <c r="B10" t="s">
        <v>5</v>
      </c>
      <c r="C10" t="s">
        <v>8</v>
      </c>
      <c r="D10">
        <f>COUNTIFS(Census!B:B,Compare_ClassRegion!B10,Census!C:C,Compare_ClassRegion!C10)</f>
        <v>62</v>
      </c>
      <c r="E10">
        <f>IF(D10=0,0,SUMIFS(Experience_12m!$G:$G,Experience_12m!$B:$B,$A10,Experience_12m!$C:$C,$B10,Experience_12m!$D:$D,$C10)/D10/12)</f>
        <v>17.419354838709676</v>
      </c>
      <c r="F10">
        <f>IF(D10=0,0,AVERAGEIFS(Census!$I:$I,Census!$B:$B,$B10,Census!$C:$C,$C10))</f>
        <v>94355.016129032258</v>
      </c>
      <c r="G10">
        <f>IF(A10="Health",VLOOKUP(C10&amp;"|"&amp;B10,rate_tables!$A$3:$B$8,2,FALSE),IF(A10="Dental",VLOOKUP(C10&amp;"|"&amp;B10,rate_tables!$A$12:$B$17,2,FALSE),IF(A10="STD",VLOOKUP(C10&amp;"|All",rate_tables!$D$21:$E$22,2,FALSE)*F10/12,VLOOKUP(C10&amp;"|All",rate_tables!$D$32:$E$33,2,FALSE)*F10/12)))</f>
        <v>37</v>
      </c>
      <c r="H10">
        <f t="shared" si="0"/>
        <v>0.47079337401918042</v>
      </c>
      <c r="I10" t="str">
        <f t="shared" si="1"/>
        <v>Favorable</v>
      </c>
    </row>
    <row r="11" spans="1:9" x14ac:dyDescent="0.45">
      <c r="A11" t="s">
        <v>23</v>
      </c>
      <c r="B11" t="s">
        <v>5</v>
      </c>
      <c r="C11" t="s">
        <v>9</v>
      </c>
      <c r="D11">
        <f>COUNTIFS(Census!B:B,Compare_ClassRegion!B11,Census!C:C,Compare_ClassRegion!C11)</f>
        <v>31</v>
      </c>
      <c r="E11">
        <f>IF(D11=0,0,SUMIFS(Experience_12m!$G:$G,Experience_12m!$B:$B,$A11,Experience_12m!$C:$C,$B11,Experience_12m!$D:$D,$C11)/D11/12)</f>
        <v>17.419354838709676</v>
      </c>
      <c r="F11">
        <f>IF(D11=0,0,AVERAGEIFS(Census!$I:$I,Census!$B:$B,$B11,Census!$C:$C,$C11))</f>
        <v>62145.032258064515</v>
      </c>
      <c r="G11">
        <f>IF(A11="Health",VLOOKUP(C11&amp;"|"&amp;B11,rate_tables!$A$3:$B$8,2,FALSE),IF(A11="Dental",VLOOKUP(C11&amp;"|"&amp;B11,rate_tables!$A$12:$B$17,2,FALSE),IF(A11="STD",VLOOKUP(C11&amp;"|All",rate_tables!$D$21:$E$22,2,FALSE)*F11/12,VLOOKUP(C11&amp;"|All",rate_tables!$D$32:$E$33,2,FALSE)*F11/12)))</f>
        <v>42</v>
      </c>
      <c r="H11">
        <f t="shared" si="0"/>
        <v>0.41474654377880182</v>
      </c>
      <c r="I11" t="str">
        <f t="shared" si="1"/>
        <v>Favorable</v>
      </c>
    </row>
    <row r="12" spans="1:9" x14ac:dyDescent="0.45">
      <c r="A12" t="s">
        <v>23</v>
      </c>
      <c r="B12" t="s">
        <v>6</v>
      </c>
      <c r="C12" t="s">
        <v>8</v>
      </c>
      <c r="D12">
        <f>COUNTIFS(Census!B:B,Compare_ClassRegion!B12,Census!C:C,Compare_ClassRegion!C12)</f>
        <v>72</v>
      </c>
      <c r="E12">
        <f>IF(D12=0,0,SUMIFS(Experience_12m!$G:$G,Experience_12m!$B:$B,$A12,Experience_12m!$C:$C,$B12,Experience_12m!$D:$D,$C12)/D12/12)</f>
        <v>17.5</v>
      </c>
      <c r="F12">
        <f>IF(D12=0,0,AVERAGEIFS(Census!$I:$I,Census!$B:$B,$B12,Census!$C:$C,$C12))</f>
        <v>94238.5</v>
      </c>
      <c r="G12">
        <f>IF(A12="Health",VLOOKUP(C12&amp;"|"&amp;B12,rate_tables!$A$3:$B$8,2,FALSE),IF(A12="Dental",VLOOKUP(C12&amp;"|"&amp;B12,rate_tables!$A$12:$B$17,2,FALSE),IF(A12="STD",VLOOKUP(C12&amp;"|All",rate_tables!$D$21:$E$22,2,FALSE)*F12/12,VLOOKUP(C12&amp;"|All",rate_tables!$D$32:$E$33,2,FALSE)*F12/12)))</f>
        <v>36</v>
      </c>
      <c r="H12">
        <f t="shared" si="0"/>
        <v>0.4861111111111111</v>
      </c>
      <c r="I12" t="str">
        <f t="shared" si="1"/>
        <v>Favorable</v>
      </c>
    </row>
    <row r="13" spans="1:9" x14ac:dyDescent="0.45">
      <c r="A13" t="s">
        <v>23</v>
      </c>
      <c r="B13" t="s">
        <v>6</v>
      </c>
      <c r="C13" t="s">
        <v>9</v>
      </c>
      <c r="D13">
        <f>COUNTIFS(Census!B:B,Compare_ClassRegion!B13,Census!C:C,Compare_ClassRegion!C13)</f>
        <v>46</v>
      </c>
      <c r="E13">
        <f>IF(D13=0,0,SUMIFS(Experience_12m!$G:$G,Experience_12m!$B:$B,$A13,Experience_12m!$C:$C,$B13,Experience_12m!$D:$D,$C13)/D13/12)</f>
        <v>19.565217391304348</v>
      </c>
      <c r="F13">
        <f>IF(D13=0,0,AVERAGEIFS(Census!$I:$I,Census!$B:$B,$B13,Census!$C:$C,$C13))</f>
        <v>63166.913043478264</v>
      </c>
      <c r="G13">
        <f>IF(A13="Health",VLOOKUP(C13&amp;"|"&amp;B13,rate_tables!$A$3:$B$8,2,FALSE),IF(A13="Dental",VLOOKUP(C13&amp;"|"&amp;B13,rate_tables!$A$12:$B$17,2,FALSE),IF(A13="STD",VLOOKUP(C13&amp;"|All",rate_tables!$D$21:$E$22,2,FALSE)*F13/12,VLOOKUP(C13&amp;"|All",rate_tables!$D$32:$E$33,2,FALSE)*F13/12)))</f>
        <v>41</v>
      </c>
      <c r="H13">
        <f t="shared" si="0"/>
        <v>0.47720042417815484</v>
      </c>
      <c r="I13" t="str">
        <f t="shared" si="1"/>
        <v>Favorable</v>
      </c>
    </row>
    <row r="14" spans="1:9" x14ac:dyDescent="0.45">
      <c r="A14" t="s">
        <v>26</v>
      </c>
      <c r="B14" t="s">
        <v>4</v>
      </c>
      <c r="C14" t="s">
        <v>8</v>
      </c>
      <c r="D14">
        <f>COUNTIFS(Census!B:B,Compare_ClassRegion!B14,Census!C:C,Compare_ClassRegion!C14)</f>
        <v>180</v>
      </c>
      <c r="E14">
        <f>IF(D14=0,0,SUMIFS(Experience_12m!$G:$G,Experience_12m!$B:$B,$A14,Experience_12m!$C:$C,$B14,Experience_12m!$D:$D,$C14)/D14/12)</f>
        <v>13.333333333333334</v>
      </c>
      <c r="F14">
        <f>IF(D14=0,0,AVERAGEIFS(Census!$I:$I,Census!$B:$B,$B14,Census!$C:$C,$C14))</f>
        <v>87217.861111111109</v>
      </c>
      <c r="G14">
        <f>IF(A14="Health",VLOOKUP(C14&amp;"|"&amp;B14,rate_tables!$A$3:$B$8,2,FALSE),IF(A14="Dental",VLOOKUP(C14&amp;"|"&amp;B14,rate_tables!$A$12:$B$17,2,FALSE),IF(A14="STD",VLOOKUP(C14&amp;"|All",rate_tables!$D$21:$E$22,2,FALSE)*F14/12,VLOOKUP(C14&amp;"|All",rate_tables!$D$32:$E$33,2,FALSE)*F14/12)))</f>
        <v>9.4486016203703702</v>
      </c>
      <c r="H14">
        <f t="shared" si="0"/>
        <v>1.4111435606077218</v>
      </c>
      <c r="I14" t="str">
        <f t="shared" si="1"/>
        <v>Unfavorable</v>
      </c>
    </row>
    <row r="15" spans="1:9" x14ac:dyDescent="0.45">
      <c r="A15" t="s">
        <v>26</v>
      </c>
      <c r="B15" t="s">
        <v>4</v>
      </c>
      <c r="C15" t="s">
        <v>9</v>
      </c>
      <c r="D15">
        <f>COUNTIFS(Census!B:B,Compare_ClassRegion!B15,Census!C:C,Compare_ClassRegion!C15)</f>
        <v>109</v>
      </c>
      <c r="E15">
        <f>IF(D15=0,0,SUMIFS(Experience_12m!$G:$G,Experience_12m!$B:$B,$A15,Experience_12m!$C:$C,$B15,Experience_12m!$D:$D,$C15)/D15/12)</f>
        <v>11.009174311926605</v>
      </c>
      <c r="F15">
        <f>IF(D15=0,0,AVERAGEIFS(Census!$I:$I,Census!$B:$B,$B15,Census!$C:$C,$C15))</f>
        <v>64842.018348623853</v>
      </c>
      <c r="G15">
        <f>IF(A15="Health",VLOOKUP(C15&amp;"|"&amp;B15,rate_tables!$A$3:$B$8,2,FALSE),IF(A15="Dental",VLOOKUP(C15&amp;"|"&amp;B15,rate_tables!$A$12:$B$17,2,FALSE),IF(A15="STD",VLOOKUP(C15&amp;"|All",rate_tables!$D$21:$E$22,2,FALSE)*F15/12,VLOOKUP(C15&amp;"|All",rate_tables!$D$32:$E$33,2,FALSE)*F15/12)))</f>
        <v>9.1859525993883775</v>
      </c>
      <c r="H15">
        <f t="shared" si="0"/>
        <v>1.1984793294774483</v>
      </c>
      <c r="I15" t="str">
        <f t="shared" si="1"/>
        <v>Unfavorable</v>
      </c>
    </row>
    <row r="16" spans="1:9" x14ac:dyDescent="0.45">
      <c r="A16" t="s">
        <v>26</v>
      </c>
      <c r="B16" t="s">
        <v>5</v>
      </c>
      <c r="C16" t="s">
        <v>8</v>
      </c>
      <c r="D16">
        <f>COUNTIFS(Census!B:B,Compare_ClassRegion!B16,Census!C:C,Compare_ClassRegion!C16)</f>
        <v>62</v>
      </c>
      <c r="E16">
        <f>IF(D16=0,0,SUMIFS(Experience_12m!$G:$G,Experience_12m!$B:$B,$A16,Experience_12m!$C:$C,$B16,Experience_12m!$D:$D,$C16)/D16/12)</f>
        <v>19.35483870967742</v>
      </c>
      <c r="F16">
        <f>IF(D16=0,0,AVERAGEIFS(Census!$I:$I,Census!$B:$B,$B16,Census!$C:$C,$C16))</f>
        <v>94355.016129032258</v>
      </c>
      <c r="G16">
        <f>IF(A16="Health",VLOOKUP(C16&amp;"|"&amp;B16,rate_tables!$A$3:$B$8,2,FALSE),IF(A16="Dental",VLOOKUP(C16&amp;"|"&amp;B16,rate_tables!$A$12:$B$17,2,FALSE),IF(A16="STD",VLOOKUP(C16&amp;"|All",rate_tables!$D$21:$E$22,2,FALSE)*F16/12,VLOOKUP(C16&amp;"|All",rate_tables!$D$32:$E$33,2,FALSE)*F16/12)))</f>
        <v>10.221793413978494</v>
      </c>
      <c r="H16">
        <f t="shared" si="0"/>
        <v>1.8934875638563891</v>
      </c>
      <c r="I16" t="str">
        <f t="shared" si="1"/>
        <v>Unfavorable</v>
      </c>
    </row>
    <row r="17" spans="1:9" x14ac:dyDescent="0.45">
      <c r="A17" t="s">
        <v>26</v>
      </c>
      <c r="B17" t="s">
        <v>5</v>
      </c>
      <c r="C17" t="s">
        <v>9</v>
      </c>
      <c r="D17">
        <f>COUNTIFS(Census!B:B,Compare_ClassRegion!B17,Census!C:C,Compare_ClassRegion!C17)</f>
        <v>31</v>
      </c>
      <c r="E17">
        <f>IF(D17=0,0,SUMIFS(Experience_12m!$G:$G,Experience_12m!$B:$B,$A17,Experience_12m!$C:$C,$B17,Experience_12m!$D:$D,$C17)/D17/12)</f>
        <v>0</v>
      </c>
      <c r="F17">
        <f>IF(D17=0,0,AVERAGEIFS(Census!$I:$I,Census!$B:$B,$B17,Census!$C:$C,$C17))</f>
        <v>62145.032258064515</v>
      </c>
      <c r="G17">
        <f>IF(A17="Health",VLOOKUP(C17&amp;"|"&amp;B17,rate_tables!$A$3:$B$8,2,FALSE),IF(A17="Dental",VLOOKUP(C17&amp;"|"&amp;B17,rate_tables!$A$12:$B$17,2,FALSE),IF(A17="STD",VLOOKUP(C17&amp;"|All",rate_tables!$D$21:$E$22,2,FALSE)*F17/12,VLOOKUP(C17&amp;"|All",rate_tables!$D$32:$E$33,2,FALSE)*F17/12)))</f>
        <v>8.803879569892473</v>
      </c>
      <c r="H17">
        <f t="shared" si="0"/>
        <v>0</v>
      </c>
      <c r="I17" t="str">
        <f t="shared" si="1"/>
        <v>Favorable</v>
      </c>
    </row>
    <row r="18" spans="1:9" x14ac:dyDescent="0.45">
      <c r="A18" t="s">
        <v>26</v>
      </c>
      <c r="B18" t="s">
        <v>6</v>
      </c>
      <c r="C18" t="s">
        <v>8</v>
      </c>
      <c r="D18">
        <f>COUNTIFS(Census!B:B,Compare_ClassRegion!B18,Census!C:C,Compare_ClassRegion!C18)</f>
        <v>72</v>
      </c>
      <c r="E18">
        <f>IF(D18=0,0,SUMIFS(Experience_12m!$G:$G,Experience_12m!$B:$B,$A18,Experience_12m!$C:$C,$B18,Experience_12m!$D:$D,$C18)/D18/12)</f>
        <v>16.666666666666668</v>
      </c>
      <c r="F18">
        <f>IF(D18=0,0,AVERAGEIFS(Census!$I:$I,Census!$B:$B,$B18,Census!$C:$C,$C18))</f>
        <v>94238.5</v>
      </c>
      <c r="G18">
        <f>IF(A18="Health",VLOOKUP(C18&amp;"|"&amp;B18,rate_tables!$A$3:$B$8,2,FALSE),IF(A18="Dental",VLOOKUP(C18&amp;"|"&amp;B18,rate_tables!$A$12:$B$17,2,FALSE),IF(A18="STD",VLOOKUP(C18&amp;"|All",rate_tables!$D$21:$E$22,2,FALSE)*F18/12,VLOOKUP(C18&amp;"|All",rate_tables!$D$32:$E$33,2,FALSE)*F18/12)))</f>
        <v>10.209170833333333</v>
      </c>
      <c r="H18">
        <f t="shared" si="0"/>
        <v>1.6325191280225582</v>
      </c>
      <c r="I18" t="str">
        <f t="shared" si="1"/>
        <v>Unfavorable</v>
      </c>
    </row>
    <row r="19" spans="1:9" x14ac:dyDescent="0.45">
      <c r="A19" t="s">
        <v>26</v>
      </c>
      <c r="B19" t="s">
        <v>6</v>
      </c>
      <c r="C19" t="s">
        <v>9</v>
      </c>
      <c r="D19">
        <f>COUNTIFS(Census!B:B,Compare_ClassRegion!B19,Census!C:C,Compare_ClassRegion!C19)</f>
        <v>46</v>
      </c>
      <c r="E19">
        <f>IF(D19=0,0,SUMIFS(Experience_12m!$G:$G,Experience_12m!$B:$B,$A19,Experience_12m!$C:$C,$B19,Experience_12m!$D:$D,$C19)/D19/12)</f>
        <v>0</v>
      </c>
      <c r="F19">
        <f>IF(D19=0,0,AVERAGEIFS(Census!$I:$I,Census!$B:$B,$B19,Census!$C:$C,$C19))</f>
        <v>63166.913043478264</v>
      </c>
      <c r="G19">
        <f>IF(A19="Health",VLOOKUP(C19&amp;"|"&amp;B19,rate_tables!$A$3:$B$8,2,FALSE),IF(A19="Dental",VLOOKUP(C19&amp;"|"&amp;B19,rate_tables!$A$12:$B$17,2,FALSE),IF(A19="STD",VLOOKUP(C19&amp;"|All",rate_tables!$D$21:$E$22,2,FALSE)*F19/12,VLOOKUP(C19&amp;"|All",rate_tables!$D$32:$E$33,2,FALSE)*F19/12)))</f>
        <v>8.9486460144927538</v>
      </c>
      <c r="H19">
        <f t="shared" si="0"/>
        <v>0</v>
      </c>
      <c r="I19" t="str">
        <f t="shared" si="1"/>
        <v>Favorable</v>
      </c>
    </row>
    <row r="20" spans="1:9" x14ac:dyDescent="0.45">
      <c r="A20" t="s">
        <v>24</v>
      </c>
      <c r="B20" t="s">
        <v>4</v>
      </c>
      <c r="C20" s="6" t="s">
        <v>8</v>
      </c>
      <c r="D20">
        <f>COUNTIFS(Census!B:B,Compare_ClassRegion!B20,Census!C:C,Compare_ClassRegion!C20)</f>
        <v>180</v>
      </c>
      <c r="E20">
        <f>IF(D20=0,0,SUMIFS(Experience_12m!$G:$G,Experience_12m!$B:$B,$A20,Experience_12m!$C:$C,$B20,Experience_12m!$D:$D,$C20)/D20/12)</f>
        <v>33.333333333333336</v>
      </c>
      <c r="F20">
        <f>IF(D20=0,0,AVERAGEIFS(Census!$I:$I,Census!$B:$B,$B20,Census!$C:$C,$C20))</f>
        <v>87217.861111111109</v>
      </c>
      <c r="G20">
        <f>IF(A20="Health",VLOOKUP(C20&amp;"|"&amp;B20,rate_tables!$A$3:$B$8,2,FALSE),IF(A20="Dental",VLOOKUP(C20&amp;"|"&amp;B20,rate_tables!$A$12:$B$17,2,FALSE),IF(A20="STD",VLOOKUP(C20&amp;"|All",rate_tables!$D$21:$E$22,2,FALSE)*F20/12,VLOOKUP(C20&amp;"|All",rate_tables!$D$32:$E$33,2,FALSE)*F20/12)))</f>
        <v>20.350834259259258</v>
      </c>
      <c r="H20">
        <f t="shared" si="0"/>
        <v>1.6379344899911057</v>
      </c>
      <c r="I20" t="str">
        <f t="shared" si="1"/>
        <v>Unfavorable</v>
      </c>
    </row>
    <row r="21" spans="1:9" x14ac:dyDescent="0.45">
      <c r="A21" t="s">
        <v>24</v>
      </c>
      <c r="B21" t="s">
        <v>4</v>
      </c>
      <c r="C21" t="s">
        <v>9</v>
      </c>
      <c r="D21">
        <f>COUNTIFS(Census!B:B,Compare_ClassRegion!B21,Census!C:C,Compare_ClassRegion!C21)</f>
        <v>109</v>
      </c>
      <c r="E21">
        <f>IF(D21=0,0,SUMIFS(Experience_12m!$G:$G,Experience_12m!$B:$B,$A21,Experience_12m!$C:$C,$B21,Experience_12m!$D:$D,$C21)/D21/12)</f>
        <v>0</v>
      </c>
      <c r="F21">
        <f>IF(D21=0,0,AVERAGEIFS(Census!$I:$I,Census!$B:$B,$B21,Census!$C:$C,$C21))</f>
        <v>64842.018348623853</v>
      </c>
      <c r="G21">
        <f>IF(A21="Health",VLOOKUP(C21&amp;"|"&amp;B21,rate_tables!$A$3:$B$8,2,FALSE),IF(A21="Dental",VLOOKUP(C21&amp;"|"&amp;B21,rate_tables!$A$12:$B$17,2,FALSE),IF(A21="STD",VLOOKUP(C21&amp;"|All",rate_tables!$D$21:$E$22,2,FALSE)*F21/12,VLOOKUP(C21&amp;"|All",rate_tables!$D$32:$E$33,2,FALSE)*F21/12)))</f>
        <v>19.452605504587154</v>
      </c>
      <c r="H21">
        <f t="shared" si="0"/>
        <v>0</v>
      </c>
      <c r="I21" t="str">
        <f t="shared" si="1"/>
        <v>Favorable</v>
      </c>
    </row>
    <row r="22" spans="1:9" x14ac:dyDescent="0.45">
      <c r="A22" t="s">
        <v>24</v>
      </c>
      <c r="B22" t="s">
        <v>5</v>
      </c>
      <c r="C22" t="s">
        <v>8</v>
      </c>
      <c r="D22">
        <f>COUNTIFS(Census!B:B,Compare_ClassRegion!B22,Census!C:C,Compare_ClassRegion!C22)</f>
        <v>62</v>
      </c>
      <c r="E22">
        <f>IF(D22=0,0,SUMIFS(Experience_12m!$G:$G,Experience_12m!$B:$B,$A22,Experience_12m!$C:$C,$B22,Experience_12m!$D:$D,$C22)/D22/12)</f>
        <v>0</v>
      </c>
      <c r="F22">
        <f>IF(D22=0,0,AVERAGEIFS(Census!$I:$I,Census!$B:$B,$B22,Census!$C:$C,$C22))</f>
        <v>94355.016129032258</v>
      </c>
      <c r="G22">
        <f>IF(A22="Health",VLOOKUP(C22&amp;"|"&amp;B22,rate_tables!$A$3:$B$8,2,FALSE),IF(A22="Dental",VLOOKUP(C22&amp;"|"&amp;B22,rate_tables!$A$12:$B$17,2,FALSE),IF(A22="STD",VLOOKUP(C22&amp;"|All",rate_tables!$D$21:$E$22,2,FALSE)*F22/12,VLOOKUP(C22&amp;"|All",rate_tables!$D$32:$E$33,2,FALSE)*F22/12)))</f>
        <v>22.016170430107525</v>
      </c>
      <c r="H22">
        <f t="shared" si="0"/>
        <v>0</v>
      </c>
      <c r="I22" t="str">
        <f t="shared" si="1"/>
        <v>Favorable</v>
      </c>
    </row>
    <row r="23" spans="1:9" x14ac:dyDescent="0.45">
      <c r="A23" t="s">
        <v>24</v>
      </c>
      <c r="B23" t="s">
        <v>5</v>
      </c>
      <c r="C23" t="s">
        <v>9</v>
      </c>
      <c r="D23">
        <f>COUNTIFS(Census!B:B,Compare_ClassRegion!B23,Census!C:C,Compare_ClassRegion!C23)</f>
        <v>31</v>
      </c>
      <c r="E23">
        <f>IF(D23=0,0,SUMIFS(Experience_12m!$G:$G,Experience_12m!$B:$B,$A23,Experience_12m!$C:$C,$B23,Experience_12m!$D:$D,$C23)/D23/12)</f>
        <v>0</v>
      </c>
      <c r="F23">
        <f>IF(D23=0,0,AVERAGEIFS(Census!$I:$I,Census!$B:$B,$B23,Census!$C:$C,$C23))</f>
        <v>62145.032258064515</v>
      </c>
      <c r="G23">
        <f>IF(A23="Health",VLOOKUP(C23&amp;"|"&amp;B23,rate_tables!$A$3:$B$8,2,FALSE),IF(A23="Dental",VLOOKUP(C23&amp;"|"&amp;B23,rate_tables!$A$12:$B$17,2,FALSE),IF(A23="STD",VLOOKUP(C23&amp;"|All",rate_tables!$D$21:$E$22,2,FALSE)*F23/12,VLOOKUP(C23&amp;"|All",rate_tables!$D$32:$E$33,2,FALSE)*F23/12)))</f>
        <v>18.643509677419356</v>
      </c>
      <c r="H23">
        <f t="shared" si="0"/>
        <v>0</v>
      </c>
      <c r="I23" t="str">
        <f t="shared" si="1"/>
        <v>Favorable</v>
      </c>
    </row>
    <row r="24" spans="1:9" x14ac:dyDescent="0.45">
      <c r="A24" t="s">
        <v>24</v>
      </c>
      <c r="B24" t="s">
        <v>6</v>
      </c>
      <c r="C24" t="s">
        <v>8</v>
      </c>
      <c r="D24">
        <f>COUNTIFS(Census!B:B,Compare_ClassRegion!B24,Census!C:C,Compare_ClassRegion!C24)</f>
        <v>72</v>
      </c>
      <c r="E24">
        <f>IF(D24=0,0,SUMIFS(Experience_12m!$G:$G,Experience_12m!$B:$B,$A24,Experience_12m!$C:$C,$B24,Experience_12m!$D:$D,$C24)/D24/12)</f>
        <v>0</v>
      </c>
      <c r="F24">
        <f>IF(D24=0,0,AVERAGEIFS(Census!$I:$I,Census!$B:$B,$B24,Census!$C:$C,$C24))</f>
        <v>94238.5</v>
      </c>
      <c r="G24">
        <f>IF(A24="Health",VLOOKUP(C24&amp;"|"&amp;B24,rate_tables!$A$3:$B$8,2,FALSE),IF(A24="Dental",VLOOKUP(C24&amp;"|"&amp;B24,rate_tables!$A$12:$B$17,2,FALSE),IF(A24="STD",VLOOKUP(C24&amp;"|All",rate_tables!$D$21:$E$22,2,FALSE)*F24/12,VLOOKUP(C24&amp;"|All",rate_tables!$D$32:$E$33,2,FALSE)*F24/12)))</f>
        <v>21.988983333333334</v>
      </c>
      <c r="H24">
        <f t="shared" si="0"/>
        <v>0</v>
      </c>
      <c r="I24" t="str">
        <f t="shared" si="1"/>
        <v>Favorable</v>
      </c>
    </row>
    <row r="25" spans="1:9" x14ac:dyDescent="0.45">
      <c r="A25" t="s">
        <v>24</v>
      </c>
      <c r="B25" t="s">
        <v>6</v>
      </c>
      <c r="C25" t="s">
        <v>9</v>
      </c>
      <c r="D25">
        <f>COUNTIFS(Census!B:B,Compare_ClassRegion!B25,Census!C:C,Compare_ClassRegion!C25)</f>
        <v>46</v>
      </c>
      <c r="E25">
        <f>IF(D25=0,0,SUMIFS(Experience_12m!$G:$G,Experience_12m!$B:$B,$A25,Experience_12m!$C:$C,$B25,Experience_12m!$D:$D,$C25)/D25/12)</f>
        <v>0</v>
      </c>
      <c r="F25">
        <f>IF(D25=0,0,AVERAGEIFS(Census!$I:$I,Census!$B:$B,$B25,Census!$C:$C,$C25))</f>
        <v>63166.913043478264</v>
      </c>
      <c r="G25">
        <f>IF(A25="Health",VLOOKUP(C25&amp;"|"&amp;B25,rate_tables!$A$3:$B$8,2,FALSE),IF(A25="Dental",VLOOKUP(C25&amp;"|"&amp;B25,rate_tables!$A$12:$B$17,2,FALSE),IF(A25="STD",VLOOKUP(C25&amp;"|All",rate_tables!$D$21:$E$22,2,FALSE)*F25/12,VLOOKUP(C25&amp;"|All",rate_tables!$D$32:$E$33,2,FALSE)*F25/12)))</f>
        <v>18.950073913043479</v>
      </c>
      <c r="H25">
        <f t="shared" si="0"/>
        <v>0</v>
      </c>
      <c r="I25" t="str">
        <f t="shared" si="1"/>
        <v>Favorable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63FB-48F5-4905-B23F-100BED8AC49C}">
  <dimension ref="A1:J501"/>
  <sheetViews>
    <sheetView workbookViewId="0">
      <selection activeCell="F18" sqref="F18"/>
    </sheetView>
  </sheetViews>
  <sheetFormatPr defaultRowHeight="14.25" x14ac:dyDescent="0.45"/>
  <sheetData>
    <row r="1" spans="1:10" s="6" customFormat="1" x14ac:dyDescent="0.45">
      <c r="A1" s="6" t="s">
        <v>27</v>
      </c>
      <c r="B1" s="6" t="s">
        <v>3</v>
      </c>
      <c r="C1" s="6" t="s">
        <v>7</v>
      </c>
      <c r="D1" s="6" t="s">
        <v>10</v>
      </c>
      <c r="E1" s="6" t="s">
        <v>14</v>
      </c>
      <c r="F1" s="6" t="s">
        <v>15</v>
      </c>
      <c r="G1" s="6" t="s">
        <v>31</v>
      </c>
      <c r="H1" s="6" t="s">
        <v>11</v>
      </c>
      <c r="I1" s="6" t="s">
        <v>33</v>
      </c>
      <c r="J1" s="6" t="s">
        <v>34</v>
      </c>
    </row>
    <row r="2" spans="1:10" x14ac:dyDescent="0.45">
      <c r="A2">
        <v>1</v>
      </c>
      <c r="B2" t="s">
        <v>6</v>
      </c>
      <c r="C2" t="s">
        <v>8</v>
      </c>
      <c r="D2" t="s">
        <v>36</v>
      </c>
      <c r="E2">
        <v>35</v>
      </c>
      <c r="F2">
        <v>44</v>
      </c>
      <c r="G2">
        <v>40</v>
      </c>
      <c r="H2" t="s">
        <v>12</v>
      </c>
      <c r="I2">
        <v>118126</v>
      </c>
      <c r="J2">
        <v>118126</v>
      </c>
    </row>
    <row r="3" spans="1:10" x14ac:dyDescent="0.45">
      <c r="A3">
        <v>2</v>
      </c>
      <c r="B3" t="s">
        <v>5</v>
      </c>
      <c r="C3" t="s">
        <v>9</v>
      </c>
      <c r="D3" t="s">
        <v>36</v>
      </c>
      <c r="E3">
        <v>35</v>
      </c>
      <c r="F3">
        <v>44</v>
      </c>
      <c r="G3">
        <v>41</v>
      </c>
      <c r="H3" t="s">
        <v>12</v>
      </c>
      <c r="I3">
        <v>55747</v>
      </c>
      <c r="J3">
        <v>55747</v>
      </c>
    </row>
    <row r="4" spans="1:10" x14ac:dyDescent="0.45">
      <c r="A4">
        <v>3</v>
      </c>
      <c r="B4" t="s">
        <v>4</v>
      </c>
      <c r="C4" t="s">
        <v>8</v>
      </c>
      <c r="D4" t="s">
        <v>37</v>
      </c>
      <c r="E4">
        <v>45</v>
      </c>
      <c r="F4">
        <v>54</v>
      </c>
      <c r="G4">
        <v>47</v>
      </c>
      <c r="H4" t="s">
        <v>12</v>
      </c>
      <c r="I4">
        <v>52606</v>
      </c>
      <c r="J4">
        <v>52606</v>
      </c>
    </row>
    <row r="5" spans="1:10" x14ac:dyDescent="0.45">
      <c r="A5">
        <v>4</v>
      </c>
      <c r="B5" t="s">
        <v>4</v>
      </c>
      <c r="C5" t="s">
        <v>8</v>
      </c>
      <c r="D5" t="s">
        <v>35</v>
      </c>
      <c r="E5">
        <v>25</v>
      </c>
      <c r="F5">
        <v>34</v>
      </c>
      <c r="G5">
        <v>28</v>
      </c>
      <c r="H5" t="s">
        <v>12</v>
      </c>
      <c r="I5">
        <v>86427</v>
      </c>
      <c r="J5">
        <v>86427</v>
      </c>
    </row>
    <row r="6" spans="1:10" x14ac:dyDescent="0.45">
      <c r="A6">
        <v>5</v>
      </c>
      <c r="B6" t="s">
        <v>4</v>
      </c>
      <c r="C6" t="s">
        <v>9</v>
      </c>
      <c r="D6" t="s">
        <v>37</v>
      </c>
      <c r="E6">
        <v>45</v>
      </c>
      <c r="F6">
        <v>54</v>
      </c>
      <c r="G6">
        <v>51</v>
      </c>
      <c r="H6" t="s">
        <v>12</v>
      </c>
      <c r="I6">
        <v>55232</v>
      </c>
      <c r="J6">
        <v>55232</v>
      </c>
    </row>
    <row r="7" spans="1:10" x14ac:dyDescent="0.45">
      <c r="A7">
        <v>6</v>
      </c>
      <c r="B7" t="s">
        <v>6</v>
      </c>
      <c r="C7" t="s">
        <v>8</v>
      </c>
      <c r="D7" t="s">
        <v>38</v>
      </c>
      <c r="E7">
        <v>55</v>
      </c>
      <c r="F7">
        <v>64</v>
      </c>
      <c r="G7">
        <v>55</v>
      </c>
      <c r="H7" t="s">
        <v>13</v>
      </c>
      <c r="I7">
        <v>102198</v>
      </c>
      <c r="J7">
        <v>102198</v>
      </c>
    </row>
    <row r="8" spans="1:10" x14ac:dyDescent="0.45">
      <c r="A8">
        <v>7</v>
      </c>
      <c r="B8" t="s">
        <v>6</v>
      </c>
      <c r="C8" t="s">
        <v>8</v>
      </c>
      <c r="D8" t="s">
        <v>38</v>
      </c>
      <c r="E8">
        <v>55</v>
      </c>
      <c r="F8">
        <v>64</v>
      </c>
      <c r="G8">
        <v>56</v>
      </c>
      <c r="H8" t="s">
        <v>12</v>
      </c>
      <c r="I8">
        <v>113160</v>
      </c>
      <c r="J8">
        <v>113160</v>
      </c>
    </row>
    <row r="9" spans="1:10" x14ac:dyDescent="0.45">
      <c r="A9">
        <v>8</v>
      </c>
      <c r="B9" t="s">
        <v>4</v>
      </c>
      <c r="C9" t="s">
        <v>8</v>
      </c>
      <c r="D9" t="s">
        <v>37</v>
      </c>
      <c r="E9">
        <v>45</v>
      </c>
      <c r="F9">
        <v>54</v>
      </c>
      <c r="G9">
        <v>50</v>
      </c>
      <c r="H9" t="s">
        <v>13</v>
      </c>
      <c r="I9">
        <v>88114</v>
      </c>
      <c r="J9">
        <v>88114</v>
      </c>
    </row>
    <row r="10" spans="1:10" x14ac:dyDescent="0.45">
      <c r="A10">
        <v>9</v>
      </c>
      <c r="B10" t="s">
        <v>4</v>
      </c>
      <c r="C10" t="s">
        <v>8</v>
      </c>
      <c r="D10" t="s">
        <v>38</v>
      </c>
      <c r="E10">
        <v>55</v>
      </c>
      <c r="F10">
        <v>64</v>
      </c>
      <c r="G10">
        <v>55</v>
      </c>
      <c r="H10" t="s">
        <v>12</v>
      </c>
      <c r="I10">
        <v>118087</v>
      </c>
      <c r="J10">
        <v>118087</v>
      </c>
    </row>
    <row r="11" spans="1:10" x14ac:dyDescent="0.45">
      <c r="A11">
        <v>10</v>
      </c>
      <c r="B11" t="s">
        <v>4</v>
      </c>
      <c r="C11" t="s">
        <v>9</v>
      </c>
      <c r="D11" t="s">
        <v>36</v>
      </c>
      <c r="E11">
        <v>35</v>
      </c>
      <c r="F11">
        <v>44</v>
      </c>
      <c r="G11">
        <v>43</v>
      </c>
      <c r="H11" t="s">
        <v>12</v>
      </c>
      <c r="I11">
        <v>67714</v>
      </c>
      <c r="J11">
        <v>67714</v>
      </c>
    </row>
    <row r="12" spans="1:10" x14ac:dyDescent="0.45">
      <c r="A12">
        <v>11</v>
      </c>
      <c r="B12" t="s">
        <v>4</v>
      </c>
      <c r="C12" t="s">
        <v>8</v>
      </c>
      <c r="D12" t="s">
        <v>35</v>
      </c>
      <c r="E12">
        <v>25</v>
      </c>
      <c r="F12">
        <v>34</v>
      </c>
      <c r="G12">
        <v>28</v>
      </c>
      <c r="H12" t="s">
        <v>12</v>
      </c>
      <c r="I12">
        <v>71709</v>
      </c>
      <c r="J12">
        <v>71709</v>
      </c>
    </row>
    <row r="13" spans="1:10" x14ac:dyDescent="0.45">
      <c r="A13">
        <v>12</v>
      </c>
      <c r="B13" t="s">
        <v>4</v>
      </c>
      <c r="C13" t="s">
        <v>9</v>
      </c>
      <c r="D13" t="s">
        <v>37</v>
      </c>
      <c r="E13">
        <v>45</v>
      </c>
      <c r="F13">
        <v>54</v>
      </c>
      <c r="G13">
        <v>45</v>
      </c>
      <c r="H13" t="s">
        <v>12</v>
      </c>
      <c r="I13">
        <v>71212</v>
      </c>
      <c r="J13">
        <v>71212</v>
      </c>
    </row>
    <row r="14" spans="1:10" x14ac:dyDescent="0.45">
      <c r="A14">
        <v>13</v>
      </c>
      <c r="B14" t="s">
        <v>4</v>
      </c>
      <c r="C14" t="s">
        <v>8</v>
      </c>
      <c r="D14" t="s">
        <v>36</v>
      </c>
      <c r="E14">
        <v>35</v>
      </c>
      <c r="F14">
        <v>44</v>
      </c>
      <c r="G14">
        <v>42</v>
      </c>
      <c r="H14" t="s">
        <v>12</v>
      </c>
      <c r="I14">
        <v>104305</v>
      </c>
      <c r="J14">
        <v>104305</v>
      </c>
    </row>
    <row r="15" spans="1:10" x14ac:dyDescent="0.45">
      <c r="A15">
        <v>14</v>
      </c>
      <c r="B15" t="s">
        <v>4</v>
      </c>
      <c r="C15" t="s">
        <v>8</v>
      </c>
      <c r="D15" t="s">
        <v>36</v>
      </c>
      <c r="E15">
        <v>35</v>
      </c>
      <c r="F15">
        <v>44</v>
      </c>
      <c r="G15">
        <v>37</v>
      </c>
      <c r="H15" t="s">
        <v>12</v>
      </c>
      <c r="I15">
        <v>55240</v>
      </c>
      <c r="J15">
        <v>55240</v>
      </c>
    </row>
    <row r="16" spans="1:10" x14ac:dyDescent="0.45">
      <c r="A16">
        <v>15</v>
      </c>
      <c r="B16" t="s">
        <v>4</v>
      </c>
      <c r="C16" t="s">
        <v>8</v>
      </c>
      <c r="D16" t="s">
        <v>35</v>
      </c>
      <c r="E16">
        <v>25</v>
      </c>
      <c r="F16">
        <v>34</v>
      </c>
      <c r="G16">
        <v>32</v>
      </c>
      <c r="H16" t="s">
        <v>12</v>
      </c>
      <c r="I16">
        <v>88755</v>
      </c>
      <c r="J16">
        <v>88755</v>
      </c>
    </row>
    <row r="17" spans="1:10" x14ac:dyDescent="0.45">
      <c r="A17">
        <v>16</v>
      </c>
      <c r="B17" t="s">
        <v>6</v>
      </c>
      <c r="C17" t="s">
        <v>8</v>
      </c>
      <c r="D17" t="s">
        <v>37</v>
      </c>
      <c r="E17">
        <v>45</v>
      </c>
      <c r="F17">
        <v>54</v>
      </c>
      <c r="G17">
        <v>49</v>
      </c>
      <c r="H17" t="s">
        <v>12</v>
      </c>
      <c r="I17">
        <v>50714</v>
      </c>
      <c r="J17">
        <v>50714</v>
      </c>
    </row>
    <row r="18" spans="1:10" x14ac:dyDescent="0.45">
      <c r="A18">
        <v>17</v>
      </c>
      <c r="B18" t="s">
        <v>5</v>
      </c>
      <c r="C18" t="s">
        <v>8</v>
      </c>
      <c r="D18" t="s">
        <v>35</v>
      </c>
      <c r="E18">
        <v>25</v>
      </c>
      <c r="F18">
        <v>34</v>
      </c>
      <c r="G18">
        <v>30</v>
      </c>
      <c r="H18" t="s">
        <v>12</v>
      </c>
      <c r="I18">
        <v>73792</v>
      </c>
      <c r="J18">
        <v>73792</v>
      </c>
    </row>
    <row r="19" spans="1:10" x14ac:dyDescent="0.45">
      <c r="A19">
        <v>18</v>
      </c>
      <c r="B19" t="s">
        <v>4</v>
      </c>
      <c r="C19" t="s">
        <v>9</v>
      </c>
      <c r="D19" t="s">
        <v>36</v>
      </c>
      <c r="E19">
        <v>35</v>
      </c>
      <c r="F19">
        <v>44</v>
      </c>
      <c r="G19">
        <v>41</v>
      </c>
      <c r="H19" t="s">
        <v>13</v>
      </c>
      <c r="I19">
        <v>54154</v>
      </c>
      <c r="J19">
        <v>54154</v>
      </c>
    </row>
    <row r="20" spans="1:10" x14ac:dyDescent="0.45">
      <c r="A20">
        <v>19</v>
      </c>
      <c r="B20" t="s">
        <v>5</v>
      </c>
      <c r="C20" t="s">
        <v>9</v>
      </c>
      <c r="D20" t="s">
        <v>36</v>
      </c>
      <c r="E20">
        <v>35</v>
      </c>
      <c r="F20">
        <v>44</v>
      </c>
      <c r="G20">
        <v>40</v>
      </c>
      <c r="H20" t="s">
        <v>12</v>
      </c>
      <c r="I20">
        <v>62286</v>
      </c>
      <c r="J20">
        <v>62286</v>
      </c>
    </row>
    <row r="21" spans="1:10" x14ac:dyDescent="0.45">
      <c r="A21">
        <v>20</v>
      </c>
      <c r="B21" t="s">
        <v>4</v>
      </c>
      <c r="C21" t="s">
        <v>8</v>
      </c>
      <c r="D21" t="s">
        <v>36</v>
      </c>
      <c r="E21">
        <v>35</v>
      </c>
      <c r="F21">
        <v>44</v>
      </c>
      <c r="G21">
        <v>35</v>
      </c>
      <c r="H21" t="s">
        <v>12</v>
      </c>
      <c r="I21">
        <v>85851</v>
      </c>
      <c r="J21">
        <v>85851</v>
      </c>
    </row>
    <row r="22" spans="1:10" x14ac:dyDescent="0.45">
      <c r="A22">
        <v>21</v>
      </c>
      <c r="B22" t="s">
        <v>4</v>
      </c>
      <c r="C22" t="s">
        <v>8</v>
      </c>
      <c r="D22" t="s">
        <v>36</v>
      </c>
      <c r="E22">
        <v>35</v>
      </c>
      <c r="F22">
        <v>44</v>
      </c>
      <c r="G22">
        <v>36</v>
      </c>
      <c r="H22" t="s">
        <v>13</v>
      </c>
      <c r="I22">
        <v>91257</v>
      </c>
      <c r="J22">
        <v>91257</v>
      </c>
    </row>
    <row r="23" spans="1:10" x14ac:dyDescent="0.45">
      <c r="A23">
        <v>22</v>
      </c>
      <c r="B23" t="s">
        <v>6</v>
      </c>
      <c r="C23" t="s">
        <v>9</v>
      </c>
      <c r="D23" t="s">
        <v>37</v>
      </c>
      <c r="E23">
        <v>45</v>
      </c>
      <c r="F23">
        <v>54</v>
      </c>
      <c r="G23">
        <v>54</v>
      </c>
      <c r="H23" t="s">
        <v>12</v>
      </c>
      <c r="I23">
        <v>47976</v>
      </c>
      <c r="J23">
        <v>47976</v>
      </c>
    </row>
    <row r="24" spans="1:10" x14ac:dyDescent="0.45">
      <c r="A24">
        <v>23</v>
      </c>
      <c r="B24" t="s">
        <v>6</v>
      </c>
      <c r="C24" t="s">
        <v>9</v>
      </c>
      <c r="D24" t="s">
        <v>36</v>
      </c>
      <c r="E24">
        <v>35</v>
      </c>
      <c r="F24">
        <v>44</v>
      </c>
      <c r="G24">
        <v>44</v>
      </c>
      <c r="H24" t="s">
        <v>12</v>
      </c>
      <c r="I24">
        <v>71590</v>
      </c>
      <c r="J24">
        <v>71590</v>
      </c>
    </row>
    <row r="25" spans="1:10" x14ac:dyDescent="0.45">
      <c r="A25">
        <v>24</v>
      </c>
      <c r="B25" t="s">
        <v>4</v>
      </c>
      <c r="C25" t="s">
        <v>9</v>
      </c>
      <c r="D25" t="s">
        <v>36</v>
      </c>
      <c r="E25">
        <v>35</v>
      </c>
      <c r="F25">
        <v>44</v>
      </c>
      <c r="G25">
        <v>38</v>
      </c>
      <c r="H25" t="s">
        <v>12</v>
      </c>
      <c r="I25">
        <v>45086</v>
      </c>
      <c r="J25">
        <v>45086</v>
      </c>
    </row>
    <row r="26" spans="1:10" x14ac:dyDescent="0.45">
      <c r="A26">
        <v>25</v>
      </c>
      <c r="B26" t="s">
        <v>4</v>
      </c>
      <c r="C26" t="s">
        <v>8</v>
      </c>
      <c r="D26" t="s">
        <v>36</v>
      </c>
      <c r="E26">
        <v>35</v>
      </c>
      <c r="F26">
        <v>44</v>
      </c>
      <c r="G26">
        <v>44</v>
      </c>
      <c r="H26" t="s">
        <v>13</v>
      </c>
      <c r="I26">
        <v>62617</v>
      </c>
      <c r="J26">
        <v>62617</v>
      </c>
    </row>
    <row r="27" spans="1:10" x14ac:dyDescent="0.45">
      <c r="A27">
        <v>26</v>
      </c>
      <c r="B27" t="s">
        <v>6</v>
      </c>
      <c r="C27" t="s">
        <v>9</v>
      </c>
      <c r="D27" t="s">
        <v>37</v>
      </c>
      <c r="E27">
        <v>45</v>
      </c>
      <c r="F27">
        <v>54</v>
      </c>
      <c r="G27">
        <v>46</v>
      </c>
      <c r="H27" t="s">
        <v>12</v>
      </c>
      <c r="I27">
        <v>54508</v>
      </c>
      <c r="J27">
        <v>54508</v>
      </c>
    </row>
    <row r="28" spans="1:10" x14ac:dyDescent="0.45">
      <c r="A28">
        <v>27</v>
      </c>
      <c r="B28" t="s">
        <v>6</v>
      </c>
      <c r="C28" t="s">
        <v>9</v>
      </c>
      <c r="D28" t="s">
        <v>36</v>
      </c>
      <c r="E28">
        <v>35</v>
      </c>
      <c r="F28">
        <v>44</v>
      </c>
      <c r="G28">
        <v>38</v>
      </c>
      <c r="H28" t="s">
        <v>12</v>
      </c>
      <c r="I28">
        <v>50895</v>
      </c>
      <c r="J28">
        <v>50895</v>
      </c>
    </row>
    <row r="29" spans="1:10" x14ac:dyDescent="0.45">
      <c r="A29">
        <v>28</v>
      </c>
      <c r="B29" t="s">
        <v>6</v>
      </c>
      <c r="C29" t="s">
        <v>9</v>
      </c>
      <c r="D29" t="s">
        <v>37</v>
      </c>
      <c r="E29">
        <v>45</v>
      </c>
      <c r="F29">
        <v>54</v>
      </c>
      <c r="G29">
        <v>54</v>
      </c>
      <c r="H29" t="s">
        <v>12</v>
      </c>
      <c r="I29">
        <v>61164</v>
      </c>
      <c r="J29">
        <v>61164</v>
      </c>
    </row>
    <row r="30" spans="1:10" x14ac:dyDescent="0.45">
      <c r="A30">
        <v>29</v>
      </c>
      <c r="B30" t="s">
        <v>6</v>
      </c>
      <c r="C30" t="s">
        <v>9</v>
      </c>
      <c r="D30" t="s">
        <v>35</v>
      </c>
      <c r="E30">
        <v>25</v>
      </c>
      <c r="F30">
        <v>34</v>
      </c>
      <c r="G30">
        <v>25</v>
      </c>
      <c r="H30" t="s">
        <v>12</v>
      </c>
      <c r="I30">
        <v>46040</v>
      </c>
      <c r="J30">
        <v>46040</v>
      </c>
    </row>
    <row r="31" spans="1:10" x14ac:dyDescent="0.45">
      <c r="A31">
        <v>30</v>
      </c>
      <c r="B31" t="s">
        <v>4</v>
      </c>
      <c r="C31" t="s">
        <v>9</v>
      </c>
      <c r="D31" t="s">
        <v>35</v>
      </c>
      <c r="E31">
        <v>25</v>
      </c>
      <c r="F31">
        <v>34</v>
      </c>
      <c r="G31">
        <v>29</v>
      </c>
      <c r="H31" t="s">
        <v>12</v>
      </c>
      <c r="I31">
        <v>55784</v>
      </c>
      <c r="J31">
        <v>55784</v>
      </c>
    </row>
    <row r="32" spans="1:10" x14ac:dyDescent="0.45">
      <c r="A32">
        <v>31</v>
      </c>
      <c r="B32" t="s">
        <v>4</v>
      </c>
      <c r="C32" t="s">
        <v>9</v>
      </c>
      <c r="D32" t="s">
        <v>35</v>
      </c>
      <c r="E32">
        <v>25</v>
      </c>
      <c r="F32">
        <v>34</v>
      </c>
      <c r="G32">
        <v>34</v>
      </c>
      <c r="H32" t="s">
        <v>12</v>
      </c>
      <c r="I32">
        <v>61176</v>
      </c>
      <c r="J32">
        <v>61176</v>
      </c>
    </row>
    <row r="33" spans="1:10" x14ac:dyDescent="0.45">
      <c r="A33">
        <v>32</v>
      </c>
      <c r="B33" t="s">
        <v>6</v>
      </c>
      <c r="C33" t="s">
        <v>8</v>
      </c>
      <c r="D33" t="s">
        <v>37</v>
      </c>
      <c r="E33">
        <v>45</v>
      </c>
      <c r="F33">
        <v>54</v>
      </c>
      <c r="G33">
        <v>51</v>
      </c>
      <c r="H33" t="s">
        <v>12</v>
      </c>
      <c r="I33">
        <v>115765</v>
      </c>
      <c r="J33">
        <v>115765</v>
      </c>
    </row>
    <row r="34" spans="1:10" x14ac:dyDescent="0.45">
      <c r="A34">
        <v>33</v>
      </c>
      <c r="B34" t="s">
        <v>6</v>
      </c>
      <c r="C34" t="s">
        <v>9</v>
      </c>
      <c r="D34" t="s">
        <v>36</v>
      </c>
      <c r="E34">
        <v>35</v>
      </c>
      <c r="F34">
        <v>44</v>
      </c>
      <c r="G34">
        <v>40</v>
      </c>
      <c r="H34" t="s">
        <v>12</v>
      </c>
      <c r="I34">
        <v>57712</v>
      </c>
      <c r="J34">
        <v>57712</v>
      </c>
    </row>
    <row r="35" spans="1:10" x14ac:dyDescent="0.45">
      <c r="A35">
        <v>34</v>
      </c>
      <c r="B35" t="s">
        <v>6</v>
      </c>
      <c r="C35" t="s">
        <v>8</v>
      </c>
      <c r="D35" t="s">
        <v>37</v>
      </c>
      <c r="E35">
        <v>45</v>
      </c>
      <c r="F35">
        <v>54</v>
      </c>
      <c r="G35">
        <v>52</v>
      </c>
      <c r="H35" t="s">
        <v>12</v>
      </c>
      <c r="I35">
        <v>98015</v>
      </c>
      <c r="J35">
        <v>98015</v>
      </c>
    </row>
    <row r="36" spans="1:10" x14ac:dyDescent="0.45">
      <c r="A36">
        <v>35</v>
      </c>
      <c r="B36" t="s">
        <v>5</v>
      </c>
      <c r="C36" t="s">
        <v>8</v>
      </c>
      <c r="D36" t="s">
        <v>37</v>
      </c>
      <c r="E36">
        <v>45</v>
      </c>
      <c r="F36">
        <v>54</v>
      </c>
      <c r="G36">
        <v>53</v>
      </c>
      <c r="H36" t="s">
        <v>12</v>
      </c>
      <c r="I36">
        <v>74585</v>
      </c>
      <c r="J36">
        <v>74585</v>
      </c>
    </row>
    <row r="37" spans="1:10" x14ac:dyDescent="0.45">
      <c r="A37">
        <v>36</v>
      </c>
      <c r="B37" t="s">
        <v>4</v>
      </c>
      <c r="C37" t="s">
        <v>8</v>
      </c>
      <c r="D37" t="s">
        <v>35</v>
      </c>
      <c r="E37">
        <v>25</v>
      </c>
      <c r="F37">
        <v>34</v>
      </c>
      <c r="G37">
        <v>26</v>
      </c>
      <c r="H37" t="s">
        <v>12</v>
      </c>
      <c r="I37">
        <v>112146</v>
      </c>
      <c r="J37">
        <v>112146</v>
      </c>
    </row>
    <row r="38" spans="1:10" x14ac:dyDescent="0.45">
      <c r="A38">
        <v>37</v>
      </c>
      <c r="B38" t="s">
        <v>4</v>
      </c>
      <c r="C38" t="s">
        <v>9</v>
      </c>
      <c r="D38" t="s">
        <v>35</v>
      </c>
      <c r="E38">
        <v>25</v>
      </c>
      <c r="F38">
        <v>34</v>
      </c>
      <c r="G38">
        <v>31</v>
      </c>
      <c r="H38" t="s">
        <v>12</v>
      </c>
      <c r="I38">
        <v>67937</v>
      </c>
      <c r="J38">
        <v>67937</v>
      </c>
    </row>
    <row r="39" spans="1:10" x14ac:dyDescent="0.45">
      <c r="A39">
        <v>38</v>
      </c>
      <c r="B39" t="s">
        <v>5</v>
      </c>
      <c r="C39" t="s">
        <v>8</v>
      </c>
      <c r="D39" t="s">
        <v>37</v>
      </c>
      <c r="E39">
        <v>45</v>
      </c>
      <c r="F39">
        <v>54</v>
      </c>
      <c r="G39">
        <v>48</v>
      </c>
      <c r="H39" t="s">
        <v>12</v>
      </c>
      <c r="I39">
        <v>67186</v>
      </c>
      <c r="J39">
        <v>67186</v>
      </c>
    </row>
    <row r="40" spans="1:10" x14ac:dyDescent="0.45">
      <c r="A40">
        <v>39</v>
      </c>
      <c r="B40" t="s">
        <v>4</v>
      </c>
      <c r="C40" t="s">
        <v>8</v>
      </c>
      <c r="D40" t="s">
        <v>38</v>
      </c>
      <c r="E40">
        <v>55</v>
      </c>
      <c r="F40">
        <v>64</v>
      </c>
      <c r="G40">
        <v>63</v>
      </c>
      <c r="H40" t="s">
        <v>12</v>
      </c>
      <c r="I40">
        <v>52072</v>
      </c>
      <c r="J40">
        <v>52072</v>
      </c>
    </row>
    <row r="41" spans="1:10" x14ac:dyDescent="0.45">
      <c r="A41">
        <v>40</v>
      </c>
      <c r="B41" t="s">
        <v>4</v>
      </c>
      <c r="C41" t="s">
        <v>8</v>
      </c>
      <c r="D41" t="s">
        <v>36</v>
      </c>
      <c r="E41">
        <v>35</v>
      </c>
      <c r="F41">
        <v>44</v>
      </c>
      <c r="G41">
        <v>35</v>
      </c>
      <c r="H41" t="s">
        <v>13</v>
      </c>
      <c r="I41">
        <v>66051</v>
      </c>
      <c r="J41">
        <v>66051</v>
      </c>
    </row>
    <row r="42" spans="1:10" x14ac:dyDescent="0.45">
      <c r="A42">
        <v>41</v>
      </c>
      <c r="B42" t="s">
        <v>4</v>
      </c>
      <c r="C42" t="s">
        <v>8</v>
      </c>
      <c r="D42" t="s">
        <v>37</v>
      </c>
      <c r="E42">
        <v>45</v>
      </c>
      <c r="F42">
        <v>54</v>
      </c>
      <c r="G42">
        <v>49</v>
      </c>
      <c r="H42" t="s">
        <v>12</v>
      </c>
      <c r="I42">
        <v>53418</v>
      </c>
      <c r="J42">
        <v>53418</v>
      </c>
    </row>
    <row r="43" spans="1:10" x14ac:dyDescent="0.45">
      <c r="A43">
        <v>42</v>
      </c>
      <c r="B43" t="s">
        <v>4</v>
      </c>
      <c r="C43" t="s">
        <v>9</v>
      </c>
      <c r="D43" t="s">
        <v>37</v>
      </c>
      <c r="E43">
        <v>45</v>
      </c>
      <c r="F43">
        <v>54</v>
      </c>
      <c r="G43">
        <v>49</v>
      </c>
      <c r="H43" t="s">
        <v>12</v>
      </c>
      <c r="I43">
        <v>76876</v>
      </c>
      <c r="J43">
        <v>76876</v>
      </c>
    </row>
    <row r="44" spans="1:10" x14ac:dyDescent="0.45">
      <c r="A44">
        <v>43</v>
      </c>
      <c r="B44" t="s">
        <v>4</v>
      </c>
      <c r="C44" t="s">
        <v>8</v>
      </c>
      <c r="D44" t="s">
        <v>35</v>
      </c>
      <c r="E44">
        <v>25</v>
      </c>
      <c r="F44">
        <v>34</v>
      </c>
      <c r="G44">
        <v>25</v>
      </c>
      <c r="H44" t="s">
        <v>12</v>
      </c>
      <c r="I44">
        <v>60558</v>
      </c>
      <c r="J44">
        <v>60558</v>
      </c>
    </row>
    <row r="45" spans="1:10" x14ac:dyDescent="0.45">
      <c r="A45">
        <v>44</v>
      </c>
      <c r="B45" t="s">
        <v>4</v>
      </c>
      <c r="C45" t="s">
        <v>9</v>
      </c>
      <c r="D45" t="s">
        <v>36</v>
      </c>
      <c r="E45">
        <v>35</v>
      </c>
      <c r="F45">
        <v>44</v>
      </c>
      <c r="G45">
        <v>36</v>
      </c>
      <c r="H45" t="s">
        <v>12</v>
      </c>
      <c r="I45">
        <v>65794</v>
      </c>
      <c r="J45">
        <v>65794</v>
      </c>
    </row>
    <row r="46" spans="1:10" x14ac:dyDescent="0.45">
      <c r="A46">
        <v>45</v>
      </c>
      <c r="B46" t="s">
        <v>6</v>
      </c>
      <c r="C46" t="s">
        <v>9</v>
      </c>
      <c r="D46" t="s">
        <v>38</v>
      </c>
      <c r="E46">
        <v>55</v>
      </c>
      <c r="F46">
        <v>64</v>
      </c>
      <c r="G46">
        <v>56</v>
      </c>
      <c r="H46" t="s">
        <v>12</v>
      </c>
      <c r="I46">
        <v>74942</v>
      </c>
      <c r="J46">
        <v>74942</v>
      </c>
    </row>
    <row r="47" spans="1:10" x14ac:dyDescent="0.45">
      <c r="A47">
        <v>46</v>
      </c>
      <c r="B47" t="s">
        <v>4</v>
      </c>
      <c r="C47" t="s">
        <v>9</v>
      </c>
      <c r="D47" t="s">
        <v>36</v>
      </c>
      <c r="E47">
        <v>35</v>
      </c>
      <c r="F47">
        <v>44</v>
      </c>
      <c r="G47">
        <v>36</v>
      </c>
      <c r="H47" t="s">
        <v>12</v>
      </c>
      <c r="I47">
        <v>65036</v>
      </c>
      <c r="J47">
        <v>65036</v>
      </c>
    </row>
    <row r="48" spans="1:10" x14ac:dyDescent="0.45">
      <c r="A48">
        <v>47</v>
      </c>
      <c r="B48" t="s">
        <v>4</v>
      </c>
      <c r="C48" t="s">
        <v>8</v>
      </c>
      <c r="D48" t="s">
        <v>35</v>
      </c>
      <c r="E48">
        <v>25</v>
      </c>
      <c r="F48">
        <v>34</v>
      </c>
      <c r="G48">
        <v>27</v>
      </c>
      <c r="H48" t="s">
        <v>12</v>
      </c>
      <c r="I48">
        <v>96168</v>
      </c>
      <c r="J48">
        <v>96168</v>
      </c>
    </row>
    <row r="49" spans="1:10" x14ac:dyDescent="0.45">
      <c r="A49">
        <v>48</v>
      </c>
      <c r="B49" t="s">
        <v>5</v>
      </c>
      <c r="C49" t="s">
        <v>8</v>
      </c>
      <c r="D49" t="s">
        <v>35</v>
      </c>
      <c r="E49">
        <v>25</v>
      </c>
      <c r="F49">
        <v>34</v>
      </c>
      <c r="G49">
        <v>30</v>
      </c>
      <c r="H49" t="s">
        <v>12</v>
      </c>
      <c r="I49">
        <v>127357</v>
      </c>
      <c r="J49">
        <v>127357</v>
      </c>
    </row>
    <row r="50" spans="1:10" x14ac:dyDescent="0.45">
      <c r="A50">
        <v>49</v>
      </c>
      <c r="B50" t="s">
        <v>5</v>
      </c>
      <c r="C50" t="s">
        <v>9</v>
      </c>
      <c r="D50" t="s">
        <v>35</v>
      </c>
      <c r="E50">
        <v>25</v>
      </c>
      <c r="F50">
        <v>34</v>
      </c>
      <c r="G50">
        <v>28</v>
      </c>
      <c r="H50" t="s">
        <v>12</v>
      </c>
      <c r="I50">
        <v>46703</v>
      </c>
      <c r="J50">
        <v>46703</v>
      </c>
    </row>
    <row r="51" spans="1:10" x14ac:dyDescent="0.45">
      <c r="A51">
        <v>50</v>
      </c>
      <c r="B51" t="s">
        <v>4</v>
      </c>
      <c r="C51" t="s">
        <v>8</v>
      </c>
      <c r="D51" t="s">
        <v>36</v>
      </c>
      <c r="E51">
        <v>35</v>
      </c>
      <c r="F51">
        <v>44</v>
      </c>
      <c r="G51">
        <v>41</v>
      </c>
      <c r="H51" t="s">
        <v>12</v>
      </c>
      <c r="I51">
        <v>97105</v>
      </c>
      <c r="J51">
        <v>97105</v>
      </c>
    </row>
    <row r="52" spans="1:10" x14ac:dyDescent="0.45">
      <c r="A52">
        <v>51</v>
      </c>
      <c r="B52" t="s">
        <v>5</v>
      </c>
      <c r="C52" t="s">
        <v>8</v>
      </c>
      <c r="D52" t="s">
        <v>38</v>
      </c>
      <c r="E52">
        <v>55</v>
      </c>
      <c r="F52">
        <v>64</v>
      </c>
      <c r="G52">
        <v>57</v>
      </c>
      <c r="H52" t="s">
        <v>12</v>
      </c>
      <c r="I52">
        <v>123241</v>
      </c>
      <c r="J52">
        <v>123241</v>
      </c>
    </row>
    <row r="53" spans="1:10" x14ac:dyDescent="0.45">
      <c r="A53">
        <v>52</v>
      </c>
      <c r="B53" t="s">
        <v>4</v>
      </c>
      <c r="C53" t="s">
        <v>8</v>
      </c>
      <c r="D53" t="s">
        <v>37</v>
      </c>
      <c r="E53">
        <v>45</v>
      </c>
      <c r="F53">
        <v>54</v>
      </c>
      <c r="G53">
        <v>47</v>
      </c>
      <c r="H53" t="s">
        <v>13</v>
      </c>
      <c r="I53">
        <v>50666</v>
      </c>
      <c r="J53">
        <v>50666</v>
      </c>
    </row>
    <row r="54" spans="1:10" x14ac:dyDescent="0.45">
      <c r="A54">
        <v>53</v>
      </c>
      <c r="B54" t="s">
        <v>4</v>
      </c>
      <c r="C54" t="s">
        <v>9</v>
      </c>
      <c r="D54" t="s">
        <v>35</v>
      </c>
      <c r="E54">
        <v>25</v>
      </c>
      <c r="F54">
        <v>34</v>
      </c>
      <c r="G54">
        <v>25</v>
      </c>
      <c r="H54" t="s">
        <v>12</v>
      </c>
      <c r="I54">
        <v>66958</v>
      </c>
      <c r="J54">
        <v>66958</v>
      </c>
    </row>
    <row r="55" spans="1:10" x14ac:dyDescent="0.45">
      <c r="A55">
        <v>54</v>
      </c>
      <c r="B55" t="s">
        <v>4</v>
      </c>
      <c r="C55" t="s">
        <v>9</v>
      </c>
      <c r="D55" t="s">
        <v>36</v>
      </c>
      <c r="E55">
        <v>35</v>
      </c>
      <c r="F55">
        <v>44</v>
      </c>
      <c r="G55">
        <v>44</v>
      </c>
      <c r="H55" t="s">
        <v>12</v>
      </c>
      <c r="I55">
        <v>66360</v>
      </c>
      <c r="J55">
        <v>66360</v>
      </c>
    </row>
    <row r="56" spans="1:10" x14ac:dyDescent="0.45">
      <c r="A56">
        <v>55</v>
      </c>
      <c r="B56" t="s">
        <v>6</v>
      </c>
      <c r="C56" t="s">
        <v>9</v>
      </c>
      <c r="D56" t="s">
        <v>35</v>
      </c>
      <c r="E56">
        <v>25</v>
      </c>
      <c r="F56">
        <v>34</v>
      </c>
      <c r="G56">
        <v>32</v>
      </c>
      <c r="H56" t="s">
        <v>12</v>
      </c>
      <c r="I56">
        <v>48840</v>
      </c>
      <c r="J56">
        <v>48840</v>
      </c>
    </row>
    <row r="57" spans="1:10" x14ac:dyDescent="0.45">
      <c r="A57">
        <v>56</v>
      </c>
      <c r="B57" t="s">
        <v>4</v>
      </c>
      <c r="C57" t="s">
        <v>9</v>
      </c>
      <c r="D57" t="s">
        <v>35</v>
      </c>
      <c r="E57">
        <v>25</v>
      </c>
      <c r="F57">
        <v>34</v>
      </c>
      <c r="G57">
        <v>26</v>
      </c>
      <c r="H57" t="s">
        <v>12</v>
      </c>
      <c r="I57">
        <v>66524</v>
      </c>
      <c r="J57">
        <v>66524</v>
      </c>
    </row>
    <row r="58" spans="1:10" x14ac:dyDescent="0.45">
      <c r="A58">
        <v>57</v>
      </c>
      <c r="B58" t="s">
        <v>4</v>
      </c>
      <c r="C58" t="s">
        <v>8</v>
      </c>
      <c r="D58" t="s">
        <v>35</v>
      </c>
      <c r="E58">
        <v>25</v>
      </c>
      <c r="F58">
        <v>34</v>
      </c>
      <c r="G58">
        <v>26</v>
      </c>
      <c r="H58" t="s">
        <v>12</v>
      </c>
      <c r="I58">
        <v>76241</v>
      </c>
      <c r="J58">
        <v>76241</v>
      </c>
    </row>
    <row r="59" spans="1:10" x14ac:dyDescent="0.45">
      <c r="A59">
        <v>58</v>
      </c>
      <c r="B59" t="s">
        <v>6</v>
      </c>
      <c r="C59" t="s">
        <v>8</v>
      </c>
      <c r="D59" t="s">
        <v>36</v>
      </c>
      <c r="E59">
        <v>35</v>
      </c>
      <c r="F59">
        <v>44</v>
      </c>
      <c r="G59">
        <v>35</v>
      </c>
      <c r="H59" t="s">
        <v>12</v>
      </c>
      <c r="I59">
        <v>125657</v>
      </c>
      <c r="J59">
        <v>125657</v>
      </c>
    </row>
    <row r="60" spans="1:10" x14ac:dyDescent="0.45">
      <c r="A60">
        <v>59</v>
      </c>
      <c r="B60" t="s">
        <v>4</v>
      </c>
      <c r="C60" t="s">
        <v>9</v>
      </c>
      <c r="D60" t="s">
        <v>38</v>
      </c>
      <c r="E60">
        <v>55</v>
      </c>
      <c r="F60">
        <v>64</v>
      </c>
      <c r="G60">
        <v>64</v>
      </c>
      <c r="H60" t="s">
        <v>12</v>
      </c>
      <c r="I60">
        <v>79109</v>
      </c>
      <c r="J60">
        <v>79109</v>
      </c>
    </row>
    <row r="61" spans="1:10" x14ac:dyDescent="0.45">
      <c r="A61">
        <v>60</v>
      </c>
      <c r="B61" t="s">
        <v>4</v>
      </c>
      <c r="C61" t="s">
        <v>8</v>
      </c>
      <c r="D61" t="s">
        <v>37</v>
      </c>
      <c r="E61">
        <v>45</v>
      </c>
      <c r="F61">
        <v>54</v>
      </c>
      <c r="G61">
        <v>52</v>
      </c>
      <c r="H61" t="s">
        <v>12</v>
      </c>
      <c r="I61">
        <v>118103</v>
      </c>
      <c r="J61">
        <v>118103</v>
      </c>
    </row>
    <row r="62" spans="1:10" x14ac:dyDescent="0.45">
      <c r="A62">
        <v>61</v>
      </c>
      <c r="B62" t="s">
        <v>4</v>
      </c>
      <c r="C62" t="s">
        <v>8</v>
      </c>
      <c r="D62" t="s">
        <v>37</v>
      </c>
      <c r="E62">
        <v>45</v>
      </c>
      <c r="F62">
        <v>54</v>
      </c>
      <c r="G62">
        <v>53</v>
      </c>
      <c r="H62" t="s">
        <v>12</v>
      </c>
      <c r="I62">
        <v>52242</v>
      </c>
      <c r="J62">
        <v>52242</v>
      </c>
    </row>
    <row r="63" spans="1:10" x14ac:dyDescent="0.45">
      <c r="A63">
        <v>62</v>
      </c>
      <c r="B63" t="s">
        <v>4</v>
      </c>
      <c r="C63" t="s">
        <v>8</v>
      </c>
      <c r="D63" t="s">
        <v>36</v>
      </c>
      <c r="E63">
        <v>35</v>
      </c>
      <c r="F63">
        <v>44</v>
      </c>
      <c r="G63">
        <v>39</v>
      </c>
      <c r="H63" t="s">
        <v>12</v>
      </c>
      <c r="I63">
        <v>97178</v>
      </c>
      <c r="J63">
        <v>97178</v>
      </c>
    </row>
    <row r="64" spans="1:10" x14ac:dyDescent="0.45">
      <c r="A64">
        <v>63</v>
      </c>
      <c r="B64" t="s">
        <v>5</v>
      </c>
      <c r="C64" t="s">
        <v>9</v>
      </c>
      <c r="D64" t="s">
        <v>38</v>
      </c>
      <c r="E64">
        <v>55</v>
      </c>
      <c r="F64">
        <v>64</v>
      </c>
      <c r="G64">
        <v>61</v>
      </c>
      <c r="H64" t="s">
        <v>12</v>
      </c>
      <c r="I64">
        <v>61822</v>
      </c>
      <c r="J64">
        <v>61822</v>
      </c>
    </row>
    <row r="65" spans="1:10" x14ac:dyDescent="0.45">
      <c r="A65">
        <v>64</v>
      </c>
      <c r="B65" t="s">
        <v>5</v>
      </c>
      <c r="C65" t="s">
        <v>8</v>
      </c>
      <c r="D65" t="s">
        <v>37</v>
      </c>
      <c r="E65">
        <v>45</v>
      </c>
      <c r="F65">
        <v>54</v>
      </c>
      <c r="G65">
        <v>46</v>
      </c>
      <c r="H65" t="s">
        <v>12</v>
      </c>
      <c r="I65">
        <v>105346</v>
      </c>
      <c r="J65">
        <v>105346</v>
      </c>
    </row>
    <row r="66" spans="1:10" x14ac:dyDescent="0.45">
      <c r="A66">
        <v>65</v>
      </c>
      <c r="B66" t="s">
        <v>4</v>
      </c>
      <c r="C66" t="s">
        <v>8</v>
      </c>
      <c r="D66" t="s">
        <v>37</v>
      </c>
      <c r="E66">
        <v>45</v>
      </c>
      <c r="F66">
        <v>54</v>
      </c>
      <c r="G66">
        <v>48</v>
      </c>
      <c r="H66" t="s">
        <v>12</v>
      </c>
      <c r="I66">
        <v>104914</v>
      </c>
      <c r="J66">
        <v>104914</v>
      </c>
    </row>
    <row r="67" spans="1:10" x14ac:dyDescent="0.45">
      <c r="A67">
        <v>66</v>
      </c>
      <c r="B67" t="s">
        <v>5</v>
      </c>
      <c r="C67" t="s">
        <v>9</v>
      </c>
      <c r="D67" t="s">
        <v>36</v>
      </c>
      <c r="E67">
        <v>35</v>
      </c>
      <c r="F67">
        <v>44</v>
      </c>
      <c r="G67">
        <v>39</v>
      </c>
      <c r="H67" t="s">
        <v>12</v>
      </c>
      <c r="I67">
        <v>52895</v>
      </c>
      <c r="J67">
        <v>52895</v>
      </c>
    </row>
    <row r="68" spans="1:10" x14ac:dyDescent="0.45">
      <c r="A68">
        <v>67</v>
      </c>
      <c r="B68" t="s">
        <v>5</v>
      </c>
      <c r="C68" t="s">
        <v>8</v>
      </c>
      <c r="D68" t="s">
        <v>36</v>
      </c>
      <c r="E68">
        <v>35</v>
      </c>
      <c r="F68">
        <v>44</v>
      </c>
      <c r="G68">
        <v>42</v>
      </c>
      <c r="H68" t="s">
        <v>12</v>
      </c>
      <c r="I68">
        <v>83249</v>
      </c>
      <c r="J68">
        <v>83249</v>
      </c>
    </row>
    <row r="69" spans="1:10" x14ac:dyDescent="0.45">
      <c r="A69">
        <v>68</v>
      </c>
      <c r="B69" t="s">
        <v>5</v>
      </c>
      <c r="C69" t="s">
        <v>8</v>
      </c>
      <c r="D69" t="s">
        <v>37</v>
      </c>
      <c r="E69">
        <v>45</v>
      </c>
      <c r="F69">
        <v>54</v>
      </c>
      <c r="G69">
        <v>50</v>
      </c>
      <c r="H69" t="s">
        <v>12</v>
      </c>
      <c r="I69">
        <v>62870</v>
      </c>
      <c r="J69">
        <v>62870</v>
      </c>
    </row>
    <row r="70" spans="1:10" x14ac:dyDescent="0.45">
      <c r="A70">
        <v>69</v>
      </c>
      <c r="B70" t="s">
        <v>6</v>
      </c>
      <c r="C70" t="s">
        <v>8</v>
      </c>
      <c r="D70" t="s">
        <v>37</v>
      </c>
      <c r="E70">
        <v>45</v>
      </c>
      <c r="F70">
        <v>54</v>
      </c>
      <c r="G70">
        <v>50</v>
      </c>
      <c r="H70" t="s">
        <v>13</v>
      </c>
      <c r="I70">
        <v>94466</v>
      </c>
      <c r="J70">
        <v>94466</v>
      </c>
    </row>
    <row r="71" spans="1:10" x14ac:dyDescent="0.45">
      <c r="A71">
        <v>70</v>
      </c>
      <c r="B71" t="s">
        <v>4</v>
      </c>
      <c r="C71" t="s">
        <v>9</v>
      </c>
      <c r="D71" t="s">
        <v>35</v>
      </c>
      <c r="E71">
        <v>25</v>
      </c>
      <c r="F71">
        <v>34</v>
      </c>
      <c r="G71">
        <v>25</v>
      </c>
      <c r="H71" t="s">
        <v>12</v>
      </c>
      <c r="I71">
        <v>61360</v>
      </c>
      <c r="J71">
        <v>61360</v>
      </c>
    </row>
    <row r="72" spans="1:10" x14ac:dyDescent="0.45">
      <c r="A72">
        <v>71</v>
      </c>
      <c r="B72" t="s">
        <v>4</v>
      </c>
      <c r="C72" t="s">
        <v>9</v>
      </c>
      <c r="D72" t="s">
        <v>38</v>
      </c>
      <c r="E72">
        <v>55</v>
      </c>
      <c r="F72">
        <v>64</v>
      </c>
      <c r="G72">
        <v>55</v>
      </c>
      <c r="H72" t="s">
        <v>13</v>
      </c>
      <c r="I72">
        <v>71839</v>
      </c>
      <c r="J72">
        <v>71839</v>
      </c>
    </row>
    <row r="73" spans="1:10" x14ac:dyDescent="0.45">
      <c r="A73">
        <v>72</v>
      </c>
      <c r="B73" t="s">
        <v>4</v>
      </c>
      <c r="C73" t="s">
        <v>8</v>
      </c>
      <c r="D73" t="s">
        <v>37</v>
      </c>
      <c r="E73">
        <v>45</v>
      </c>
      <c r="F73">
        <v>54</v>
      </c>
      <c r="G73">
        <v>49</v>
      </c>
      <c r="H73" t="s">
        <v>12</v>
      </c>
      <c r="I73">
        <v>128067</v>
      </c>
      <c r="J73">
        <v>128067</v>
      </c>
    </row>
    <row r="74" spans="1:10" x14ac:dyDescent="0.45">
      <c r="A74">
        <v>73</v>
      </c>
      <c r="B74" t="s">
        <v>4</v>
      </c>
      <c r="C74" t="s">
        <v>9</v>
      </c>
      <c r="D74" t="s">
        <v>35</v>
      </c>
      <c r="E74">
        <v>25</v>
      </c>
      <c r="F74">
        <v>34</v>
      </c>
      <c r="G74">
        <v>33</v>
      </c>
      <c r="H74" t="s">
        <v>12</v>
      </c>
      <c r="I74">
        <v>75256</v>
      </c>
      <c r="J74">
        <v>75256</v>
      </c>
    </row>
    <row r="75" spans="1:10" x14ac:dyDescent="0.45">
      <c r="A75">
        <v>74</v>
      </c>
      <c r="B75" t="s">
        <v>4</v>
      </c>
      <c r="C75" t="s">
        <v>8</v>
      </c>
      <c r="D75" t="s">
        <v>37</v>
      </c>
      <c r="E75">
        <v>45</v>
      </c>
      <c r="F75">
        <v>54</v>
      </c>
      <c r="G75">
        <v>48</v>
      </c>
      <c r="H75" t="s">
        <v>12</v>
      </c>
      <c r="I75">
        <v>64201</v>
      </c>
      <c r="J75">
        <v>64201</v>
      </c>
    </row>
    <row r="76" spans="1:10" x14ac:dyDescent="0.45">
      <c r="A76">
        <v>75</v>
      </c>
      <c r="B76" t="s">
        <v>5</v>
      </c>
      <c r="C76" t="s">
        <v>8</v>
      </c>
      <c r="D76" t="s">
        <v>37</v>
      </c>
      <c r="E76">
        <v>45</v>
      </c>
      <c r="F76">
        <v>54</v>
      </c>
      <c r="G76">
        <v>54</v>
      </c>
      <c r="H76" t="s">
        <v>13</v>
      </c>
      <c r="I76">
        <v>120183</v>
      </c>
      <c r="J76">
        <v>120183</v>
      </c>
    </row>
    <row r="77" spans="1:10" x14ac:dyDescent="0.45">
      <c r="A77">
        <v>76</v>
      </c>
      <c r="B77" t="s">
        <v>5</v>
      </c>
      <c r="C77" t="s">
        <v>8</v>
      </c>
      <c r="D77" t="s">
        <v>35</v>
      </c>
      <c r="E77">
        <v>25</v>
      </c>
      <c r="F77">
        <v>34</v>
      </c>
      <c r="G77">
        <v>27</v>
      </c>
      <c r="H77" t="s">
        <v>13</v>
      </c>
      <c r="I77">
        <v>88263</v>
      </c>
      <c r="J77">
        <v>88263</v>
      </c>
    </row>
    <row r="78" spans="1:10" x14ac:dyDescent="0.45">
      <c r="A78">
        <v>77</v>
      </c>
      <c r="B78" t="s">
        <v>5</v>
      </c>
      <c r="C78" t="s">
        <v>8</v>
      </c>
      <c r="D78" t="s">
        <v>37</v>
      </c>
      <c r="E78">
        <v>45</v>
      </c>
      <c r="F78">
        <v>54</v>
      </c>
      <c r="G78">
        <v>50</v>
      </c>
      <c r="H78" t="s">
        <v>12</v>
      </c>
      <c r="I78">
        <v>97762</v>
      </c>
      <c r="J78">
        <v>97762</v>
      </c>
    </row>
    <row r="79" spans="1:10" x14ac:dyDescent="0.45">
      <c r="A79">
        <v>78</v>
      </c>
      <c r="B79" t="s">
        <v>4</v>
      </c>
      <c r="C79" t="s">
        <v>8</v>
      </c>
      <c r="D79" t="s">
        <v>36</v>
      </c>
      <c r="E79">
        <v>35</v>
      </c>
      <c r="F79">
        <v>44</v>
      </c>
      <c r="G79">
        <v>35</v>
      </c>
      <c r="H79" t="s">
        <v>12</v>
      </c>
      <c r="I79">
        <v>103086</v>
      </c>
      <c r="J79">
        <v>103086</v>
      </c>
    </row>
    <row r="80" spans="1:10" x14ac:dyDescent="0.45">
      <c r="A80">
        <v>79</v>
      </c>
      <c r="B80" t="s">
        <v>6</v>
      </c>
      <c r="C80" t="s">
        <v>9</v>
      </c>
      <c r="D80" t="s">
        <v>36</v>
      </c>
      <c r="E80">
        <v>35</v>
      </c>
      <c r="F80">
        <v>44</v>
      </c>
      <c r="G80">
        <v>35</v>
      </c>
      <c r="H80" t="s">
        <v>12</v>
      </c>
      <c r="I80">
        <v>72117</v>
      </c>
      <c r="J80">
        <v>72117</v>
      </c>
    </row>
    <row r="81" spans="1:10" x14ac:dyDescent="0.45">
      <c r="A81">
        <v>80</v>
      </c>
      <c r="B81" t="s">
        <v>5</v>
      </c>
      <c r="C81" t="s">
        <v>8</v>
      </c>
      <c r="D81" t="s">
        <v>37</v>
      </c>
      <c r="E81">
        <v>45</v>
      </c>
      <c r="F81">
        <v>54</v>
      </c>
      <c r="G81">
        <v>47</v>
      </c>
      <c r="H81" t="s">
        <v>12</v>
      </c>
      <c r="I81">
        <v>128199</v>
      </c>
      <c r="J81">
        <v>128199</v>
      </c>
    </row>
    <row r="82" spans="1:10" x14ac:dyDescent="0.45">
      <c r="A82">
        <v>81</v>
      </c>
      <c r="B82" t="s">
        <v>4</v>
      </c>
      <c r="C82" t="s">
        <v>8</v>
      </c>
      <c r="D82" t="s">
        <v>38</v>
      </c>
      <c r="E82">
        <v>55</v>
      </c>
      <c r="F82">
        <v>64</v>
      </c>
      <c r="G82">
        <v>58</v>
      </c>
      <c r="H82" t="s">
        <v>12</v>
      </c>
      <c r="I82">
        <v>61789</v>
      </c>
      <c r="J82">
        <v>61789</v>
      </c>
    </row>
    <row r="83" spans="1:10" x14ac:dyDescent="0.45">
      <c r="A83">
        <v>82</v>
      </c>
      <c r="B83" t="s">
        <v>4</v>
      </c>
      <c r="C83" t="s">
        <v>9</v>
      </c>
      <c r="D83" t="s">
        <v>36</v>
      </c>
      <c r="E83">
        <v>35</v>
      </c>
      <c r="F83">
        <v>44</v>
      </c>
      <c r="G83">
        <v>36</v>
      </c>
      <c r="H83" t="s">
        <v>12</v>
      </c>
      <c r="I83">
        <v>59731</v>
      </c>
      <c r="J83">
        <v>59731</v>
      </c>
    </row>
    <row r="84" spans="1:10" x14ac:dyDescent="0.45">
      <c r="A84">
        <v>83</v>
      </c>
      <c r="B84" t="s">
        <v>6</v>
      </c>
      <c r="C84" t="s">
        <v>8</v>
      </c>
      <c r="D84" t="s">
        <v>37</v>
      </c>
      <c r="E84">
        <v>45</v>
      </c>
      <c r="F84">
        <v>54</v>
      </c>
      <c r="G84">
        <v>47</v>
      </c>
      <c r="H84" t="s">
        <v>12</v>
      </c>
      <c r="I84">
        <v>76337</v>
      </c>
      <c r="J84">
        <v>76337</v>
      </c>
    </row>
    <row r="85" spans="1:10" x14ac:dyDescent="0.45">
      <c r="A85">
        <v>84</v>
      </c>
      <c r="B85" t="s">
        <v>6</v>
      </c>
      <c r="C85" t="s">
        <v>9</v>
      </c>
      <c r="D85" t="s">
        <v>37</v>
      </c>
      <c r="E85">
        <v>45</v>
      </c>
      <c r="F85">
        <v>54</v>
      </c>
      <c r="G85">
        <v>47</v>
      </c>
      <c r="H85" t="s">
        <v>12</v>
      </c>
      <c r="I85">
        <v>73862</v>
      </c>
      <c r="J85">
        <v>73862</v>
      </c>
    </row>
    <row r="86" spans="1:10" x14ac:dyDescent="0.45">
      <c r="A86">
        <v>85</v>
      </c>
      <c r="B86" t="s">
        <v>5</v>
      </c>
      <c r="C86" t="s">
        <v>8</v>
      </c>
      <c r="D86" t="s">
        <v>35</v>
      </c>
      <c r="E86">
        <v>25</v>
      </c>
      <c r="F86">
        <v>34</v>
      </c>
      <c r="G86">
        <v>32</v>
      </c>
      <c r="H86" t="s">
        <v>12</v>
      </c>
      <c r="I86">
        <v>126443</v>
      </c>
      <c r="J86">
        <v>126443</v>
      </c>
    </row>
    <row r="87" spans="1:10" x14ac:dyDescent="0.45">
      <c r="A87">
        <v>86</v>
      </c>
      <c r="B87" t="s">
        <v>5</v>
      </c>
      <c r="C87" t="s">
        <v>9</v>
      </c>
      <c r="D87" t="s">
        <v>35</v>
      </c>
      <c r="E87">
        <v>25</v>
      </c>
      <c r="F87">
        <v>34</v>
      </c>
      <c r="G87">
        <v>33</v>
      </c>
      <c r="H87" t="s">
        <v>12</v>
      </c>
      <c r="I87">
        <v>66908</v>
      </c>
      <c r="J87">
        <v>66908</v>
      </c>
    </row>
    <row r="88" spans="1:10" x14ac:dyDescent="0.45">
      <c r="A88">
        <v>87</v>
      </c>
      <c r="B88" t="s">
        <v>4</v>
      </c>
      <c r="C88" t="s">
        <v>9</v>
      </c>
      <c r="D88" t="s">
        <v>35</v>
      </c>
      <c r="E88">
        <v>25</v>
      </c>
      <c r="F88">
        <v>34</v>
      </c>
      <c r="G88">
        <v>28</v>
      </c>
      <c r="H88" t="s">
        <v>12</v>
      </c>
      <c r="I88">
        <v>66078</v>
      </c>
      <c r="J88">
        <v>66078</v>
      </c>
    </row>
    <row r="89" spans="1:10" x14ac:dyDescent="0.45">
      <c r="A89">
        <v>88</v>
      </c>
      <c r="B89" t="s">
        <v>4</v>
      </c>
      <c r="C89" t="s">
        <v>8</v>
      </c>
      <c r="D89" t="s">
        <v>37</v>
      </c>
      <c r="E89">
        <v>45</v>
      </c>
      <c r="F89">
        <v>54</v>
      </c>
      <c r="G89">
        <v>53</v>
      </c>
      <c r="H89" t="s">
        <v>13</v>
      </c>
      <c r="I89">
        <v>83837</v>
      </c>
      <c r="J89">
        <v>83837</v>
      </c>
    </row>
    <row r="90" spans="1:10" x14ac:dyDescent="0.45">
      <c r="A90">
        <v>89</v>
      </c>
      <c r="B90" t="s">
        <v>6</v>
      </c>
      <c r="C90" t="s">
        <v>8</v>
      </c>
      <c r="D90" t="s">
        <v>37</v>
      </c>
      <c r="E90">
        <v>45</v>
      </c>
      <c r="F90">
        <v>54</v>
      </c>
      <c r="G90">
        <v>54</v>
      </c>
      <c r="H90" t="s">
        <v>12</v>
      </c>
      <c r="I90">
        <v>88885</v>
      </c>
      <c r="J90">
        <v>88885</v>
      </c>
    </row>
    <row r="91" spans="1:10" x14ac:dyDescent="0.45">
      <c r="A91">
        <v>90</v>
      </c>
      <c r="B91" t="s">
        <v>4</v>
      </c>
      <c r="C91" t="s">
        <v>8</v>
      </c>
      <c r="D91" t="s">
        <v>37</v>
      </c>
      <c r="E91">
        <v>45</v>
      </c>
      <c r="F91">
        <v>54</v>
      </c>
      <c r="G91">
        <v>52</v>
      </c>
      <c r="H91" t="s">
        <v>13</v>
      </c>
      <c r="I91">
        <v>109854</v>
      </c>
      <c r="J91">
        <v>109854</v>
      </c>
    </row>
    <row r="92" spans="1:10" x14ac:dyDescent="0.45">
      <c r="A92">
        <v>91</v>
      </c>
      <c r="B92" t="s">
        <v>6</v>
      </c>
      <c r="C92" t="s">
        <v>8</v>
      </c>
      <c r="D92" t="s">
        <v>35</v>
      </c>
      <c r="E92">
        <v>25</v>
      </c>
      <c r="F92">
        <v>34</v>
      </c>
      <c r="G92">
        <v>29</v>
      </c>
      <c r="H92" t="s">
        <v>12</v>
      </c>
      <c r="I92">
        <v>127093</v>
      </c>
      <c r="J92">
        <v>127093</v>
      </c>
    </row>
    <row r="93" spans="1:10" x14ac:dyDescent="0.45">
      <c r="A93">
        <v>92</v>
      </c>
      <c r="B93" t="s">
        <v>6</v>
      </c>
      <c r="C93" t="s">
        <v>8</v>
      </c>
      <c r="D93" t="s">
        <v>37</v>
      </c>
      <c r="E93">
        <v>45</v>
      </c>
      <c r="F93">
        <v>54</v>
      </c>
      <c r="G93">
        <v>50</v>
      </c>
      <c r="H93" t="s">
        <v>12</v>
      </c>
      <c r="I93">
        <v>78102</v>
      </c>
      <c r="J93">
        <v>78102</v>
      </c>
    </row>
    <row r="94" spans="1:10" x14ac:dyDescent="0.45">
      <c r="A94">
        <v>93</v>
      </c>
      <c r="B94" t="s">
        <v>5</v>
      </c>
      <c r="C94" t="s">
        <v>9</v>
      </c>
      <c r="D94" t="s">
        <v>36</v>
      </c>
      <c r="E94">
        <v>35</v>
      </c>
      <c r="F94">
        <v>44</v>
      </c>
      <c r="G94">
        <v>36</v>
      </c>
      <c r="H94" t="s">
        <v>12</v>
      </c>
      <c r="I94">
        <v>68846</v>
      </c>
      <c r="J94">
        <v>68846</v>
      </c>
    </row>
    <row r="95" spans="1:10" x14ac:dyDescent="0.45">
      <c r="A95">
        <v>94</v>
      </c>
      <c r="B95" t="s">
        <v>6</v>
      </c>
      <c r="C95" t="s">
        <v>8</v>
      </c>
      <c r="D95" t="s">
        <v>37</v>
      </c>
      <c r="E95">
        <v>45</v>
      </c>
      <c r="F95">
        <v>54</v>
      </c>
      <c r="G95">
        <v>53</v>
      </c>
      <c r="H95" t="s">
        <v>12</v>
      </c>
      <c r="I95">
        <v>96406</v>
      </c>
      <c r="J95">
        <v>96406</v>
      </c>
    </row>
    <row r="96" spans="1:10" x14ac:dyDescent="0.45">
      <c r="A96">
        <v>95</v>
      </c>
      <c r="B96" t="s">
        <v>6</v>
      </c>
      <c r="C96" t="s">
        <v>9</v>
      </c>
      <c r="D96" t="s">
        <v>36</v>
      </c>
      <c r="E96">
        <v>35</v>
      </c>
      <c r="F96">
        <v>44</v>
      </c>
      <c r="G96">
        <v>38</v>
      </c>
      <c r="H96" t="s">
        <v>13</v>
      </c>
      <c r="I96">
        <v>61346</v>
      </c>
      <c r="J96">
        <v>61346</v>
      </c>
    </row>
    <row r="97" spans="1:10" x14ac:dyDescent="0.45">
      <c r="A97">
        <v>96</v>
      </c>
      <c r="B97" t="s">
        <v>4</v>
      </c>
      <c r="C97" t="s">
        <v>8</v>
      </c>
      <c r="D97" t="s">
        <v>35</v>
      </c>
      <c r="E97">
        <v>25</v>
      </c>
      <c r="F97">
        <v>34</v>
      </c>
      <c r="G97">
        <v>31</v>
      </c>
      <c r="H97" t="s">
        <v>12</v>
      </c>
      <c r="I97">
        <v>71376</v>
      </c>
      <c r="J97">
        <v>71376</v>
      </c>
    </row>
    <row r="98" spans="1:10" x14ac:dyDescent="0.45">
      <c r="A98">
        <v>97</v>
      </c>
      <c r="B98" t="s">
        <v>4</v>
      </c>
      <c r="C98" t="s">
        <v>8</v>
      </c>
      <c r="D98" t="s">
        <v>36</v>
      </c>
      <c r="E98">
        <v>35</v>
      </c>
      <c r="F98">
        <v>44</v>
      </c>
      <c r="G98">
        <v>44</v>
      </c>
      <c r="H98" t="s">
        <v>12</v>
      </c>
      <c r="I98">
        <v>51459</v>
      </c>
      <c r="J98">
        <v>51459</v>
      </c>
    </row>
    <row r="99" spans="1:10" x14ac:dyDescent="0.45">
      <c r="A99">
        <v>98</v>
      </c>
      <c r="B99" t="s">
        <v>4</v>
      </c>
      <c r="C99" t="s">
        <v>9</v>
      </c>
      <c r="D99" t="s">
        <v>35</v>
      </c>
      <c r="E99">
        <v>25</v>
      </c>
      <c r="F99">
        <v>34</v>
      </c>
      <c r="G99">
        <v>30</v>
      </c>
      <c r="H99" t="s">
        <v>13</v>
      </c>
      <c r="I99">
        <v>70290</v>
      </c>
      <c r="J99">
        <v>70290</v>
      </c>
    </row>
    <row r="100" spans="1:10" x14ac:dyDescent="0.45">
      <c r="A100">
        <v>99</v>
      </c>
      <c r="B100" t="s">
        <v>6</v>
      </c>
      <c r="C100" t="s">
        <v>9</v>
      </c>
      <c r="D100" t="s">
        <v>35</v>
      </c>
      <c r="E100">
        <v>25</v>
      </c>
      <c r="F100">
        <v>34</v>
      </c>
      <c r="G100">
        <v>30</v>
      </c>
      <c r="H100" t="s">
        <v>12</v>
      </c>
      <c r="I100">
        <v>46641</v>
      </c>
      <c r="J100">
        <v>46641</v>
      </c>
    </row>
    <row r="101" spans="1:10" x14ac:dyDescent="0.45">
      <c r="A101">
        <v>100</v>
      </c>
      <c r="B101" t="s">
        <v>6</v>
      </c>
      <c r="C101" t="s">
        <v>8</v>
      </c>
      <c r="D101" t="s">
        <v>37</v>
      </c>
      <c r="E101">
        <v>45</v>
      </c>
      <c r="F101">
        <v>54</v>
      </c>
      <c r="G101">
        <v>54</v>
      </c>
      <c r="H101" t="s">
        <v>13</v>
      </c>
      <c r="I101">
        <v>103081</v>
      </c>
      <c r="J101">
        <v>103081</v>
      </c>
    </row>
    <row r="102" spans="1:10" x14ac:dyDescent="0.45">
      <c r="A102">
        <v>101</v>
      </c>
      <c r="B102" t="s">
        <v>5</v>
      </c>
      <c r="C102" t="s">
        <v>9</v>
      </c>
      <c r="D102" t="s">
        <v>37</v>
      </c>
      <c r="E102">
        <v>45</v>
      </c>
      <c r="F102">
        <v>54</v>
      </c>
      <c r="G102">
        <v>46</v>
      </c>
      <c r="H102" t="s">
        <v>12</v>
      </c>
      <c r="I102">
        <v>55563</v>
      </c>
      <c r="J102">
        <v>55563</v>
      </c>
    </row>
    <row r="103" spans="1:10" x14ac:dyDescent="0.45">
      <c r="A103">
        <v>102</v>
      </c>
      <c r="B103" t="s">
        <v>5</v>
      </c>
      <c r="C103" t="s">
        <v>9</v>
      </c>
      <c r="D103" t="s">
        <v>36</v>
      </c>
      <c r="E103">
        <v>35</v>
      </c>
      <c r="F103">
        <v>44</v>
      </c>
      <c r="G103">
        <v>41</v>
      </c>
      <c r="H103" t="s">
        <v>12</v>
      </c>
      <c r="I103">
        <v>69041</v>
      </c>
      <c r="J103">
        <v>69041</v>
      </c>
    </row>
    <row r="104" spans="1:10" x14ac:dyDescent="0.45">
      <c r="A104">
        <v>103</v>
      </c>
      <c r="B104" t="s">
        <v>4</v>
      </c>
      <c r="C104" t="s">
        <v>8</v>
      </c>
      <c r="D104" t="s">
        <v>37</v>
      </c>
      <c r="E104">
        <v>45</v>
      </c>
      <c r="F104">
        <v>54</v>
      </c>
      <c r="G104">
        <v>45</v>
      </c>
      <c r="H104" t="s">
        <v>13</v>
      </c>
      <c r="I104">
        <v>92885</v>
      </c>
      <c r="J104">
        <v>92885</v>
      </c>
    </row>
    <row r="105" spans="1:10" x14ac:dyDescent="0.45">
      <c r="A105">
        <v>104</v>
      </c>
      <c r="B105" t="s">
        <v>4</v>
      </c>
      <c r="C105" t="s">
        <v>8</v>
      </c>
      <c r="D105" t="s">
        <v>37</v>
      </c>
      <c r="E105">
        <v>45</v>
      </c>
      <c r="F105">
        <v>54</v>
      </c>
      <c r="G105">
        <v>54</v>
      </c>
      <c r="H105" t="s">
        <v>12</v>
      </c>
      <c r="I105">
        <v>83869</v>
      </c>
      <c r="J105">
        <v>83869</v>
      </c>
    </row>
    <row r="106" spans="1:10" x14ac:dyDescent="0.45">
      <c r="A106">
        <v>105</v>
      </c>
      <c r="B106" t="s">
        <v>6</v>
      </c>
      <c r="C106" t="s">
        <v>8</v>
      </c>
      <c r="D106" t="s">
        <v>36</v>
      </c>
      <c r="E106">
        <v>35</v>
      </c>
      <c r="F106">
        <v>44</v>
      </c>
      <c r="G106">
        <v>42</v>
      </c>
      <c r="H106" t="s">
        <v>12</v>
      </c>
      <c r="I106">
        <v>80050</v>
      </c>
      <c r="J106">
        <v>80050</v>
      </c>
    </row>
    <row r="107" spans="1:10" x14ac:dyDescent="0.45">
      <c r="A107">
        <v>106</v>
      </c>
      <c r="B107" t="s">
        <v>6</v>
      </c>
      <c r="C107" t="s">
        <v>8</v>
      </c>
      <c r="D107" t="s">
        <v>35</v>
      </c>
      <c r="E107">
        <v>25</v>
      </c>
      <c r="F107">
        <v>34</v>
      </c>
      <c r="G107">
        <v>34</v>
      </c>
      <c r="H107" t="s">
        <v>12</v>
      </c>
      <c r="I107">
        <v>77498</v>
      </c>
      <c r="J107">
        <v>77498</v>
      </c>
    </row>
    <row r="108" spans="1:10" x14ac:dyDescent="0.45">
      <c r="A108">
        <v>107</v>
      </c>
      <c r="B108" t="s">
        <v>6</v>
      </c>
      <c r="C108" t="s">
        <v>8</v>
      </c>
      <c r="D108" t="s">
        <v>35</v>
      </c>
      <c r="E108">
        <v>25</v>
      </c>
      <c r="F108">
        <v>34</v>
      </c>
      <c r="G108">
        <v>27</v>
      </c>
      <c r="H108" t="s">
        <v>12</v>
      </c>
      <c r="I108">
        <v>121539</v>
      </c>
      <c r="J108">
        <v>121539</v>
      </c>
    </row>
    <row r="109" spans="1:10" x14ac:dyDescent="0.45">
      <c r="A109">
        <v>108</v>
      </c>
      <c r="B109" t="s">
        <v>6</v>
      </c>
      <c r="C109" t="s">
        <v>8</v>
      </c>
      <c r="D109" t="s">
        <v>35</v>
      </c>
      <c r="E109">
        <v>25</v>
      </c>
      <c r="F109">
        <v>34</v>
      </c>
      <c r="G109">
        <v>30</v>
      </c>
      <c r="H109" t="s">
        <v>12</v>
      </c>
      <c r="I109">
        <v>128086</v>
      </c>
      <c r="J109">
        <v>128086</v>
      </c>
    </row>
    <row r="110" spans="1:10" x14ac:dyDescent="0.45">
      <c r="A110">
        <v>109</v>
      </c>
      <c r="B110" t="s">
        <v>4</v>
      </c>
      <c r="C110" t="s">
        <v>9</v>
      </c>
      <c r="D110" t="s">
        <v>38</v>
      </c>
      <c r="E110">
        <v>55</v>
      </c>
      <c r="F110">
        <v>64</v>
      </c>
      <c r="G110">
        <v>55</v>
      </c>
      <c r="H110" t="s">
        <v>12</v>
      </c>
      <c r="I110">
        <v>71114</v>
      </c>
      <c r="J110">
        <v>71114</v>
      </c>
    </row>
    <row r="111" spans="1:10" x14ac:dyDescent="0.45">
      <c r="A111">
        <v>110</v>
      </c>
      <c r="B111" t="s">
        <v>4</v>
      </c>
      <c r="C111" t="s">
        <v>9</v>
      </c>
      <c r="D111" t="s">
        <v>38</v>
      </c>
      <c r="E111">
        <v>55</v>
      </c>
      <c r="F111">
        <v>64</v>
      </c>
      <c r="G111">
        <v>59</v>
      </c>
      <c r="H111" t="s">
        <v>12</v>
      </c>
      <c r="I111">
        <v>78855</v>
      </c>
      <c r="J111">
        <v>78855</v>
      </c>
    </row>
    <row r="112" spans="1:10" x14ac:dyDescent="0.45">
      <c r="A112">
        <v>111</v>
      </c>
      <c r="B112" t="s">
        <v>4</v>
      </c>
      <c r="C112" t="s">
        <v>9</v>
      </c>
      <c r="D112" t="s">
        <v>37</v>
      </c>
      <c r="E112">
        <v>45</v>
      </c>
      <c r="F112">
        <v>54</v>
      </c>
      <c r="G112">
        <v>50</v>
      </c>
      <c r="H112" t="s">
        <v>12</v>
      </c>
      <c r="I112">
        <v>76594</v>
      </c>
      <c r="J112">
        <v>76594</v>
      </c>
    </row>
    <row r="113" spans="1:10" x14ac:dyDescent="0.45">
      <c r="A113">
        <v>112</v>
      </c>
      <c r="B113" t="s">
        <v>4</v>
      </c>
      <c r="C113" t="s">
        <v>8</v>
      </c>
      <c r="D113" t="s">
        <v>38</v>
      </c>
      <c r="E113">
        <v>55</v>
      </c>
      <c r="F113">
        <v>64</v>
      </c>
      <c r="G113">
        <v>64</v>
      </c>
      <c r="H113" t="s">
        <v>12</v>
      </c>
      <c r="I113">
        <v>99938</v>
      </c>
      <c r="J113">
        <v>99938</v>
      </c>
    </row>
    <row r="114" spans="1:10" x14ac:dyDescent="0.45">
      <c r="A114">
        <v>113</v>
      </c>
      <c r="B114" t="s">
        <v>4</v>
      </c>
      <c r="C114" t="s">
        <v>8</v>
      </c>
      <c r="D114" t="s">
        <v>38</v>
      </c>
      <c r="E114">
        <v>55</v>
      </c>
      <c r="F114">
        <v>64</v>
      </c>
      <c r="G114">
        <v>56</v>
      </c>
      <c r="H114" t="s">
        <v>12</v>
      </c>
      <c r="I114">
        <v>51071</v>
      </c>
      <c r="J114">
        <v>51071</v>
      </c>
    </row>
    <row r="115" spans="1:10" x14ac:dyDescent="0.45">
      <c r="A115">
        <v>114</v>
      </c>
      <c r="B115" t="s">
        <v>4</v>
      </c>
      <c r="C115" t="s">
        <v>8</v>
      </c>
      <c r="D115" t="s">
        <v>36</v>
      </c>
      <c r="E115">
        <v>35</v>
      </c>
      <c r="F115">
        <v>44</v>
      </c>
      <c r="G115">
        <v>39</v>
      </c>
      <c r="H115" t="s">
        <v>12</v>
      </c>
      <c r="I115">
        <v>56269</v>
      </c>
      <c r="J115">
        <v>56269</v>
      </c>
    </row>
    <row r="116" spans="1:10" x14ac:dyDescent="0.45">
      <c r="A116">
        <v>115</v>
      </c>
      <c r="B116" t="s">
        <v>4</v>
      </c>
      <c r="C116" t="s">
        <v>9</v>
      </c>
      <c r="D116" t="s">
        <v>37</v>
      </c>
      <c r="E116">
        <v>45</v>
      </c>
      <c r="F116">
        <v>54</v>
      </c>
      <c r="G116">
        <v>48</v>
      </c>
      <c r="H116" t="s">
        <v>13</v>
      </c>
      <c r="I116">
        <v>68245</v>
      </c>
      <c r="J116">
        <v>68245</v>
      </c>
    </row>
    <row r="117" spans="1:10" x14ac:dyDescent="0.45">
      <c r="A117">
        <v>116</v>
      </c>
      <c r="B117" t="s">
        <v>4</v>
      </c>
      <c r="C117" t="s">
        <v>8</v>
      </c>
      <c r="D117" t="s">
        <v>38</v>
      </c>
      <c r="E117">
        <v>55</v>
      </c>
      <c r="F117">
        <v>64</v>
      </c>
      <c r="G117">
        <v>59</v>
      </c>
      <c r="H117" t="s">
        <v>12</v>
      </c>
      <c r="I117">
        <v>66149</v>
      </c>
      <c r="J117">
        <v>66149</v>
      </c>
    </row>
    <row r="118" spans="1:10" x14ac:dyDescent="0.45">
      <c r="A118">
        <v>117</v>
      </c>
      <c r="B118" t="s">
        <v>4</v>
      </c>
      <c r="C118" t="s">
        <v>8</v>
      </c>
      <c r="D118" t="s">
        <v>35</v>
      </c>
      <c r="E118">
        <v>25</v>
      </c>
      <c r="F118">
        <v>34</v>
      </c>
      <c r="G118">
        <v>32</v>
      </c>
      <c r="H118" t="s">
        <v>12</v>
      </c>
      <c r="I118">
        <v>53189</v>
      </c>
      <c r="J118">
        <v>53189</v>
      </c>
    </row>
    <row r="119" spans="1:10" x14ac:dyDescent="0.45">
      <c r="A119">
        <v>118</v>
      </c>
      <c r="B119" t="s">
        <v>6</v>
      </c>
      <c r="C119" t="s">
        <v>9</v>
      </c>
      <c r="D119" t="s">
        <v>38</v>
      </c>
      <c r="E119">
        <v>55</v>
      </c>
      <c r="F119">
        <v>64</v>
      </c>
      <c r="G119">
        <v>58</v>
      </c>
      <c r="H119" t="s">
        <v>12</v>
      </c>
      <c r="I119">
        <v>75774</v>
      </c>
      <c r="J119">
        <v>75774</v>
      </c>
    </row>
    <row r="120" spans="1:10" x14ac:dyDescent="0.45">
      <c r="A120">
        <v>119</v>
      </c>
      <c r="B120" t="s">
        <v>5</v>
      </c>
      <c r="C120" t="s">
        <v>8</v>
      </c>
      <c r="D120" t="s">
        <v>37</v>
      </c>
      <c r="E120">
        <v>45</v>
      </c>
      <c r="F120">
        <v>54</v>
      </c>
      <c r="G120">
        <v>49</v>
      </c>
      <c r="H120" t="s">
        <v>12</v>
      </c>
      <c r="I120">
        <v>88810</v>
      </c>
      <c r="J120">
        <v>88810</v>
      </c>
    </row>
    <row r="121" spans="1:10" x14ac:dyDescent="0.45">
      <c r="A121">
        <v>120</v>
      </c>
      <c r="B121" t="s">
        <v>4</v>
      </c>
      <c r="C121" t="s">
        <v>8</v>
      </c>
      <c r="D121" t="s">
        <v>36</v>
      </c>
      <c r="E121">
        <v>35</v>
      </c>
      <c r="F121">
        <v>44</v>
      </c>
      <c r="G121">
        <v>41</v>
      </c>
      <c r="H121" t="s">
        <v>12</v>
      </c>
      <c r="I121">
        <v>55541</v>
      </c>
      <c r="J121">
        <v>55541</v>
      </c>
    </row>
    <row r="122" spans="1:10" x14ac:dyDescent="0.45">
      <c r="A122">
        <v>121</v>
      </c>
      <c r="B122" t="s">
        <v>4</v>
      </c>
      <c r="C122" t="s">
        <v>9</v>
      </c>
      <c r="D122" t="s">
        <v>37</v>
      </c>
      <c r="E122">
        <v>45</v>
      </c>
      <c r="F122">
        <v>54</v>
      </c>
      <c r="G122">
        <v>45</v>
      </c>
      <c r="H122" t="s">
        <v>12</v>
      </c>
      <c r="I122">
        <v>75885</v>
      </c>
      <c r="J122">
        <v>75885</v>
      </c>
    </row>
    <row r="123" spans="1:10" x14ac:dyDescent="0.45">
      <c r="A123">
        <v>122</v>
      </c>
      <c r="B123" t="s">
        <v>4</v>
      </c>
      <c r="C123" t="s">
        <v>8</v>
      </c>
      <c r="D123" t="s">
        <v>36</v>
      </c>
      <c r="E123">
        <v>35</v>
      </c>
      <c r="F123">
        <v>44</v>
      </c>
      <c r="G123">
        <v>39</v>
      </c>
      <c r="H123" t="s">
        <v>12</v>
      </c>
      <c r="I123">
        <v>70190</v>
      </c>
      <c r="J123">
        <v>70190</v>
      </c>
    </row>
    <row r="124" spans="1:10" x14ac:dyDescent="0.45">
      <c r="A124">
        <v>123</v>
      </c>
      <c r="B124" t="s">
        <v>4</v>
      </c>
      <c r="C124" t="s">
        <v>8</v>
      </c>
      <c r="D124" t="s">
        <v>35</v>
      </c>
      <c r="E124">
        <v>25</v>
      </c>
      <c r="F124">
        <v>34</v>
      </c>
      <c r="G124">
        <v>29</v>
      </c>
      <c r="H124" t="s">
        <v>12</v>
      </c>
      <c r="I124">
        <v>53780</v>
      </c>
      <c r="J124">
        <v>53780</v>
      </c>
    </row>
    <row r="125" spans="1:10" x14ac:dyDescent="0.45">
      <c r="A125">
        <v>124</v>
      </c>
      <c r="B125" t="s">
        <v>4</v>
      </c>
      <c r="C125" t="s">
        <v>9</v>
      </c>
      <c r="D125" t="s">
        <v>37</v>
      </c>
      <c r="E125">
        <v>45</v>
      </c>
      <c r="F125">
        <v>54</v>
      </c>
      <c r="G125">
        <v>53</v>
      </c>
      <c r="H125" t="s">
        <v>12</v>
      </c>
      <c r="I125">
        <v>60942</v>
      </c>
      <c r="J125">
        <v>60942</v>
      </c>
    </row>
    <row r="126" spans="1:10" x14ac:dyDescent="0.45">
      <c r="A126">
        <v>125</v>
      </c>
      <c r="B126" t="s">
        <v>6</v>
      </c>
      <c r="C126" t="s">
        <v>8</v>
      </c>
      <c r="D126" t="s">
        <v>36</v>
      </c>
      <c r="E126">
        <v>35</v>
      </c>
      <c r="F126">
        <v>44</v>
      </c>
      <c r="G126">
        <v>41</v>
      </c>
      <c r="H126" t="s">
        <v>12</v>
      </c>
      <c r="I126">
        <v>72612</v>
      </c>
      <c r="J126">
        <v>72612</v>
      </c>
    </row>
    <row r="127" spans="1:10" x14ac:dyDescent="0.45">
      <c r="A127">
        <v>126</v>
      </c>
      <c r="B127" t="s">
        <v>4</v>
      </c>
      <c r="C127" t="s">
        <v>9</v>
      </c>
      <c r="D127" t="s">
        <v>36</v>
      </c>
      <c r="E127">
        <v>35</v>
      </c>
      <c r="F127">
        <v>44</v>
      </c>
      <c r="G127">
        <v>43</v>
      </c>
      <c r="H127" t="s">
        <v>12</v>
      </c>
      <c r="I127">
        <v>49346</v>
      </c>
      <c r="J127">
        <v>49346</v>
      </c>
    </row>
    <row r="128" spans="1:10" x14ac:dyDescent="0.45">
      <c r="A128">
        <v>127</v>
      </c>
      <c r="B128" t="s">
        <v>6</v>
      </c>
      <c r="C128" t="s">
        <v>8</v>
      </c>
      <c r="D128" t="s">
        <v>36</v>
      </c>
      <c r="E128">
        <v>35</v>
      </c>
      <c r="F128">
        <v>44</v>
      </c>
      <c r="G128">
        <v>39</v>
      </c>
      <c r="H128" t="s">
        <v>12</v>
      </c>
      <c r="I128">
        <v>110389</v>
      </c>
      <c r="J128">
        <v>110389</v>
      </c>
    </row>
    <row r="129" spans="1:10" x14ac:dyDescent="0.45">
      <c r="A129">
        <v>128</v>
      </c>
      <c r="B129" t="s">
        <v>4</v>
      </c>
      <c r="C129" t="s">
        <v>9</v>
      </c>
      <c r="D129" t="s">
        <v>35</v>
      </c>
      <c r="E129">
        <v>25</v>
      </c>
      <c r="F129">
        <v>34</v>
      </c>
      <c r="G129">
        <v>26</v>
      </c>
      <c r="H129" t="s">
        <v>12</v>
      </c>
      <c r="I129">
        <v>78357</v>
      </c>
      <c r="J129">
        <v>78357</v>
      </c>
    </row>
    <row r="130" spans="1:10" x14ac:dyDescent="0.45">
      <c r="A130">
        <v>129</v>
      </c>
      <c r="B130" t="s">
        <v>4</v>
      </c>
      <c r="C130" t="s">
        <v>8</v>
      </c>
      <c r="D130" t="s">
        <v>35</v>
      </c>
      <c r="E130">
        <v>25</v>
      </c>
      <c r="F130">
        <v>34</v>
      </c>
      <c r="G130">
        <v>30</v>
      </c>
      <c r="H130" t="s">
        <v>12</v>
      </c>
      <c r="I130">
        <v>82612</v>
      </c>
      <c r="J130">
        <v>82612</v>
      </c>
    </row>
    <row r="131" spans="1:10" x14ac:dyDescent="0.45">
      <c r="A131">
        <v>130</v>
      </c>
      <c r="B131" t="s">
        <v>4</v>
      </c>
      <c r="C131" t="s">
        <v>9</v>
      </c>
      <c r="D131" t="s">
        <v>36</v>
      </c>
      <c r="E131">
        <v>35</v>
      </c>
      <c r="F131">
        <v>44</v>
      </c>
      <c r="G131">
        <v>43</v>
      </c>
      <c r="H131" t="s">
        <v>12</v>
      </c>
      <c r="I131">
        <v>61664</v>
      </c>
      <c r="J131">
        <v>61664</v>
      </c>
    </row>
    <row r="132" spans="1:10" x14ac:dyDescent="0.45">
      <c r="A132">
        <v>131</v>
      </c>
      <c r="B132" t="s">
        <v>4</v>
      </c>
      <c r="C132" t="s">
        <v>8</v>
      </c>
      <c r="D132" t="s">
        <v>37</v>
      </c>
      <c r="E132">
        <v>45</v>
      </c>
      <c r="F132">
        <v>54</v>
      </c>
      <c r="G132">
        <v>51</v>
      </c>
      <c r="H132" t="s">
        <v>13</v>
      </c>
      <c r="I132">
        <v>118293</v>
      </c>
      <c r="J132">
        <v>118293</v>
      </c>
    </row>
    <row r="133" spans="1:10" x14ac:dyDescent="0.45">
      <c r="A133">
        <v>132</v>
      </c>
      <c r="B133" t="s">
        <v>4</v>
      </c>
      <c r="C133" t="s">
        <v>8</v>
      </c>
      <c r="D133" t="s">
        <v>36</v>
      </c>
      <c r="E133">
        <v>35</v>
      </c>
      <c r="F133">
        <v>44</v>
      </c>
      <c r="G133">
        <v>37</v>
      </c>
      <c r="H133" t="s">
        <v>12</v>
      </c>
      <c r="I133">
        <v>72234</v>
      </c>
      <c r="J133">
        <v>72234</v>
      </c>
    </row>
    <row r="134" spans="1:10" x14ac:dyDescent="0.45">
      <c r="A134">
        <v>133</v>
      </c>
      <c r="B134" t="s">
        <v>4</v>
      </c>
      <c r="C134" t="s">
        <v>9</v>
      </c>
      <c r="D134" t="s">
        <v>37</v>
      </c>
      <c r="E134">
        <v>45</v>
      </c>
      <c r="F134">
        <v>54</v>
      </c>
      <c r="G134">
        <v>51</v>
      </c>
      <c r="H134" t="s">
        <v>12</v>
      </c>
      <c r="I134">
        <v>79367</v>
      </c>
      <c r="J134">
        <v>79367</v>
      </c>
    </row>
    <row r="135" spans="1:10" x14ac:dyDescent="0.45">
      <c r="A135">
        <v>134</v>
      </c>
      <c r="B135" t="s">
        <v>5</v>
      </c>
      <c r="C135" t="s">
        <v>9</v>
      </c>
      <c r="D135" t="s">
        <v>37</v>
      </c>
      <c r="E135">
        <v>45</v>
      </c>
      <c r="F135">
        <v>54</v>
      </c>
      <c r="G135">
        <v>45</v>
      </c>
      <c r="H135" t="s">
        <v>12</v>
      </c>
      <c r="I135">
        <v>58575</v>
      </c>
      <c r="J135">
        <v>58575</v>
      </c>
    </row>
    <row r="136" spans="1:10" x14ac:dyDescent="0.45">
      <c r="A136">
        <v>135</v>
      </c>
      <c r="B136" t="s">
        <v>4</v>
      </c>
      <c r="C136" t="s">
        <v>9</v>
      </c>
      <c r="D136" t="s">
        <v>36</v>
      </c>
      <c r="E136">
        <v>35</v>
      </c>
      <c r="F136">
        <v>44</v>
      </c>
      <c r="G136">
        <v>44</v>
      </c>
      <c r="H136" t="s">
        <v>12</v>
      </c>
      <c r="I136">
        <v>46448</v>
      </c>
      <c r="J136">
        <v>46448</v>
      </c>
    </row>
    <row r="137" spans="1:10" x14ac:dyDescent="0.45">
      <c r="A137">
        <v>136</v>
      </c>
      <c r="B137" t="s">
        <v>4</v>
      </c>
      <c r="C137" t="s">
        <v>8</v>
      </c>
      <c r="D137" t="s">
        <v>37</v>
      </c>
      <c r="E137">
        <v>45</v>
      </c>
      <c r="F137">
        <v>54</v>
      </c>
      <c r="G137">
        <v>54</v>
      </c>
      <c r="H137" t="s">
        <v>12</v>
      </c>
      <c r="I137">
        <v>61873</v>
      </c>
      <c r="J137">
        <v>61873</v>
      </c>
    </row>
    <row r="138" spans="1:10" x14ac:dyDescent="0.45">
      <c r="A138">
        <v>137</v>
      </c>
      <c r="B138" t="s">
        <v>6</v>
      </c>
      <c r="C138" t="s">
        <v>8</v>
      </c>
      <c r="D138" t="s">
        <v>37</v>
      </c>
      <c r="E138">
        <v>45</v>
      </c>
      <c r="F138">
        <v>54</v>
      </c>
      <c r="G138">
        <v>52</v>
      </c>
      <c r="H138" t="s">
        <v>12</v>
      </c>
      <c r="I138">
        <v>54736</v>
      </c>
      <c r="J138">
        <v>54736</v>
      </c>
    </row>
    <row r="139" spans="1:10" x14ac:dyDescent="0.45">
      <c r="A139">
        <v>138</v>
      </c>
      <c r="B139" t="s">
        <v>6</v>
      </c>
      <c r="C139" t="s">
        <v>9</v>
      </c>
      <c r="D139" t="s">
        <v>35</v>
      </c>
      <c r="E139">
        <v>25</v>
      </c>
      <c r="F139">
        <v>34</v>
      </c>
      <c r="G139">
        <v>32</v>
      </c>
      <c r="H139" t="s">
        <v>13</v>
      </c>
      <c r="I139">
        <v>61372</v>
      </c>
      <c r="J139">
        <v>61372</v>
      </c>
    </row>
    <row r="140" spans="1:10" x14ac:dyDescent="0.45">
      <c r="A140">
        <v>139</v>
      </c>
      <c r="B140" t="s">
        <v>4</v>
      </c>
      <c r="C140" t="s">
        <v>8</v>
      </c>
      <c r="D140" t="s">
        <v>38</v>
      </c>
      <c r="E140">
        <v>55</v>
      </c>
      <c r="F140">
        <v>64</v>
      </c>
      <c r="G140">
        <v>59</v>
      </c>
      <c r="H140" t="s">
        <v>12</v>
      </c>
      <c r="I140">
        <v>80928</v>
      </c>
      <c r="J140">
        <v>80928</v>
      </c>
    </row>
    <row r="141" spans="1:10" x14ac:dyDescent="0.45">
      <c r="A141">
        <v>140</v>
      </c>
      <c r="B141" t="s">
        <v>4</v>
      </c>
      <c r="C141" t="s">
        <v>8</v>
      </c>
      <c r="D141" t="s">
        <v>38</v>
      </c>
      <c r="E141">
        <v>55</v>
      </c>
      <c r="F141">
        <v>64</v>
      </c>
      <c r="G141">
        <v>59</v>
      </c>
      <c r="H141" t="s">
        <v>12</v>
      </c>
      <c r="I141">
        <v>87134</v>
      </c>
      <c r="J141">
        <v>87134</v>
      </c>
    </row>
    <row r="142" spans="1:10" x14ac:dyDescent="0.45">
      <c r="A142">
        <v>141</v>
      </c>
      <c r="B142" t="s">
        <v>6</v>
      </c>
      <c r="C142" t="s">
        <v>8</v>
      </c>
      <c r="D142" t="s">
        <v>36</v>
      </c>
      <c r="E142">
        <v>35</v>
      </c>
      <c r="F142">
        <v>44</v>
      </c>
      <c r="G142">
        <v>44</v>
      </c>
      <c r="H142" t="s">
        <v>12</v>
      </c>
      <c r="I142">
        <v>52582</v>
      </c>
      <c r="J142">
        <v>52582</v>
      </c>
    </row>
    <row r="143" spans="1:10" x14ac:dyDescent="0.45">
      <c r="A143">
        <v>142</v>
      </c>
      <c r="B143" t="s">
        <v>4</v>
      </c>
      <c r="C143" t="s">
        <v>8</v>
      </c>
      <c r="D143" t="s">
        <v>38</v>
      </c>
      <c r="E143">
        <v>55</v>
      </c>
      <c r="F143">
        <v>64</v>
      </c>
      <c r="G143">
        <v>63</v>
      </c>
      <c r="H143" t="s">
        <v>12</v>
      </c>
      <c r="I143">
        <v>55667</v>
      </c>
      <c r="J143">
        <v>55667</v>
      </c>
    </row>
    <row r="144" spans="1:10" x14ac:dyDescent="0.45">
      <c r="A144">
        <v>143</v>
      </c>
      <c r="B144" t="s">
        <v>4</v>
      </c>
      <c r="C144" t="s">
        <v>8</v>
      </c>
      <c r="D144" t="s">
        <v>36</v>
      </c>
      <c r="E144">
        <v>35</v>
      </c>
      <c r="F144">
        <v>44</v>
      </c>
      <c r="G144">
        <v>36</v>
      </c>
      <c r="H144" t="s">
        <v>12</v>
      </c>
      <c r="I144">
        <v>126755</v>
      </c>
      <c r="J144">
        <v>126755</v>
      </c>
    </row>
    <row r="145" spans="1:10" x14ac:dyDescent="0.45">
      <c r="A145">
        <v>144</v>
      </c>
      <c r="B145" t="s">
        <v>5</v>
      </c>
      <c r="C145" t="s">
        <v>8</v>
      </c>
      <c r="D145" t="s">
        <v>38</v>
      </c>
      <c r="E145">
        <v>55</v>
      </c>
      <c r="F145">
        <v>64</v>
      </c>
      <c r="G145">
        <v>63</v>
      </c>
      <c r="H145" t="s">
        <v>13</v>
      </c>
      <c r="I145">
        <v>50528</v>
      </c>
      <c r="J145">
        <v>50528</v>
      </c>
    </row>
    <row r="146" spans="1:10" x14ac:dyDescent="0.45">
      <c r="A146">
        <v>145</v>
      </c>
      <c r="B146" t="s">
        <v>4</v>
      </c>
      <c r="C146" t="s">
        <v>8</v>
      </c>
      <c r="D146" t="s">
        <v>36</v>
      </c>
      <c r="E146">
        <v>35</v>
      </c>
      <c r="F146">
        <v>44</v>
      </c>
      <c r="G146">
        <v>35</v>
      </c>
      <c r="H146" t="s">
        <v>12</v>
      </c>
      <c r="I146">
        <v>111826</v>
      </c>
      <c r="J146">
        <v>111826</v>
      </c>
    </row>
    <row r="147" spans="1:10" x14ac:dyDescent="0.45">
      <c r="A147">
        <v>146</v>
      </c>
      <c r="B147" t="s">
        <v>4</v>
      </c>
      <c r="C147" t="s">
        <v>8</v>
      </c>
      <c r="D147" t="s">
        <v>36</v>
      </c>
      <c r="E147">
        <v>35</v>
      </c>
      <c r="F147">
        <v>44</v>
      </c>
      <c r="G147">
        <v>40</v>
      </c>
      <c r="H147" t="s">
        <v>12</v>
      </c>
      <c r="I147">
        <v>84740</v>
      </c>
      <c r="J147">
        <v>84740</v>
      </c>
    </row>
    <row r="148" spans="1:10" x14ac:dyDescent="0.45">
      <c r="A148">
        <v>147</v>
      </c>
      <c r="B148" t="s">
        <v>4</v>
      </c>
      <c r="C148" t="s">
        <v>8</v>
      </c>
      <c r="D148" t="s">
        <v>37</v>
      </c>
      <c r="E148">
        <v>45</v>
      </c>
      <c r="F148">
        <v>54</v>
      </c>
      <c r="G148">
        <v>53</v>
      </c>
      <c r="H148" t="s">
        <v>12</v>
      </c>
      <c r="I148">
        <v>127618</v>
      </c>
      <c r="J148">
        <v>127618</v>
      </c>
    </row>
    <row r="149" spans="1:10" x14ac:dyDescent="0.45">
      <c r="A149">
        <v>148</v>
      </c>
      <c r="B149" t="s">
        <v>5</v>
      </c>
      <c r="C149" t="s">
        <v>8</v>
      </c>
      <c r="D149" t="s">
        <v>36</v>
      </c>
      <c r="E149">
        <v>35</v>
      </c>
      <c r="F149">
        <v>44</v>
      </c>
      <c r="G149">
        <v>43</v>
      </c>
      <c r="H149" t="s">
        <v>12</v>
      </c>
      <c r="I149">
        <v>123809</v>
      </c>
      <c r="J149">
        <v>123809</v>
      </c>
    </row>
    <row r="150" spans="1:10" x14ac:dyDescent="0.45">
      <c r="A150">
        <v>149</v>
      </c>
      <c r="B150" t="s">
        <v>5</v>
      </c>
      <c r="C150" t="s">
        <v>9</v>
      </c>
      <c r="D150" t="s">
        <v>37</v>
      </c>
      <c r="E150">
        <v>45</v>
      </c>
      <c r="F150">
        <v>54</v>
      </c>
      <c r="G150">
        <v>52</v>
      </c>
      <c r="H150" t="s">
        <v>12</v>
      </c>
      <c r="I150">
        <v>49289</v>
      </c>
      <c r="J150">
        <v>49289</v>
      </c>
    </row>
    <row r="151" spans="1:10" x14ac:dyDescent="0.45">
      <c r="A151">
        <v>150</v>
      </c>
      <c r="B151" t="s">
        <v>4</v>
      </c>
      <c r="C151" t="s">
        <v>8</v>
      </c>
      <c r="D151" t="s">
        <v>35</v>
      </c>
      <c r="E151">
        <v>25</v>
      </c>
      <c r="F151">
        <v>34</v>
      </c>
      <c r="G151">
        <v>27</v>
      </c>
      <c r="H151" t="s">
        <v>12</v>
      </c>
      <c r="I151">
        <v>73330</v>
      </c>
      <c r="J151">
        <v>73330</v>
      </c>
    </row>
    <row r="152" spans="1:10" x14ac:dyDescent="0.45">
      <c r="A152">
        <v>151</v>
      </c>
      <c r="B152" t="s">
        <v>6</v>
      </c>
      <c r="C152" t="s">
        <v>8</v>
      </c>
      <c r="D152" t="s">
        <v>37</v>
      </c>
      <c r="E152">
        <v>45</v>
      </c>
      <c r="F152">
        <v>54</v>
      </c>
      <c r="G152">
        <v>54</v>
      </c>
      <c r="H152" t="s">
        <v>12</v>
      </c>
      <c r="I152">
        <v>129592</v>
      </c>
      <c r="J152">
        <v>129592</v>
      </c>
    </row>
    <row r="153" spans="1:10" x14ac:dyDescent="0.45">
      <c r="A153">
        <v>152</v>
      </c>
      <c r="B153" t="s">
        <v>4</v>
      </c>
      <c r="C153" t="s">
        <v>8</v>
      </c>
      <c r="D153" t="s">
        <v>36</v>
      </c>
      <c r="E153">
        <v>35</v>
      </c>
      <c r="F153">
        <v>44</v>
      </c>
      <c r="G153">
        <v>38</v>
      </c>
      <c r="H153" t="s">
        <v>12</v>
      </c>
      <c r="I153">
        <v>101888</v>
      </c>
      <c r="J153">
        <v>101888</v>
      </c>
    </row>
    <row r="154" spans="1:10" x14ac:dyDescent="0.45">
      <c r="A154">
        <v>153</v>
      </c>
      <c r="B154" t="s">
        <v>6</v>
      </c>
      <c r="C154" t="s">
        <v>8</v>
      </c>
      <c r="D154" t="s">
        <v>36</v>
      </c>
      <c r="E154">
        <v>35</v>
      </c>
      <c r="F154">
        <v>44</v>
      </c>
      <c r="G154">
        <v>36</v>
      </c>
      <c r="H154" t="s">
        <v>12</v>
      </c>
      <c r="I154">
        <v>120233</v>
      </c>
      <c r="J154">
        <v>120233</v>
      </c>
    </row>
    <row r="155" spans="1:10" x14ac:dyDescent="0.45">
      <c r="A155">
        <v>154</v>
      </c>
      <c r="B155" t="s">
        <v>5</v>
      </c>
      <c r="C155" t="s">
        <v>8</v>
      </c>
      <c r="D155" t="s">
        <v>36</v>
      </c>
      <c r="E155">
        <v>35</v>
      </c>
      <c r="F155">
        <v>44</v>
      </c>
      <c r="G155">
        <v>43</v>
      </c>
      <c r="H155" t="s">
        <v>12</v>
      </c>
      <c r="I155">
        <v>52946</v>
      </c>
      <c r="J155">
        <v>52946</v>
      </c>
    </row>
    <row r="156" spans="1:10" x14ac:dyDescent="0.45">
      <c r="A156">
        <v>155</v>
      </c>
      <c r="B156" t="s">
        <v>4</v>
      </c>
      <c r="C156" t="s">
        <v>9</v>
      </c>
      <c r="D156" t="s">
        <v>35</v>
      </c>
      <c r="E156">
        <v>25</v>
      </c>
      <c r="F156">
        <v>34</v>
      </c>
      <c r="G156">
        <v>25</v>
      </c>
      <c r="H156" t="s">
        <v>12</v>
      </c>
      <c r="I156">
        <v>62836</v>
      </c>
      <c r="J156">
        <v>62836</v>
      </c>
    </row>
    <row r="157" spans="1:10" x14ac:dyDescent="0.45">
      <c r="A157">
        <v>156</v>
      </c>
      <c r="B157" t="s">
        <v>4</v>
      </c>
      <c r="C157" t="s">
        <v>8</v>
      </c>
      <c r="D157" t="s">
        <v>35</v>
      </c>
      <c r="E157">
        <v>25</v>
      </c>
      <c r="F157">
        <v>34</v>
      </c>
      <c r="G157">
        <v>30</v>
      </c>
      <c r="H157" t="s">
        <v>12</v>
      </c>
      <c r="I157">
        <v>59564</v>
      </c>
      <c r="J157">
        <v>59564</v>
      </c>
    </row>
    <row r="158" spans="1:10" x14ac:dyDescent="0.45">
      <c r="A158">
        <v>157</v>
      </c>
      <c r="B158" t="s">
        <v>4</v>
      </c>
      <c r="C158" t="s">
        <v>8</v>
      </c>
      <c r="D158" t="s">
        <v>36</v>
      </c>
      <c r="E158">
        <v>35</v>
      </c>
      <c r="F158">
        <v>44</v>
      </c>
      <c r="G158">
        <v>40</v>
      </c>
      <c r="H158" t="s">
        <v>12</v>
      </c>
      <c r="I158">
        <v>114596</v>
      </c>
      <c r="J158">
        <v>114596</v>
      </c>
    </row>
    <row r="159" spans="1:10" x14ac:dyDescent="0.45">
      <c r="A159">
        <v>158</v>
      </c>
      <c r="B159" t="s">
        <v>4</v>
      </c>
      <c r="C159" t="s">
        <v>8</v>
      </c>
      <c r="D159" t="s">
        <v>36</v>
      </c>
      <c r="E159">
        <v>35</v>
      </c>
      <c r="F159">
        <v>44</v>
      </c>
      <c r="G159">
        <v>39</v>
      </c>
      <c r="H159" t="s">
        <v>12</v>
      </c>
      <c r="I159">
        <v>86340</v>
      </c>
      <c r="J159">
        <v>86340</v>
      </c>
    </row>
    <row r="160" spans="1:10" x14ac:dyDescent="0.45">
      <c r="A160">
        <v>159</v>
      </c>
      <c r="B160" t="s">
        <v>5</v>
      </c>
      <c r="C160" t="s">
        <v>9</v>
      </c>
      <c r="D160" t="s">
        <v>38</v>
      </c>
      <c r="E160">
        <v>55</v>
      </c>
      <c r="F160">
        <v>64</v>
      </c>
      <c r="G160">
        <v>57</v>
      </c>
      <c r="H160" t="s">
        <v>12</v>
      </c>
      <c r="I160">
        <v>62769</v>
      </c>
      <c r="J160">
        <v>62769</v>
      </c>
    </row>
    <row r="161" spans="1:10" x14ac:dyDescent="0.45">
      <c r="A161">
        <v>160</v>
      </c>
      <c r="B161" t="s">
        <v>4</v>
      </c>
      <c r="C161" t="s">
        <v>8</v>
      </c>
      <c r="D161" t="s">
        <v>36</v>
      </c>
      <c r="E161">
        <v>35</v>
      </c>
      <c r="F161">
        <v>44</v>
      </c>
      <c r="G161">
        <v>36</v>
      </c>
      <c r="H161" t="s">
        <v>12</v>
      </c>
      <c r="I161">
        <v>58350</v>
      </c>
      <c r="J161">
        <v>58350</v>
      </c>
    </row>
    <row r="162" spans="1:10" x14ac:dyDescent="0.45">
      <c r="A162">
        <v>161</v>
      </c>
      <c r="B162" t="s">
        <v>4</v>
      </c>
      <c r="C162" t="s">
        <v>9</v>
      </c>
      <c r="D162" t="s">
        <v>37</v>
      </c>
      <c r="E162">
        <v>45</v>
      </c>
      <c r="F162">
        <v>54</v>
      </c>
      <c r="G162">
        <v>50</v>
      </c>
      <c r="H162" t="s">
        <v>12</v>
      </c>
      <c r="I162">
        <v>48361</v>
      </c>
      <c r="J162">
        <v>48361</v>
      </c>
    </row>
    <row r="163" spans="1:10" x14ac:dyDescent="0.45">
      <c r="A163">
        <v>162</v>
      </c>
      <c r="B163" t="s">
        <v>4</v>
      </c>
      <c r="C163" t="s">
        <v>9</v>
      </c>
      <c r="D163" t="s">
        <v>35</v>
      </c>
      <c r="E163">
        <v>25</v>
      </c>
      <c r="F163">
        <v>34</v>
      </c>
      <c r="G163">
        <v>28</v>
      </c>
      <c r="H163" t="s">
        <v>12</v>
      </c>
      <c r="I163">
        <v>47067</v>
      </c>
      <c r="J163">
        <v>47067</v>
      </c>
    </row>
    <row r="164" spans="1:10" x14ac:dyDescent="0.45">
      <c r="A164">
        <v>163</v>
      </c>
      <c r="B164" t="s">
        <v>5</v>
      </c>
      <c r="C164" t="s">
        <v>8</v>
      </c>
      <c r="D164" t="s">
        <v>37</v>
      </c>
      <c r="E164">
        <v>45</v>
      </c>
      <c r="F164">
        <v>54</v>
      </c>
      <c r="G164">
        <v>45</v>
      </c>
      <c r="H164" t="s">
        <v>12</v>
      </c>
      <c r="I164">
        <v>126315</v>
      </c>
      <c r="J164">
        <v>126315</v>
      </c>
    </row>
    <row r="165" spans="1:10" x14ac:dyDescent="0.45">
      <c r="A165">
        <v>164</v>
      </c>
      <c r="B165" t="s">
        <v>4</v>
      </c>
      <c r="C165" t="s">
        <v>9</v>
      </c>
      <c r="D165" t="s">
        <v>37</v>
      </c>
      <c r="E165">
        <v>45</v>
      </c>
      <c r="F165">
        <v>54</v>
      </c>
      <c r="G165">
        <v>49</v>
      </c>
      <c r="H165" t="s">
        <v>12</v>
      </c>
      <c r="I165">
        <v>56045</v>
      </c>
      <c r="J165">
        <v>56045</v>
      </c>
    </row>
    <row r="166" spans="1:10" x14ac:dyDescent="0.45">
      <c r="A166">
        <v>165</v>
      </c>
      <c r="B166" t="s">
        <v>4</v>
      </c>
      <c r="C166" t="s">
        <v>8</v>
      </c>
      <c r="D166" t="s">
        <v>37</v>
      </c>
      <c r="E166">
        <v>45</v>
      </c>
      <c r="F166">
        <v>54</v>
      </c>
      <c r="G166">
        <v>46</v>
      </c>
      <c r="H166" t="s">
        <v>13</v>
      </c>
      <c r="I166">
        <v>90240</v>
      </c>
      <c r="J166">
        <v>90240</v>
      </c>
    </row>
    <row r="167" spans="1:10" x14ac:dyDescent="0.45">
      <c r="A167">
        <v>166</v>
      </c>
      <c r="B167" t="s">
        <v>4</v>
      </c>
      <c r="C167" t="s">
        <v>9</v>
      </c>
      <c r="D167" t="s">
        <v>37</v>
      </c>
      <c r="E167">
        <v>45</v>
      </c>
      <c r="F167">
        <v>54</v>
      </c>
      <c r="G167">
        <v>47</v>
      </c>
      <c r="H167" t="s">
        <v>13</v>
      </c>
      <c r="I167">
        <v>60928</v>
      </c>
      <c r="J167">
        <v>60928</v>
      </c>
    </row>
    <row r="168" spans="1:10" x14ac:dyDescent="0.45">
      <c r="A168">
        <v>167</v>
      </c>
      <c r="B168" t="s">
        <v>4</v>
      </c>
      <c r="C168" t="s">
        <v>8</v>
      </c>
      <c r="D168" t="s">
        <v>37</v>
      </c>
      <c r="E168">
        <v>45</v>
      </c>
      <c r="F168">
        <v>54</v>
      </c>
      <c r="G168">
        <v>54</v>
      </c>
      <c r="H168" t="s">
        <v>12</v>
      </c>
      <c r="I168">
        <v>102126</v>
      </c>
      <c r="J168">
        <v>102126</v>
      </c>
    </row>
    <row r="169" spans="1:10" x14ac:dyDescent="0.45">
      <c r="A169">
        <v>168</v>
      </c>
      <c r="B169" t="s">
        <v>4</v>
      </c>
      <c r="C169" t="s">
        <v>8</v>
      </c>
      <c r="D169" t="s">
        <v>35</v>
      </c>
      <c r="E169">
        <v>25</v>
      </c>
      <c r="F169">
        <v>34</v>
      </c>
      <c r="G169">
        <v>33</v>
      </c>
      <c r="H169" t="s">
        <v>12</v>
      </c>
      <c r="I169">
        <v>70391</v>
      </c>
      <c r="J169">
        <v>70391</v>
      </c>
    </row>
    <row r="170" spans="1:10" x14ac:dyDescent="0.45">
      <c r="A170">
        <v>169</v>
      </c>
      <c r="B170" t="s">
        <v>4</v>
      </c>
      <c r="C170" t="s">
        <v>8</v>
      </c>
      <c r="D170" t="s">
        <v>36</v>
      </c>
      <c r="E170">
        <v>35</v>
      </c>
      <c r="F170">
        <v>44</v>
      </c>
      <c r="G170">
        <v>35</v>
      </c>
      <c r="H170" t="s">
        <v>12</v>
      </c>
      <c r="I170">
        <v>113657</v>
      </c>
      <c r="J170">
        <v>113657</v>
      </c>
    </row>
    <row r="171" spans="1:10" x14ac:dyDescent="0.45">
      <c r="A171">
        <v>170</v>
      </c>
      <c r="B171" t="s">
        <v>4</v>
      </c>
      <c r="C171" t="s">
        <v>8</v>
      </c>
      <c r="D171" t="s">
        <v>37</v>
      </c>
      <c r="E171">
        <v>45</v>
      </c>
      <c r="F171">
        <v>54</v>
      </c>
      <c r="G171">
        <v>48</v>
      </c>
      <c r="H171" t="s">
        <v>12</v>
      </c>
      <c r="I171">
        <v>84532</v>
      </c>
      <c r="J171">
        <v>84532</v>
      </c>
    </row>
    <row r="172" spans="1:10" x14ac:dyDescent="0.45">
      <c r="A172">
        <v>171</v>
      </c>
      <c r="B172" t="s">
        <v>6</v>
      </c>
      <c r="C172" t="s">
        <v>8</v>
      </c>
      <c r="D172" t="s">
        <v>37</v>
      </c>
      <c r="E172">
        <v>45</v>
      </c>
      <c r="F172">
        <v>54</v>
      </c>
      <c r="G172">
        <v>47</v>
      </c>
      <c r="H172" t="s">
        <v>12</v>
      </c>
      <c r="I172">
        <v>54401</v>
      </c>
      <c r="J172">
        <v>54401</v>
      </c>
    </row>
    <row r="173" spans="1:10" x14ac:dyDescent="0.45">
      <c r="A173">
        <v>172</v>
      </c>
      <c r="B173" t="s">
        <v>6</v>
      </c>
      <c r="C173" t="s">
        <v>8</v>
      </c>
      <c r="D173" t="s">
        <v>37</v>
      </c>
      <c r="E173">
        <v>45</v>
      </c>
      <c r="F173">
        <v>54</v>
      </c>
      <c r="G173">
        <v>51</v>
      </c>
      <c r="H173" t="s">
        <v>13</v>
      </c>
      <c r="I173">
        <v>89188</v>
      </c>
      <c r="J173">
        <v>89188</v>
      </c>
    </row>
    <row r="174" spans="1:10" x14ac:dyDescent="0.45">
      <c r="A174">
        <v>173</v>
      </c>
      <c r="B174" t="s">
        <v>4</v>
      </c>
      <c r="C174" t="s">
        <v>8</v>
      </c>
      <c r="D174" t="s">
        <v>38</v>
      </c>
      <c r="E174">
        <v>55</v>
      </c>
      <c r="F174">
        <v>64</v>
      </c>
      <c r="G174">
        <v>64</v>
      </c>
      <c r="H174" t="s">
        <v>12</v>
      </c>
      <c r="I174">
        <v>86388</v>
      </c>
      <c r="J174">
        <v>86388</v>
      </c>
    </row>
    <row r="175" spans="1:10" x14ac:dyDescent="0.45">
      <c r="A175">
        <v>174</v>
      </c>
      <c r="B175" t="s">
        <v>5</v>
      </c>
      <c r="C175" t="s">
        <v>8</v>
      </c>
      <c r="D175" t="s">
        <v>35</v>
      </c>
      <c r="E175">
        <v>25</v>
      </c>
      <c r="F175">
        <v>34</v>
      </c>
      <c r="G175">
        <v>25</v>
      </c>
      <c r="H175" t="s">
        <v>12</v>
      </c>
      <c r="I175">
        <v>73587</v>
      </c>
      <c r="J175">
        <v>73587</v>
      </c>
    </row>
    <row r="176" spans="1:10" x14ac:dyDescent="0.45">
      <c r="A176">
        <v>175</v>
      </c>
      <c r="B176" t="s">
        <v>4</v>
      </c>
      <c r="C176" t="s">
        <v>9</v>
      </c>
      <c r="D176" t="s">
        <v>36</v>
      </c>
      <c r="E176">
        <v>35</v>
      </c>
      <c r="F176">
        <v>44</v>
      </c>
      <c r="G176">
        <v>44</v>
      </c>
      <c r="H176" t="s">
        <v>12</v>
      </c>
      <c r="I176">
        <v>68101</v>
      </c>
      <c r="J176">
        <v>68101</v>
      </c>
    </row>
    <row r="177" spans="1:10" x14ac:dyDescent="0.45">
      <c r="A177">
        <v>176</v>
      </c>
      <c r="B177" t="s">
        <v>4</v>
      </c>
      <c r="C177" t="s">
        <v>8</v>
      </c>
      <c r="D177" t="s">
        <v>36</v>
      </c>
      <c r="E177">
        <v>35</v>
      </c>
      <c r="F177">
        <v>44</v>
      </c>
      <c r="G177">
        <v>42</v>
      </c>
      <c r="H177" t="s">
        <v>12</v>
      </c>
      <c r="I177">
        <v>71428</v>
      </c>
      <c r="J177">
        <v>71428</v>
      </c>
    </row>
    <row r="178" spans="1:10" x14ac:dyDescent="0.45">
      <c r="A178">
        <v>177</v>
      </c>
      <c r="B178" t="s">
        <v>5</v>
      </c>
      <c r="C178" t="s">
        <v>8</v>
      </c>
      <c r="D178" t="s">
        <v>38</v>
      </c>
      <c r="E178">
        <v>55</v>
      </c>
      <c r="F178">
        <v>64</v>
      </c>
      <c r="G178">
        <v>63</v>
      </c>
      <c r="H178" t="s">
        <v>12</v>
      </c>
      <c r="I178">
        <v>76703</v>
      </c>
      <c r="J178">
        <v>76703</v>
      </c>
    </row>
    <row r="179" spans="1:10" x14ac:dyDescent="0.45">
      <c r="A179">
        <v>178</v>
      </c>
      <c r="B179" t="s">
        <v>4</v>
      </c>
      <c r="C179" t="s">
        <v>9</v>
      </c>
      <c r="D179" t="s">
        <v>35</v>
      </c>
      <c r="E179">
        <v>25</v>
      </c>
      <c r="F179">
        <v>34</v>
      </c>
      <c r="G179">
        <v>26</v>
      </c>
      <c r="H179" t="s">
        <v>12</v>
      </c>
      <c r="I179">
        <v>75744</v>
      </c>
      <c r="J179">
        <v>75744</v>
      </c>
    </row>
    <row r="180" spans="1:10" x14ac:dyDescent="0.45">
      <c r="A180">
        <v>179</v>
      </c>
      <c r="B180" t="s">
        <v>4</v>
      </c>
      <c r="C180" t="s">
        <v>9</v>
      </c>
      <c r="D180" t="s">
        <v>35</v>
      </c>
      <c r="E180">
        <v>25</v>
      </c>
      <c r="F180">
        <v>34</v>
      </c>
      <c r="G180">
        <v>26</v>
      </c>
      <c r="H180" t="s">
        <v>12</v>
      </c>
      <c r="I180">
        <v>72041</v>
      </c>
      <c r="J180">
        <v>72041</v>
      </c>
    </row>
    <row r="181" spans="1:10" x14ac:dyDescent="0.45">
      <c r="A181">
        <v>180</v>
      </c>
      <c r="B181" t="s">
        <v>6</v>
      </c>
      <c r="C181" t="s">
        <v>8</v>
      </c>
      <c r="D181" t="s">
        <v>37</v>
      </c>
      <c r="E181">
        <v>45</v>
      </c>
      <c r="F181">
        <v>54</v>
      </c>
      <c r="G181">
        <v>46</v>
      </c>
      <c r="H181" t="s">
        <v>12</v>
      </c>
      <c r="I181">
        <v>100538</v>
      </c>
      <c r="J181">
        <v>100538</v>
      </c>
    </row>
    <row r="182" spans="1:10" x14ac:dyDescent="0.45">
      <c r="A182">
        <v>181</v>
      </c>
      <c r="B182" t="s">
        <v>4</v>
      </c>
      <c r="C182" t="s">
        <v>9</v>
      </c>
      <c r="D182" t="s">
        <v>35</v>
      </c>
      <c r="E182">
        <v>25</v>
      </c>
      <c r="F182">
        <v>34</v>
      </c>
      <c r="G182">
        <v>30</v>
      </c>
      <c r="H182" t="s">
        <v>13</v>
      </c>
      <c r="I182">
        <v>47115</v>
      </c>
      <c r="J182">
        <v>47115</v>
      </c>
    </row>
    <row r="183" spans="1:10" x14ac:dyDescent="0.45">
      <c r="A183">
        <v>182</v>
      </c>
      <c r="B183" t="s">
        <v>5</v>
      </c>
      <c r="C183" t="s">
        <v>9</v>
      </c>
      <c r="D183" t="s">
        <v>36</v>
      </c>
      <c r="E183">
        <v>35</v>
      </c>
      <c r="F183">
        <v>44</v>
      </c>
      <c r="G183">
        <v>39</v>
      </c>
      <c r="H183" t="s">
        <v>12</v>
      </c>
      <c r="I183">
        <v>50035</v>
      </c>
      <c r="J183">
        <v>50035</v>
      </c>
    </row>
    <row r="184" spans="1:10" x14ac:dyDescent="0.45">
      <c r="A184">
        <v>183</v>
      </c>
      <c r="B184" t="s">
        <v>5</v>
      </c>
      <c r="C184" t="s">
        <v>8</v>
      </c>
      <c r="D184" t="s">
        <v>35</v>
      </c>
      <c r="E184">
        <v>25</v>
      </c>
      <c r="F184">
        <v>34</v>
      </c>
      <c r="G184">
        <v>29</v>
      </c>
      <c r="H184" t="s">
        <v>12</v>
      </c>
      <c r="I184">
        <v>68272</v>
      </c>
      <c r="J184">
        <v>68272</v>
      </c>
    </row>
    <row r="185" spans="1:10" x14ac:dyDescent="0.45">
      <c r="A185">
        <v>184</v>
      </c>
      <c r="B185" t="s">
        <v>4</v>
      </c>
      <c r="C185" t="s">
        <v>9</v>
      </c>
      <c r="D185" t="s">
        <v>36</v>
      </c>
      <c r="E185">
        <v>35</v>
      </c>
      <c r="F185">
        <v>44</v>
      </c>
      <c r="G185">
        <v>42</v>
      </c>
      <c r="H185" t="s">
        <v>12</v>
      </c>
      <c r="I185">
        <v>72530</v>
      </c>
      <c r="J185">
        <v>72530</v>
      </c>
    </row>
    <row r="186" spans="1:10" x14ac:dyDescent="0.45">
      <c r="A186">
        <v>185</v>
      </c>
      <c r="B186" t="s">
        <v>4</v>
      </c>
      <c r="C186" t="s">
        <v>9</v>
      </c>
      <c r="D186" t="s">
        <v>37</v>
      </c>
      <c r="E186">
        <v>45</v>
      </c>
      <c r="F186">
        <v>54</v>
      </c>
      <c r="G186">
        <v>45</v>
      </c>
      <c r="H186" t="s">
        <v>12</v>
      </c>
      <c r="I186">
        <v>65594</v>
      </c>
      <c r="J186">
        <v>65594</v>
      </c>
    </row>
    <row r="187" spans="1:10" x14ac:dyDescent="0.45">
      <c r="A187">
        <v>186</v>
      </c>
      <c r="B187" t="s">
        <v>6</v>
      </c>
      <c r="C187" t="s">
        <v>9</v>
      </c>
      <c r="D187" t="s">
        <v>35</v>
      </c>
      <c r="E187">
        <v>25</v>
      </c>
      <c r="F187">
        <v>34</v>
      </c>
      <c r="G187">
        <v>26</v>
      </c>
      <c r="H187" t="s">
        <v>12</v>
      </c>
      <c r="I187">
        <v>53752</v>
      </c>
      <c r="J187">
        <v>53752</v>
      </c>
    </row>
    <row r="188" spans="1:10" x14ac:dyDescent="0.45">
      <c r="A188">
        <v>187</v>
      </c>
      <c r="B188" t="s">
        <v>4</v>
      </c>
      <c r="C188" t="s">
        <v>8</v>
      </c>
      <c r="D188" t="s">
        <v>36</v>
      </c>
      <c r="E188">
        <v>35</v>
      </c>
      <c r="F188">
        <v>44</v>
      </c>
      <c r="G188">
        <v>42</v>
      </c>
      <c r="H188" t="s">
        <v>12</v>
      </c>
      <c r="I188">
        <v>121268</v>
      </c>
      <c r="J188">
        <v>121268</v>
      </c>
    </row>
    <row r="189" spans="1:10" x14ac:dyDescent="0.45">
      <c r="A189">
        <v>188</v>
      </c>
      <c r="B189" t="s">
        <v>4</v>
      </c>
      <c r="C189" t="s">
        <v>8</v>
      </c>
      <c r="D189" t="s">
        <v>37</v>
      </c>
      <c r="E189">
        <v>45</v>
      </c>
      <c r="F189">
        <v>54</v>
      </c>
      <c r="G189">
        <v>46</v>
      </c>
      <c r="H189" t="s">
        <v>12</v>
      </c>
      <c r="I189">
        <v>50946</v>
      </c>
      <c r="J189">
        <v>50946</v>
      </c>
    </row>
    <row r="190" spans="1:10" x14ac:dyDescent="0.45">
      <c r="A190">
        <v>189</v>
      </c>
      <c r="B190" t="s">
        <v>4</v>
      </c>
      <c r="C190" t="s">
        <v>9</v>
      </c>
      <c r="D190" t="s">
        <v>37</v>
      </c>
      <c r="E190">
        <v>45</v>
      </c>
      <c r="F190">
        <v>54</v>
      </c>
      <c r="G190">
        <v>52</v>
      </c>
      <c r="H190" t="s">
        <v>12</v>
      </c>
      <c r="I190">
        <v>73987</v>
      </c>
      <c r="J190">
        <v>73987</v>
      </c>
    </row>
    <row r="191" spans="1:10" x14ac:dyDescent="0.45">
      <c r="A191">
        <v>190</v>
      </c>
      <c r="B191" t="s">
        <v>4</v>
      </c>
      <c r="C191" t="s">
        <v>8</v>
      </c>
      <c r="D191" t="s">
        <v>36</v>
      </c>
      <c r="E191">
        <v>35</v>
      </c>
      <c r="F191">
        <v>44</v>
      </c>
      <c r="G191">
        <v>42</v>
      </c>
      <c r="H191" t="s">
        <v>12</v>
      </c>
      <c r="I191">
        <v>115922</v>
      </c>
      <c r="J191">
        <v>115922</v>
      </c>
    </row>
    <row r="192" spans="1:10" x14ac:dyDescent="0.45">
      <c r="A192">
        <v>191</v>
      </c>
      <c r="B192" t="s">
        <v>4</v>
      </c>
      <c r="C192" t="s">
        <v>8</v>
      </c>
      <c r="D192" t="s">
        <v>35</v>
      </c>
      <c r="E192">
        <v>25</v>
      </c>
      <c r="F192">
        <v>34</v>
      </c>
      <c r="G192">
        <v>33</v>
      </c>
      <c r="H192" t="s">
        <v>13</v>
      </c>
      <c r="I192">
        <v>99387</v>
      </c>
      <c r="J192">
        <v>99387</v>
      </c>
    </row>
    <row r="193" spans="1:10" x14ac:dyDescent="0.45">
      <c r="A193">
        <v>192</v>
      </c>
      <c r="B193" t="s">
        <v>6</v>
      </c>
      <c r="C193" t="s">
        <v>8</v>
      </c>
      <c r="D193" t="s">
        <v>35</v>
      </c>
      <c r="E193">
        <v>25</v>
      </c>
      <c r="F193">
        <v>34</v>
      </c>
      <c r="G193">
        <v>25</v>
      </c>
      <c r="H193" t="s">
        <v>12</v>
      </c>
      <c r="I193">
        <v>117518</v>
      </c>
      <c r="J193">
        <v>117518</v>
      </c>
    </row>
    <row r="194" spans="1:10" x14ac:dyDescent="0.45">
      <c r="A194">
        <v>193</v>
      </c>
      <c r="B194" t="s">
        <v>6</v>
      </c>
      <c r="C194" t="s">
        <v>8</v>
      </c>
      <c r="D194" t="s">
        <v>35</v>
      </c>
      <c r="E194">
        <v>25</v>
      </c>
      <c r="F194">
        <v>34</v>
      </c>
      <c r="G194">
        <v>34</v>
      </c>
      <c r="H194" t="s">
        <v>12</v>
      </c>
      <c r="I194">
        <v>129729</v>
      </c>
      <c r="J194">
        <v>129729</v>
      </c>
    </row>
    <row r="195" spans="1:10" x14ac:dyDescent="0.45">
      <c r="A195">
        <v>194</v>
      </c>
      <c r="B195" t="s">
        <v>4</v>
      </c>
      <c r="C195" t="s">
        <v>9</v>
      </c>
      <c r="D195" t="s">
        <v>35</v>
      </c>
      <c r="E195">
        <v>25</v>
      </c>
      <c r="F195">
        <v>34</v>
      </c>
      <c r="G195">
        <v>30</v>
      </c>
      <c r="H195" t="s">
        <v>13</v>
      </c>
      <c r="I195">
        <v>65897</v>
      </c>
      <c r="J195">
        <v>65897</v>
      </c>
    </row>
    <row r="196" spans="1:10" x14ac:dyDescent="0.45">
      <c r="A196">
        <v>195</v>
      </c>
      <c r="B196" t="s">
        <v>4</v>
      </c>
      <c r="C196" t="s">
        <v>9</v>
      </c>
      <c r="D196" t="s">
        <v>37</v>
      </c>
      <c r="E196">
        <v>45</v>
      </c>
      <c r="F196">
        <v>54</v>
      </c>
      <c r="G196">
        <v>47</v>
      </c>
      <c r="H196" t="s">
        <v>13</v>
      </c>
      <c r="I196">
        <v>68164</v>
      </c>
      <c r="J196">
        <v>68164</v>
      </c>
    </row>
    <row r="197" spans="1:10" x14ac:dyDescent="0.45">
      <c r="A197">
        <v>196</v>
      </c>
      <c r="B197" t="s">
        <v>4</v>
      </c>
      <c r="C197" t="s">
        <v>8</v>
      </c>
      <c r="D197" t="s">
        <v>36</v>
      </c>
      <c r="E197">
        <v>35</v>
      </c>
      <c r="F197">
        <v>44</v>
      </c>
      <c r="G197">
        <v>42</v>
      </c>
      <c r="H197" t="s">
        <v>12</v>
      </c>
      <c r="I197">
        <v>58916</v>
      </c>
      <c r="J197">
        <v>58916</v>
      </c>
    </row>
    <row r="198" spans="1:10" x14ac:dyDescent="0.45">
      <c r="A198">
        <v>197</v>
      </c>
      <c r="B198" t="s">
        <v>4</v>
      </c>
      <c r="C198" t="s">
        <v>8</v>
      </c>
      <c r="D198" t="s">
        <v>37</v>
      </c>
      <c r="E198">
        <v>45</v>
      </c>
      <c r="F198">
        <v>54</v>
      </c>
      <c r="G198">
        <v>49</v>
      </c>
      <c r="H198" t="s">
        <v>12</v>
      </c>
      <c r="I198">
        <v>71034</v>
      </c>
      <c r="J198">
        <v>71034</v>
      </c>
    </row>
    <row r="199" spans="1:10" x14ac:dyDescent="0.45">
      <c r="A199">
        <v>198</v>
      </c>
      <c r="B199" t="s">
        <v>6</v>
      </c>
      <c r="C199" t="s">
        <v>8</v>
      </c>
      <c r="D199" t="s">
        <v>36</v>
      </c>
      <c r="E199">
        <v>35</v>
      </c>
      <c r="F199">
        <v>44</v>
      </c>
      <c r="G199">
        <v>38</v>
      </c>
      <c r="H199" t="s">
        <v>12</v>
      </c>
      <c r="I199">
        <v>73502</v>
      </c>
      <c r="J199">
        <v>73502</v>
      </c>
    </row>
    <row r="200" spans="1:10" x14ac:dyDescent="0.45">
      <c r="A200">
        <v>199</v>
      </c>
      <c r="B200" t="s">
        <v>4</v>
      </c>
      <c r="C200" t="s">
        <v>8</v>
      </c>
      <c r="D200" t="s">
        <v>37</v>
      </c>
      <c r="E200">
        <v>45</v>
      </c>
      <c r="F200">
        <v>54</v>
      </c>
      <c r="G200">
        <v>48</v>
      </c>
      <c r="H200" t="s">
        <v>12</v>
      </c>
      <c r="I200">
        <v>111850</v>
      </c>
      <c r="J200">
        <v>111850</v>
      </c>
    </row>
    <row r="201" spans="1:10" x14ac:dyDescent="0.45">
      <c r="A201">
        <v>200</v>
      </c>
      <c r="B201" t="s">
        <v>4</v>
      </c>
      <c r="C201" t="s">
        <v>8</v>
      </c>
      <c r="D201" t="s">
        <v>36</v>
      </c>
      <c r="E201">
        <v>35</v>
      </c>
      <c r="F201">
        <v>44</v>
      </c>
      <c r="G201">
        <v>41</v>
      </c>
      <c r="H201" t="s">
        <v>12</v>
      </c>
      <c r="I201">
        <v>74822</v>
      </c>
      <c r="J201">
        <v>74822</v>
      </c>
    </row>
    <row r="202" spans="1:10" x14ac:dyDescent="0.45">
      <c r="A202">
        <v>201</v>
      </c>
      <c r="B202" t="s">
        <v>4</v>
      </c>
      <c r="C202" t="s">
        <v>8</v>
      </c>
      <c r="D202" t="s">
        <v>37</v>
      </c>
      <c r="E202">
        <v>45</v>
      </c>
      <c r="F202">
        <v>54</v>
      </c>
      <c r="G202">
        <v>45</v>
      </c>
      <c r="H202" t="s">
        <v>12</v>
      </c>
      <c r="I202">
        <v>61368</v>
      </c>
      <c r="J202">
        <v>61368</v>
      </c>
    </row>
    <row r="203" spans="1:10" x14ac:dyDescent="0.45">
      <c r="A203">
        <v>202</v>
      </c>
      <c r="B203" t="s">
        <v>6</v>
      </c>
      <c r="C203" t="s">
        <v>8</v>
      </c>
      <c r="D203" t="s">
        <v>37</v>
      </c>
      <c r="E203">
        <v>45</v>
      </c>
      <c r="F203">
        <v>54</v>
      </c>
      <c r="G203">
        <v>52</v>
      </c>
      <c r="H203" t="s">
        <v>12</v>
      </c>
      <c r="I203">
        <v>70878</v>
      </c>
      <c r="J203">
        <v>70878</v>
      </c>
    </row>
    <row r="204" spans="1:10" x14ac:dyDescent="0.45">
      <c r="A204">
        <v>203</v>
      </c>
      <c r="B204" t="s">
        <v>6</v>
      </c>
      <c r="C204" t="s">
        <v>8</v>
      </c>
      <c r="D204" t="s">
        <v>35</v>
      </c>
      <c r="E204">
        <v>25</v>
      </c>
      <c r="F204">
        <v>34</v>
      </c>
      <c r="G204">
        <v>26</v>
      </c>
      <c r="H204" t="s">
        <v>12</v>
      </c>
      <c r="I204">
        <v>58648</v>
      </c>
      <c r="J204">
        <v>58648</v>
      </c>
    </row>
    <row r="205" spans="1:10" x14ac:dyDescent="0.45">
      <c r="A205">
        <v>204</v>
      </c>
      <c r="B205" t="s">
        <v>4</v>
      </c>
      <c r="C205" t="s">
        <v>9</v>
      </c>
      <c r="D205" t="s">
        <v>35</v>
      </c>
      <c r="E205">
        <v>25</v>
      </c>
      <c r="F205">
        <v>34</v>
      </c>
      <c r="G205">
        <v>27</v>
      </c>
      <c r="H205" t="s">
        <v>12</v>
      </c>
      <c r="I205">
        <v>78488</v>
      </c>
      <c r="J205">
        <v>78488</v>
      </c>
    </row>
    <row r="206" spans="1:10" x14ac:dyDescent="0.45">
      <c r="A206">
        <v>205</v>
      </c>
      <c r="B206" t="s">
        <v>4</v>
      </c>
      <c r="C206" t="s">
        <v>8</v>
      </c>
      <c r="D206" t="s">
        <v>37</v>
      </c>
      <c r="E206">
        <v>45</v>
      </c>
      <c r="F206">
        <v>54</v>
      </c>
      <c r="G206">
        <v>46</v>
      </c>
      <c r="H206" t="s">
        <v>12</v>
      </c>
      <c r="I206">
        <v>95016</v>
      </c>
      <c r="J206">
        <v>95016</v>
      </c>
    </row>
    <row r="207" spans="1:10" x14ac:dyDescent="0.45">
      <c r="A207">
        <v>206</v>
      </c>
      <c r="B207" t="s">
        <v>5</v>
      </c>
      <c r="C207" t="s">
        <v>8</v>
      </c>
      <c r="D207" t="s">
        <v>37</v>
      </c>
      <c r="E207">
        <v>45</v>
      </c>
      <c r="F207">
        <v>54</v>
      </c>
      <c r="G207">
        <v>49</v>
      </c>
      <c r="H207" t="s">
        <v>12</v>
      </c>
      <c r="I207">
        <v>72685</v>
      </c>
      <c r="J207">
        <v>72685</v>
      </c>
    </row>
    <row r="208" spans="1:10" x14ac:dyDescent="0.45">
      <c r="A208">
        <v>207</v>
      </c>
      <c r="B208" t="s">
        <v>4</v>
      </c>
      <c r="C208" t="s">
        <v>9</v>
      </c>
      <c r="D208" t="s">
        <v>35</v>
      </c>
      <c r="E208">
        <v>25</v>
      </c>
      <c r="F208">
        <v>34</v>
      </c>
      <c r="G208">
        <v>28</v>
      </c>
      <c r="H208" t="s">
        <v>13</v>
      </c>
      <c r="I208">
        <v>53073</v>
      </c>
      <c r="J208">
        <v>53073</v>
      </c>
    </row>
    <row r="209" spans="1:10" x14ac:dyDescent="0.45">
      <c r="A209">
        <v>208</v>
      </c>
      <c r="B209" t="s">
        <v>5</v>
      </c>
      <c r="C209" t="s">
        <v>8</v>
      </c>
      <c r="D209" t="s">
        <v>38</v>
      </c>
      <c r="E209">
        <v>55</v>
      </c>
      <c r="F209">
        <v>64</v>
      </c>
      <c r="G209">
        <v>58</v>
      </c>
      <c r="H209" t="s">
        <v>12</v>
      </c>
      <c r="I209">
        <v>70648</v>
      </c>
      <c r="J209">
        <v>70648</v>
      </c>
    </row>
    <row r="210" spans="1:10" x14ac:dyDescent="0.45">
      <c r="A210">
        <v>209</v>
      </c>
      <c r="B210" t="s">
        <v>4</v>
      </c>
      <c r="C210" t="s">
        <v>8</v>
      </c>
      <c r="D210" t="s">
        <v>36</v>
      </c>
      <c r="E210">
        <v>35</v>
      </c>
      <c r="F210">
        <v>44</v>
      </c>
      <c r="G210">
        <v>43</v>
      </c>
      <c r="H210" t="s">
        <v>12</v>
      </c>
      <c r="I210">
        <v>54179</v>
      </c>
      <c r="J210">
        <v>54179</v>
      </c>
    </row>
    <row r="211" spans="1:10" x14ac:dyDescent="0.45">
      <c r="A211">
        <v>210</v>
      </c>
      <c r="B211" t="s">
        <v>4</v>
      </c>
      <c r="C211" t="s">
        <v>8</v>
      </c>
      <c r="D211" t="s">
        <v>36</v>
      </c>
      <c r="E211">
        <v>35</v>
      </c>
      <c r="F211">
        <v>44</v>
      </c>
      <c r="G211">
        <v>39</v>
      </c>
      <c r="H211" t="s">
        <v>12</v>
      </c>
      <c r="I211">
        <v>94805</v>
      </c>
      <c r="J211">
        <v>94805</v>
      </c>
    </row>
    <row r="212" spans="1:10" x14ac:dyDescent="0.45">
      <c r="A212">
        <v>211</v>
      </c>
      <c r="B212" t="s">
        <v>4</v>
      </c>
      <c r="C212" t="s">
        <v>9</v>
      </c>
      <c r="D212" t="s">
        <v>37</v>
      </c>
      <c r="E212">
        <v>45</v>
      </c>
      <c r="F212">
        <v>54</v>
      </c>
      <c r="G212">
        <v>48</v>
      </c>
      <c r="H212" t="s">
        <v>12</v>
      </c>
      <c r="I212">
        <v>73385</v>
      </c>
      <c r="J212">
        <v>73385</v>
      </c>
    </row>
    <row r="213" spans="1:10" x14ac:dyDescent="0.45">
      <c r="A213">
        <v>212</v>
      </c>
      <c r="B213" t="s">
        <v>4</v>
      </c>
      <c r="C213" t="s">
        <v>8</v>
      </c>
      <c r="D213" t="s">
        <v>37</v>
      </c>
      <c r="E213">
        <v>45</v>
      </c>
      <c r="F213">
        <v>54</v>
      </c>
      <c r="G213">
        <v>52</v>
      </c>
      <c r="H213" t="s">
        <v>12</v>
      </c>
      <c r="I213">
        <v>66217</v>
      </c>
      <c r="J213">
        <v>66217</v>
      </c>
    </row>
    <row r="214" spans="1:10" x14ac:dyDescent="0.45">
      <c r="A214">
        <v>213</v>
      </c>
      <c r="B214" t="s">
        <v>6</v>
      </c>
      <c r="C214" t="s">
        <v>8</v>
      </c>
      <c r="D214" t="s">
        <v>36</v>
      </c>
      <c r="E214">
        <v>35</v>
      </c>
      <c r="F214">
        <v>44</v>
      </c>
      <c r="G214">
        <v>38</v>
      </c>
      <c r="H214" t="s">
        <v>12</v>
      </c>
      <c r="I214">
        <v>73544</v>
      </c>
      <c r="J214">
        <v>73544</v>
      </c>
    </row>
    <row r="215" spans="1:10" x14ac:dyDescent="0.45">
      <c r="A215">
        <v>214</v>
      </c>
      <c r="B215" t="s">
        <v>4</v>
      </c>
      <c r="C215" t="s">
        <v>8</v>
      </c>
      <c r="D215" t="s">
        <v>37</v>
      </c>
      <c r="E215">
        <v>45</v>
      </c>
      <c r="F215">
        <v>54</v>
      </c>
      <c r="G215">
        <v>52</v>
      </c>
      <c r="H215" t="s">
        <v>12</v>
      </c>
      <c r="I215">
        <v>92622</v>
      </c>
      <c r="J215">
        <v>92622</v>
      </c>
    </row>
    <row r="216" spans="1:10" x14ac:dyDescent="0.45">
      <c r="A216">
        <v>215</v>
      </c>
      <c r="B216" t="s">
        <v>4</v>
      </c>
      <c r="C216" t="s">
        <v>9</v>
      </c>
      <c r="D216" t="s">
        <v>36</v>
      </c>
      <c r="E216">
        <v>35</v>
      </c>
      <c r="F216">
        <v>44</v>
      </c>
      <c r="G216">
        <v>40</v>
      </c>
      <c r="H216" t="s">
        <v>12</v>
      </c>
      <c r="I216">
        <v>65702</v>
      </c>
      <c r="J216">
        <v>65702</v>
      </c>
    </row>
    <row r="217" spans="1:10" x14ac:dyDescent="0.45">
      <c r="A217">
        <v>216</v>
      </c>
      <c r="B217" t="s">
        <v>4</v>
      </c>
      <c r="C217" t="s">
        <v>8</v>
      </c>
      <c r="D217" t="s">
        <v>37</v>
      </c>
      <c r="E217">
        <v>45</v>
      </c>
      <c r="F217">
        <v>54</v>
      </c>
      <c r="G217">
        <v>48</v>
      </c>
      <c r="H217" t="s">
        <v>12</v>
      </c>
      <c r="I217">
        <v>65730</v>
      </c>
      <c r="J217">
        <v>65730</v>
      </c>
    </row>
    <row r="218" spans="1:10" x14ac:dyDescent="0.45">
      <c r="A218">
        <v>217</v>
      </c>
      <c r="B218" t="s">
        <v>4</v>
      </c>
      <c r="C218" t="s">
        <v>8</v>
      </c>
      <c r="D218" t="s">
        <v>38</v>
      </c>
      <c r="E218">
        <v>55</v>
      </c>
      <c r="F218">
        <v>64</v>
      </c>
      <c r="G218">
        <v>59</v>
      </c>
      <c r="H218" t="s">
        <v>12</v>
      </c>
      <c r="I218">
        <v>88018</v>
      </c>
      <c r="J218">
        <v>88018</v>
      </c>
    </row>
    <row r="219" spans="1:10" x14ac:dyDescent="0.45">
      <c r="A219">
        <v>218</v>
      </c>
      <c r="B219" t="s">
        <v>4</v>
      </c>
      <c r="C219" t="s">
        <v>9</v>
      </c>
      <c r="D219" t="s">
        <v>37</v>
      </c>
      <c r="E219">
        <v>45</v>
      </c>
      <c r="F219">
        <v>54</v>
      </c>
      <c r="G219">
        <v>54</v>
      </c>
      <c r="H219" t="s">
        <v>12</v>
      </c>
      <c r="I219">
        <v>78394</v>
      </c>
      <c r="J219">
        <v>78394</v>
      </c>
    </row>
    <row r="220" spans="1:10" x14ac:dyDescent="0.45">
      <c r="A220">
        <v>219</v>
      </c>
      <c r="B220" t="s">
        <v>5</v>
      </c>
      <c r="C220" t="s">
        <v>8</v>
      </c>
      <c r="D220" t="s">
        <v>38</v>
      </c>
      <c r="E220">
        <v>55</v>
      </c>
      <c r="F220">
        <v>64</v>
      </c>
      <c r="G220">
        <v>57</v>
      </c>
      <c r="H220" t="s">
        <v>12</v>
      </c>
      <c r="I220">
        <v>127238</v>
      </c>
      <c r="J220">
        <v>127238</v>
      </c>
    </row>
    <row r="221" spans="1:10" x14ac:dyDescent="0.45">
      <c r="A221">
        <v>220</v>
      </c>
      <c r="B221" t="s">
        <v>5</v>
      </c>
      <c r="C221" t="s">
        <v>8</v>
      </c>
      <c r="D221" t="s">
        <v>37</v>
      </c>
      <c r="E221">
        <v>45</v>
      </c>
      <c r="F221">
        <v>54</v>
      </c>
      <c r="G221">
        <v>47</v>
      </c>
      <c r="H221" t="s">
        <v>12</v>
      </c>
      <c r="I221">
        <v>105334</v>
      </c>
      <c r="J221">
        <v>105334</v>
      </c>
    </row>
    <row r="222" spans="1:10" x14ac:dyDescent="0.45">
      <c r="A222">
        <v>221</v>
      </c>
      <c r="B222" t="s">
        <v>6</v>
      </c>
      <c r="C222" t="s">
        <v>8</v>
      </c>
      <c r="D222" t="s">
        <v>36</v>
      </c>
      <c r="E222">
        <v>35</v>
      </c>
      <c r="F222">
        <v>44</v>
      </c>
      <c r="G222">
        <v>35</v>
      </c>
      <c r="H222" t="s">
        <v>13</v>
      </c>
      <c r="I222">
        <v>124965</v>
      </c>
      <c r="J222">
        <v>124965</v>
      </c>
    </row>
    <row r="223" spans="1:10" x14ac:dyDescent="0.45">
      <c r="A223">
        <v>222</v>
      </c>
      <c r="B223" t="s">
        <v>4</v>
      </c>
      <c r="C223" t="s">
        <v>9</v>
      </c>
      <c r="D223" t="s">
        <v>36</v>
      </c>
      <c r="E223">
        <v>35</v>
      </c>
      <c r="F223">
        <v>44</v>
      </c>
      <c r="G223">
        <v>37</v>
      </c>
      <c r="H223" t="s">
        <v>12</v>
      </c>
      <c r="I223">
        <v>53557</v>
      </c>
      <c r="J223">
        <v>53557</v>
      </c>
    </row>
    <row r="224" spans="1:10" x14ac:dyDescent="0.45">
      <c r="A224">
        <v>223</v>
      </c>
      <c r="B224" t="s">
        <v>4</v>
      </c>
      <c r="C224" t="s">
        <v>8</v>
      </c>
      <c r="D224" t="s">
        <v>36</v>
      </c>
      <c r="E224">
        <v>35</v>
      </c>
      <c r="F224">
        <v>44</v>
      </c>
      <c r="G224">
        <v>38</v>
      </c>
      <c r="H224" t="s">
        <v>12</v>
      </c>
      <c r="I224">
        <v>76822</v>
      </c>
      <c r="J224">
        <v>76822</v>
      </c>
    </row>
    <row r="225" spans="1:10" x14ac:dyDescent="0.45">
      <c r="A225">
        <v>224</v>
      </c>
      <c r="B225" t="s">
        <v>4</v>
      </c>
      <c r="C225" t="s">
        <v>9</v>
      </c>
      <c r="D225" t="s">
        <v>37</v>
      </c>
      <c r="E225">
        <v>45</v>
      </c>
      <c r="F225">
        <v>54</v>
      </c>
      <c r="G225">
        <v>45</v>
      </c>
      <c r="H225" t="s">
        <v>12</v>
      </c>
      <c r="I225">
        <v>70330</v>
      </c>
      <c r="J225">
        <v>70330</v>
      </c>
    </row>
    <row r="226" spans="1:10" x14ac:dyDescent="0.45">
      <c r="A226">
        <v>225</v>
      </c>
      <c r="B226" t="s">
        <v>6</v>
      </c>
      <c r="C226" t="s">
        <v>8</v>
      </c>
      <c r="D226" t="s">
        <v>36</v>
      </c>
      <c r="E226">
        <v>35</v>
      </c>
      <c r="F226">
        <v>44</v>
      </c>
      <c r="G226">
        <v>39</v>
      </c>
      <c r="H226" t="s">
        <v>13</v>
      </c>
      <c r="I226">
        <v>108560</v>
      </c>
      <c r="J226">
        <v>108560</v>
      </c>
    </row>
    <row r="227" spans="1:10" x14ac:dyDescent="0.45">
      <c r="A227">
        <v>226</v>
      </c>
      <c r="B227" t="s">
        <v>4</v>
      </c>
      <c r="C227" t="s">
        <v>8</v>
      </c>
      <c r="D227" t="s">
        <v>37</v>
      </c>
      <c r="E227">
        <v>45</v>
      </c>
      <c r="F227">
        <v>54</v>
      </c>
      <c r="G227">
        <v>51</v>
      </c>
      <c r="H227" t="s">
        <v>12</v>
      </c>
      <c r="I227">
        <v>56500</v>
      </c>
      <c r="J227">
        <v>56500</v>
      </c>
    </row>
    <row r="228" spans="1:10" x14ac:dyDescent="0.45">
      <c r="A228">
        <v>227</v>
      </c>
      <c r="B228" t="s">
        <v>6</v>
      </c>
      <c r="C228" t="s">
        <v>9</v>
      </c>
      <c r="D228" t="s">
        <v>35</v>
      </c>
      <c r="E228">
        <v>25</v>
      </c>
      <c r="F228">
        <v>34</v>
      </c>
      <c r="G228">
        <v>26</v>
      </c>
      <c r="H228" t="s">
        <v>12</v>
      </c>
      <c r="I228">
        <v>54020</v>
      </c>
      <c r="J228">
        <v>54020</v>
      </c>
    </row>
    <row r="229" spans="1:10" x14ac:dyDescent="0.45">
      <c r="A229">
        <v>228</v>
      </c>
      <c r="B229" t="s">
        <v>5</v>
      </c>
      <c r="C229" t="s">
        <v>8</v>
      </c>
      <c r="D229" t="s">
        <v>37</v>
      </c>
      <c r="E229">
        <v>45</v>
      </c>
      <c r="F229">
        <v>54</v>
      </c>
      <c r="G229">
        <v>54</v>
      </c>
      <c r="H229" t="s">
        <v>12</v>
      </c>
      <c r="I229">
        <v>113401</v>
      </c>
      <c r="J229">
        <v>113401</v>
      </c>
    </row>
    <row r="230" spans="1:10" x14ac:dyDescent="0.45">
      <c r="A230">
        <v>229</v>
      </c>
      <c r="B230" t="s">
        <v>6</v>
      </c>
      <c r="C230" t="s">
        <v>8</v>
      </c>
      <c r="D230" t="s">
        <v>35</v>
      </c>
      <c r="E230">
        <v>25</v>
      </c>
      <c r="F230">
        <v>34</v>
      </c>
      <c r="G230">
        <v>26</v>
      </c>
      <c r="H230" t="s">
        <v>12</v>
      </c>
      <c r="I230">
        <v>104416</v>
      </c>
      <c r="J230">
        <v>104416</v>
      </c>
    </row>
    <row r="231" spans="1:10" x14ac:dyDescent="0.45">
      <c r="A231">
        <v>230</v>
      </c>
      <c r="B231" t="s">
        <v>5</v>
      </c>
      <c r="C231" t="s">
        <v>8</v>
      </c>
      <c r="D231" t="s">
        <v>35</v>
      </c>
      <c r="E231">
        <v>25</v>
      </c>
      <c r="F231">
        <v>34</v>
      </c>
      <c r="G231">
        <v>28</v>
      </c>
      <c r="H231" t="s">
        <v>12</v>
      </c>
      <c r="I231">
        <v>112347</v>
      </c>
      <c r="J231">
        <v>112347</v>
      </c>
    </row>
    <row r="232" spans="1:10" x14ac:dyDescent="0.45">
      <c r="A232">
        <v>231</v>
      </c>
      <c r="B232" t="s">
        <v>4</v>
      </c>
      <c r="C232" t="s">
        <v>8</v>
      </c>
      <c r="D232" t="s">
        <v>35</v>
      </c>
      <c r="E232">
        <v>25</v>
      </c>
      <c r="F232">
        <v>34</v>
      </c>
      <c r="G232">
        <v>27</v>
      </c>
      <c r="H232" t="s">
        <v>12</v>
      </c>
      <c r="I232">
        <v>106377</v>
      </c>
      <c r="J232">
        <v>106377</v>
      </c>
    </row>
    <row r="233" spans="1:10" x14ac:dyDescent="0.45">
      <c r="A233">
        <v>232</v>
      </c>
      <c r="B233" t="s">
        <v>4</v>
      </c>
      <c r="C233" t="s">
        <v>8</v>
      </c>
      <c r="D233" t="s">
        <v>35</v>
      </c>
      <c r="E233">
        <v>25</v>
      </c>
      <c r="F233">
        <v>34</v>
      </c>
      <c r="G233">
        <v>29</v>
      </c>
      <c r="H233" t="s">
        <v>12</v>
      </c>
      <c r="I233">
        <v>99235</v>
      </c>
      <c r="J233">
        <v>99235</v>
      </c>
    </row>
    <row r="234" spans="1:10" x14ac:dyDescent="0.45">
      <c r="A234">
        <v>233</v>
      </c>
      <c r="B234" t="s">
        <v>6</v>
      </c>
      <c r="C234" t="s">
        <v>9</v>
      </c>
      <c r="D234" t="s">
        <v>36</v>
      </c>
      <c r="E234">
        <v>35</v>
      </c>
      <c r="F234">
        <v>44</v>
      </c>
      <c r="G234">
        <v>40</v>
      </c>
      <c r="H234" t="s">
        <v>12</v>
      </c>
      <c r="I234">
        <v>77227</v>
      </c>
      <c r="J234">
        <v>77227</v>
      </c>
    </row>
    <row r="235" spans="1:10" x14ac:dyDescent="0.45">
      <c r="A235">
        <v>234</v>
      </c>
      <c r="B235" t="s">
        <v>4</v>
      </c>
      <c r="C235" t="s">
        <v>8</v>
      </c>
      <c r="D235" t="s">
        <v>36</v>
      </c>
      <c r="E235">
        <v>35</v>
      </c>
      <c r="F235">
        <v>44</v>
      </c>
      <c r="G235">
        <v>44</v>
      </c>
      <c r="H235" t="s">
        <v>12</v>
      </c>
      <c r="I235">
        <v>76895</v>
      </c>
      <c r="J235">
        <v>76895</v>
      </c>
    </row>
    <row r="236" spans="1:10" x14ac:dyDescent="0.45">
      <c r="A236">
        <v>235</v>
      </c>
      <c r="B236" t="s">
        <v>5</v>
      </c>
      <c r="C236" t="s">
        <v>9</v>
      </c>
      <c r="D236" t="s">
        <v>36</v>
      </c>
      <c r="E236">
        <v>35</v>
      </c>
      <c r="F236">
        <v>44</v>
      </c>
      <c r="G236">
        <v>37</v>
      </c>
      <c r="H236" t="s">
        <v>12</v>
      </c>
      <c r="I236">
        <v>75315</v>
      </c>
      <c r="J236">
        <v>75315</v>
      </c>
    </row>
    <row r="237" spans="1:10" x14ac:dyDescent="0.45">
      <c r="A237">
        <v>236</v>
      </c>
      <c r="B237" t="s">
        <v>5</v>
      </c>
      <c r="C237" t="s">
        <v>8</v>
      </c>
      <c r="D237" t="s">
        <v>36</v>
      </c>
      <c r="E237">
        <v>35</v>
      </c>
      <c r="F237">
        <v>44</v>
      </c>
      <c r="G237">
        <v>35</v>
      </c>
      <c r="H237" t="s">
        <v>12</v>
      </c>
      <c r="I237">
        <v>103574</v>
      </c>
      <c r="J237">
        <v>103574</v>
      </c>
    </row>
    <row r="238" spans="1:10" x14ac:dyDescent="0.45">
      <c r="A238">
        <v>237</v>
      </c>
      <c r="B238" t="s">
        <v>4</v>
      </c>
      <c r="C238" t="s">
        <v>8</v>
      </c>
      <c r="D238" t="s">
        <v>36</v>
      </c>
      <c r="E238">
        <v>35</v>
      </c>
      <c r="F238">
        <v>44</v>
      </c>
      <c r="G238">
        <v>44</v>
      </c>
      <c r="H238" t="s">
        <v>13</v>
      </c>
      <c r="I238">
        <v>78272</v>
      </c>
      <c r="J238">
        <v>78272</v>
      </c>
    </row>
    <row r="239" spans="1:10" x14ac:dyDescent="0.45">
      <c r="A239">
        <v>238</v>
      </c>
      <c r="B239" t="s">
        <v>5</v>
      </c>
      <c r="C239" t="s">
        <v>8</v>
      </c>
      <c r="D239" t="s">
        <v>36</v>
      </c>
      <c r="E239">
        <v>35</v>
      </c>
      <c r="F239">
        <v>44</v>
      </c>
      <c r="G239">
        <v>43</v>
      </c>
      <c r="H239" t="s">
        <v>12</v>
      </c>
      <c r="I239">
        <v>99087</v>
      </c>
      <c r="J239">
        <v>99087</v>
      </c>
    </row>
    <row r="240" spans="1:10" x14ac:dyDescent="0.45">
      <c r="A240">
        <v>239</v>
      </c>
      <c r="B240" t="s">
        <v>4</v>
      </c>
      <c r="C240" t="s">
        <v>9</v>
      </c>
      <c r="D240" t="s">
        <v>37</v>
      </c>
      <c r="E240">
        <v>45</v>
      </c>
      <c r="F240">
        <v>54</v>
      </c>
      <c r="G240">
        <v>51</v>
      </c>
      <c r="H240" t="s">
        <v>12</v>
      </c>
      <c r="I240">
        <v>77662</v>
      </c>
      <c r="J240">
        <v>77662</v>
      </c>
    </row>
    <row r="241" spans="1:10" x14ac:dyDescent="0.45">
      <c r="A241">
        <v>240</v>
      </c>
      <c r="B241" t="s">
        <v>6</v>
      </c>
      <c r="C241" t="s">
        <v>8</v>
      </c>
      <c r="D241" t="s">
        <v>35</v>
      </c>
      <c r="E241">
        <v>25</v>
      </c>
      <c r="F241">
        <v>34</v>
      </c>
      <c r="G241">
        <v>29</v>
      </c>
      <c r="H241" t="s">
        <v>13</v>
      </c>
      <c r="I241">
        <v>113302</v>
      </c>
      <c r="J241">
        <v>113302</v>
      </c>
    </row>
    <row r="242" spans="1:10" x14ac:dyDescent="0.45">
      <c r="A242">
        <v>241</v>
      </c>
      <c r="B242" t="s">
        <v>4</v>
      </c>
      <c r="C242" t="s">
        <v>8</v>
      </c>
      <c r="D242" t="s">
        <v>36</v>
      </c>
      <c r="E242">
        <v>35</v>
      </c>
      <c r="F242">
        <v>44</v>
      </c>
      <c r="G242">
        <v>43</v>
      </c>
      <c r="H242" t="s">
        <v>12</v>
      </c>
      <c r="I242">
        <v>91272</v>
      </c>
      <c r="J242">
        <v>91272</v>
      </c>
    </row>
    <row r="243" spans="1:10" x14ac:dyDescent="0.45">
      <c r="A243">
        <v>242</v>
      </c>
      <c r="B243" t="s">
        <v>4</v>
      </c>
      <c r="C243" t="s">
        <v>9</v>
      </c>
      <c r="D243" t="s">
        <v>35</v>
      </c>
      <c r="E243">
        <v>25</v>
      </c>
      <c r="F243">
        <v>34</v>
      </c>
      <c r="G243">
        <v>25</v>
      </c>
      <c r="H243" t="s">
        <v>13</v>
      </c>
      <c r="I243">
        <v>78563</v>
      </c>
      <c r="J243">
        <v>78563</v>
      </c>
    </row>
    <row r="244" spans="1:10" x14ac:dyDescent="0.45">
      <c r="A244">
        <v>243</v>
      </c>
      <c r="B244" t="s">
        <v>4</v>
      </c>
      <c r="C244" t="s">
        <v>9</v>
      </c>
      <c r="D244" t="s">
        <v>37</v>
      </c>
      <c r="E244">
        <v>45</v>
      </c>
      <c r="F244">
        <v>54</v>
      </c>
      <c r="G244">
        <v>47</v>
      </c>
      <c r="H244" t="s">
        <v>12</v>
      </c>
      <c r="I244">
        <v>62513</v>
      </c>
      <c r="J244">
        <v>62513</v>
      </c>
    </row>
    <row r="245" spans="1:10" x14ac:dyDescent="0.45">
      <c r="A245">
        <v>244</v>
      </c>
      <c r="B245" t="s">
        <v>4</v>
      </c>
      <c r="C245" t="s">
        <v>8</v>
      </c>
      <c r="D245" t="s">
        <v>38</v>
      </c>
      <c r="E245">
        <v>55</v>
      </c>
      <c r="F245">
        <v>64</v>
      </c>
      <c r="G245">
        <v>57</v>
      </c>
      <c r="H245" t="s">
        <v>13</v>
      </c>
      <c r="I245">
        <v>74220</v>
      </c>
      <c r="J245">
        <v>74220</v>
      </c>
    </row>
    <row r="246" spans="1:10" x14ac:dyDescent="0.45">
      <c r="A246">
        <v>245</v>
      </c>
      <c r="B246" t="s">
        <v>5</v>
      </c>
      <c r="C246" t="s">
        <v>8</v>
      </c>
      <c r="D246" t="s">
        <v>35</v>
      </c>
      <c r="E246">
        <v>25</v>
      </c>
      <c r="F246">
        <v>34</v>
      </c>
      <c r="G246">
        <v>26</v>
      </c>
      <c r="H246" t="s">
        <v>12</v>
      </c>
      <c r="I246">
        <v>113204</v>
      </c>
      <c r="J246">
        <v>113204</v>
      </c>
    </row>
    <row r="247" spans="1:10" x14ac:dyDescent="0.45">
      <c r="A247">
        <v>246</v>
      </c>
      <c r="B247" t="s">
        <v>6</v>
      </c>
      <c r="C247" t="s">
        <v>8</v>
      </c>
      <c r="D247" t="s">
        <v>35</v>
      </c>
      <c r="E247">
        <v>25</v>
      </c>
      <c r="F247">
        <v>34</v>
      </c>
      <c r="G247">
        <v>31</v>
      </c>
      <c r="H247" t="s">
        <v>12</v>
      </c>
      <c r="I247">
        <v>112403</v>
      </c>
      <c r="J247">
        <v>112403</v>
      </c>
    </row>
    <row r="248" spans="1:10" x14ac:dyDescent="0.45">
      <c r="A248">
        <v>247</v>
      </c>
      <c r="B248" t="s">
        <v>6</v>
      </c>
      <c r="C248" t="s">
        <v>8</v>
      </c>
      <c r="D248" t="s">
        <v>36</v>
      </c>
      <c r="E248">
        <v>35</v>
      </c>
      <c r="F248">
        <v>44</v>
      </c>
      <c r="G248">
        <v>43</v>
      </c>
      <c r="H248" t="s">
        <v>12</v>
      </c>
      <c r="I248">
        <v>96064</v>
      </c>
      <c r="J248">
        <v>96064</v>
      </c>
    </row>
    <row r="249" spans="1:10" x14ac:dyDescent="0.45">
      <c r="A249">
        <v>248</v>
      </c>
      <c r="B249" t="s">
        <v>4</v>
      </c>
      <c r="C249" t="s">
        <v>8</v>
      </c>
      <c r="D249" t="s">
        <v>36</v>
      </c>
      <c r="E249">
        <v>35</v>
      </c>
      <c r="F249">
        <v>44</v>
      </c>
      <c r="G249">
        <v>35</v>
      </c>
      <c r="H249" t="s">
        <v>12</v>
      </c>
      <c r="I249">
        <v>112459</v>
      </c>
      <c r="J249">
        <v>112459</v>
      </c>
    </row>
    <row r="250" spans="1:10" x14ac:dyDescent="0.45">
      <c r="A250">
        <v>249</v>
      </c>
      <c r="B250" t="s">
        <v>6</v>
      </c>
      <c r="C250" t="s">
        <v>9</v>
      </c>
      <c r="D250" t="s">
        <v>37</v>
      </c>
      <c r="E250">
        <v>45</v>
      </c>
      <c r="F250">
        <v>54</v>
      </c>
      <c r="G250">
        <v>51</v>
      </c>
      <c r="H250" t="s">
        <v>12</v>
      </c>
      <c r="I250">
        <v>69761</v>
      </c>
      <c r="J250">
        <v>69761</v>
      </c>
    </row>
    <row r="251" spans="1:10" x14ac:dyDescent="0.45">
      <c r="A251">
        <v>250</v>
      </c>
      <c r="B251" t="s">
        <v>4</v>
      </c>
      <c r="C251" t="s">
        <v>8</v>
      </c>
      <c r="D251" t="s">
        <v>37</v>
      </c>
      <c r="E251">
        <v>45</v>
      </c>
      <c r="F251">
        <v>54</v>
      </c>
      <c r="G251">
        <v>53</v>
      </c>
      <c r="H251" t="s">
        <v>12</v>
      </c>
      <c r="I251">
        <v>83520</v>
      </c>
      <c r="J251">
        <v>83520</v>
      </c>
    </row>
    <row r="252" spans="1:10" x14ac:dyDescent="0.45">
      <c r="A252">
        <v>251</v>
      </c>
      <c r="B252" t="s">
        <v>4</v>
      </c>
      <c r="C252" t="s">
        <v>9</v>
      </c>
      <c r="D252" t="s">
        <v>35</v>
      </c>
      <c r="E252">
        <v>25</v>
      </c>
      <c r="F252">
        <v>34</v>
      </c>
      <c r="G252">
        <v>34</v>
      </c>
      <c r="H252" t="s">
        <v>12</v>
      </c>
      <c r="I252">
        <v>60376</v>
      </c>
      <c r="J252">
        <v>60376</v>
      </c>
    </row>
    <row r="253" spans="1:10" x14ac:dyDescent="0.45">
      <c r="A253">
        <v>252</v>
      </c>
      <c r="B253" t="s">
        <v>4</v>
      </c>
      <c r="C253" t="s">
        <v>8</v>
      </c>
      <c r="D253" t="s">
        <v>35</v>
      </c>
      <c r="E253">
        <v>25</v>
      </c>
      <c r="F253">
        <v>34</v>
      </c>
      <c r="G253">
        <v>25</v>
      </c>
      <c r="H253" t="s">
        <v>12</v>
      </c>
      <c r="I253">
        <v>78174</v>
      </c>
      <c r="J253">
        <v>78174</v>
      </c>
    </row>
    <row r="254" spans="1:10" x14ac:dyDescent="0.45">
      <c r="A254">
        <v>253</v>
      </c>
      <c r="B254" t="s">
        <v>4</v>
      </c>
      <c r="C254" t="s">
        <v>9</v>
      </c>
      <c r="D254" t="s">
        <v>36</v>
      </c>
      <c r="E254">
        <v>35</v>
      </c>
      <c r="F254">
        <v>44</v>
      </c>
      <c r="G254">
        <v>35</v>
      </c>
      <c r="H254" t="s">
        <v>12</v>
      </c>
      <c r="I254">
        <v>71244</v>
      </c>
      <c r="J254">
        <v>71244</v>
      </c>
    </row>
    <row r="255" spans="1:10" x14ac:dyDescent="0.45">
      <c r="A255">
        <v>254</v>
      </c>
      <c r="B255" t="s">
        <v>6</v>
      </c>
      <c r="C255" t="s">
        <v>8</v>
      </c>
      <c r="D255" t="s">
        <v>37</v>
      </c>
      <c r="E255">
        <v>45</v>
      </c>
      <c r="F255">
        <v>54</v>
      </c>
      <c r="G255">
        <v>47</v>
      </c>
      <c r="H255" t="s">
        <v>12</v>
      </c>
      <c r="I255">
        <v>115548</v>
      </c>
      <c r="J255">
        <v>115548</v>
      </c>
    </row>
    <row r="256" spans="1:10" x14ac:dyDescent="0.45">
      <c r="A256">
        <v>255</v>
      </c>
      <c r="B256" t="s">
        <v>4</v>
      </c>
      <c r="C256" t="s">
        <v>8</v>
      </c>
      <c r="D256" t="s">
        <v>35</v>
      </c>
      <c r="E256">
        <v>25</v>
      </c>
      <c r="F256">
        <v>34</v>
      </c>
      <c r="G256">
        <v>26</v>
      </c>
      <c r="H256" t="s">
        <v>12</v>
      </c>
      <c r="I256">
        <v>61292</v>
      </c>
      <c r="J256">
        <v>61292</v>
      </c>
    </row>
    <row r="257" spans="1:10" x14ac:dyDescent="0.45">
      <c r="A257">
        <v>256</v>
      </c>
      <c r="B257" t="s">
        <v>4</v>
      </c>
      <c r="C257" t="s">
        <v>9</v>
      </c>
      <c r="D257" t="s">
        <v>36</v>
      </c>
      <c r="E257">
        <v>35</v>
      </c>
      <c r="F257">
        <v>44</v>
      </c>
      <c r="G257">
        <v>39</v>
      </c>
      <c r="H257" t="s">
        <v>13</v>
      </c>
      <c r="I257">
        <v>75603</v>
      </c>
      <c r="J257">
        <v>75603</v>
      </c>
    </row>
    <row r="258" spans="1:10" x14ac:dyDescent="0.45">
      <c r="A258">
        <v>257</v>
      </c>
      <c r="B258" t="s">
        <v>6</v>
      </c>
      <c r="C258" t="s">
        <v>8</v>
      </c>
      <c r="D258" t="s">
        <v>35</v>
      </c>
      <c r="E258">
        <v>25</v>
      </c>
      <c r="F258">
        <v>34</v>
      </c>
      <c r="G258">
        <v>32</v>
      </c>
      <c r="H258" t="s">
        <v>12</v>
      </c>
      <c r="I258">
        <v>80236</v>
      </c>
      <c r="J258">
        <v>80236</v>
      </c>
    </row>
    <row r="259" spans="1:10" x14ac:dyDescent="0.45">
      <c r="A259">
        <v>258</v>
      </c>
      <c r="B259" t="s">
        <v>4</v>
      </c>
      <c r="C259" t="s">
        <v>9</v>
      </c>
      <c r="D259" t="s">
        <v>37</v>
      </c>
      <c r="E259">
        <v>45</v>
      </c>
      <c r="F259">
        <v>54</v>
      </c>
      <c r="G259">
        <v>51</v>
      </c>
      <c r="H259" t="s">
        <v>12</v>
      </c>
      <c r="I259">
        <v>73334</v>
      </c>
      <c r="J259">
        <v>73334</v>
      </c>
    </row>
    <row r="260" spans="1:10" x14ac:dyDescent="0.45">
      <c r="A260">
        <v>259</v>
      </c>
      <c r="B260" t="s">
        <v>4</v>
      </c>
      <c r="C260" t="s">
        <v>8</v>
      </c>
      <c r="D260" t="s">
        <v>36</v>
      </c>
      <c r="E260">
        <v>35</v>
      </c>
      <c r="F260">
        <v>44</v>
      </c>
      <c r="G260">
        <v>44</v>
      </c>
      <c r="H260" t="s">
        <v>12</v>
      </c>
      <c r="I260">
        <v>60803</v>
      </c>
      <c r="J260">
        <v>60803</v>
      </c>
    </row>
    <row r="261" spans="1:10" x14ac:dyDescent="0.45">
      <c r="A261">
        <v>260</v>
      </c>
      <c r="B261" t="s">
        <v>5</v>
      </c>
      <c r="C261" t="s">
        <v>9</v>
      </c>
      <c r="D261" t="s">
        <v>38</v>
      </c>
      <c r="E261">
        <v>55</v>
      </c>
      <c r="F261">
        <v>64</v>
      </c>
      <c r="G261">
        <v>63</v>
      </c>
      <c r="H261" t="s">
        <v>12</v>
      </c>
      <c r="I261">
        <v>45657</v>
      </c>
      <c r="J261">
        <v>45657</v>
      </c>
    </row>
    <row r="262" spans="1:10" x14ac:dyDescent="0.45">
      <c r="A262">
        <v>261</v>
      </c>
      <c r="B262" t="s">
        <v>6</v>
      </c>
      <c r="C262" t="s">
        <v>8</v>
      </c>
      <c r="D262" t="s">
        <v>35</v>
      </c>
      <c r="E262">
        <v>25</v>
      </c>
      <c r="F262">
        <v>34</v>
      </c>
      <c r="G262">
        <v>29</v>
      </c>
      <c r="H262" t="s">
        <v>12</v>
      </c>
      <c r="I262">
        <v>83697</v>
      </c>
      <c r="J262">
        <v>83697</v>
      </c>
    </row>
    <row r="263" spans="1:10" x14ac:dyDescent="0.45">
      <c r="A263">
        <v>262</v>
      </c>
      <c r="B263" t="s">
        <v>5</v>
      </c>
      <c r="C263" t="s">
        <v>9</v>
      </c>
      <c r="D263" t="s">
        <v>38</v>
      </c>
      <c r="E263">
        <v>55</v>
      </c>
      <c r="F263">
        <v>64</v>
      </c>
      <c r="G263">
        <v>56</v>
      </c>
      <c r="H263" t="s">
        <v>12</v>
      </c>
      <c r="I263">
        <v>56724</v>
      </c>
      <c r="J263">
        <v>56724</v>
      </c>
    </row>
    <row r="264" spans="1:10" x14ac:dyDescent="0.45">
      <c r="A264">
        <v>263</v>
      </c>
      <c r="B264" t="s">
        <v>5</v>
      </c>
      <c r="C264" t="s">
        <v>8</v>
      </c>
      <c r="D264" t="s">
        <v>36</v>
      </c>
      <c r="E264">
        <v>35</v>
      </c>
      <c r="F264">
        <v>44</v>
      </c>
      <c r="G264">
        <v>40</v>
      </c>
      <c r="H264" t="s">
        <v>12</v>
      </c>
      <c r="I264">
        <v>129181</v>
      </c>
      <c r="J264">
        <v>129181</v>
      </c>
    </row>
    <row r="265" spans="1:10" x14ac:dyDescent="0.45">
      <c r="A265">
        <v>264</v>
      </c>
      <c r="B265" t="s">
        <v>4</v>
      </c>
      <c r="C265" t="s">
        <v>9</v>
      </c>
      <c r="D265" t="s">
        <v>38</v>
      </c>
      <c r="E265">
        <v>55</v>
      </c>
      <c r="F265">
        <v>64</v>
      </c>
      <c r="G265">
        <v>58</v>
      </c>
      <c r="H265" t="s">
        <v>13</v>
      </c>
      <c r="I265">
        <v>79227</v>
      </c>
      <c r="J265">
        <v>79227</v>
      </c>
    </row>
    <row r="266" spans="1:10" x14ac:dyDescent="0.45">
      <c r="A266">
        <v>265</v>
      </c>
      <c r="B266" t="s">
        <v>5</v>
      </c>
      <c r="C266" t="s">
        <v>8</v>
      </c>
      <c r="D266" t="s">
        <v>36</v>
      </c>
      <c r="E266">
        <v>35</v>
      </c>
      <c r="F266">
        <v>44</v>
      </c>
      <c r="G266">
        <v>38</v>
      </c>
      <c r="H266" t="s">
        <v>12</v>
      </c>
      <c r="I266">
        <v>97857</v>
      </c>
      <c r="J266">
        <v>97857</v>
      </c>
    </row>
    <row r="267" spans="1:10" x14ac:dyDescent="0.45">
      <c r="A267">
        <v>266</v>
      </c>
      <c r="B267" t="s">
        <v>5</v>
      </c>
      <c r="C267" t="s">
        <v>8</v>
      </c>
      <c r="D267" t="s">
        <v>35</v>
      </c>
      <c r="E267">
        <v>25</v>
      </c>
      <c r="F267">
        <v>34</v>
      </c>
      <c r="G267">
        <v>28</v>
      </c>
      <c r="H267" t="s">
        <v>12</v>
      </c>
      <c r="I267">
        <v>123808</v>
      </c>
      <c r="J267">
        <v>123808</v>
      </c>
    </row>
    <row r="268" spans="1:10" x14ac:dyDescent="0.45">
      <c r="A268">
        <v>267</v>
      </c>
      <c r="B268" t="s">
        <v>5</v>
      </c>
      <c r="C268" t="s">
        <v>8</v>
      </c>
      <c r="D268" t="s">
        <v>36</v>
      </c>
      <c r="E268">
        <v>35</v>
      </c>
      <c r="F268">
        <v>44</v>
      </c>
      <c r="G268">
        <v>44</v>
      </c>
      <c r="H268" t="s">
        <v>12</v>
      </c>
      <c r="I268">
        <v>122989</v>
      </c>
      <c r="J268">
        <v>122989</v>
      </c>
    </row>
    <row r="269" spans="1:10" x14ac:dyDescent="0.45">
      <c r="A269">
        <v>268</v>
      </c>
      <c r="B269" t="s">
        <v>4</v>
      </c>
      <c r="C269" t="s">
        <v>8</v>
      </c>
      <c r="D269" t="s">
        <v>37</v>
      </c>
      <c r="E269">
        <v>45</v>
      </c>
      <c r="F269">
        <v>54</v>
      </c>
      <c r="G269">
        <v>53</v>
      </c>
      <c r="H269" t="s">
        <v>12</v>
      </c>
      <c r="I269">
        <v>86501</v>
      </c>
      <c r="J269">
        <v>86501</v>
      </c>
    </row>
    <row r="270" spans="1:10" x14ac:dyDescent="0.45">
      <c r="A270">
        <v>269</v>
      </c>
      <c r="B270" t="s">
        <v>4</v>
      </c>
      <c r="C270" t="s">
        <v>8</v>
      </c>
      <c r="D270" t="s">
        <v>36</v>
      </c>
      <c r="E270">
        <v>35</v>
      </c>
      <c r="F270">
        <v>44</v>
      </c>
      <c r="G270">
        <v>36</v>
      </c>
      <c r="H270" t="s">
        <v>12</v>
      </c>
      <c r="I270">
        <v>103872</v>
      </c>
      <c r="J270">
        <v>103872</v>
      </c>
    </row>
    <row r="271" spans="1:10" x14ac:dyDescent="0.45">
      <c r="A271">
        <v>270</v>
      </c>
      <c r="B271" t="s">
        <v>4</v>
      </c>
      <c r="C271" t="s">
        <v>8</v>
      </c>
      <c r="D271" t="s">
        <v>38</v>
      </c>
      <c r="E271">
        <v>55</v>
      </c>
      <c r="F271">
        <v>64</v>
      </c>
      <c r="G271">
        <v>64</v>
      </c>
      <c r="H271" t="s">
        <v>12</v>
      </c>
      <c r="I271">
        <v>86861</v>
      </c>
      <c r="J271">
        <v>86861</v>
      </c>
    </row>
    <row r="272" spans="1:10" x14ac:dyDescent="0.45">
      <c r="A272">
        <v>271</v>
      </c>
      <c r="B272" t="s">
        <v>6</v>
      </c>
      <c r="C272" t="s">
        <v>8</v>
      </c>
      <c r="D272" t="s">
        <v>38</v>
      </c>
      <c r="E272">
        <v>55</v>
      </c>
      <c r="F272">
        <v>64</v>
      </c>
      <c r="G272">
        <v>63</v>
      </c>
      <c r="H272" t="s">
        <v>12</v>
      </c>
      <c r="I272">
        <v>115358</v>
      </c>
      <c r="J272">
        <v>115358</v>
      </c>
    </row>
    <row r="273" spans="1:10" x14ac:dyDescent="0.45">
      <c r="A273">
        <v>272</v>
      </c>
      <c r="B273" t="s">
        <v>4</v>
      </c>
      <c r="C273" t="s">
        <v>8</v>
      </c>
      <c r="D273" t="s">
        <v>35</v>
      </c>
      <c r="E273">
        <v>25</v>
      </c>
      <c r="F273">
        <v>34</v>
      </c>
      <c r="G273">
        <v>30</v>
      </c>
      <c r="H273" t="s">
        <v>12</v>
      </c>
      <c r="I273">
        <v>88196</v>
      </c>
      <c r="J273">
        <v>88196</v>
      </c>
    </row>
    <row r="274" spans="1:10" x14ac:dyDescent="0.45">
      <c r="A274">
        <v>273</v>
      </c>
      <c r="B274" t="s">
        <v>6</v>
      </c>
      <c r="C274" t="s">
        <v>9</v>
      </c>
      <c r="D274" t="s">
        <v>35</v>
      </c>
      <c r="E274">
        <v>25</v>
      </c>
      <c r="F274">
        <v>34</v>
      </c>
      <c r="G274">
        <v>26</v>
      </c>
      <c r="H274" t="s">
        <v>12</v>
      </c>
      <c r="I274">
        <v>50739</v>
      </c>
      <c r="J274">
        <v>50739</v>
      </c>
    </row>
    <row r="275" spans="1:10" x14ac:dyDescent="0.45">
      <c r="A275">
        <v>274</v>
      </c>
      <c r="B275" t="s">
        <v>5</v>
      </c>
      <c r="C275" t="s">
        <v>8</v>
      </c>
      <c r="D275" t="s">
        <v>36</v>
      </c>
      <c r="E275">
        <v>35</v>
      </c>
      <c r="F275">
        <v>44</v>
      </c>
      <c r="G275">
        <v>36</v>
      </c>
      <c r="H275" t="s">
        <v>12</v>
      </c>
      <c r="I275">
        <v>121764</v>
      </c>
      <c r="J275">
        <v>121764</v>
      </c>
    </row>
    <row r="276" spans="1:10" x14ac:dyDescent="0.45">
      <c r="A276">
        <v>275</v>
      </c>
      <c r="B276" t="s">
        <v>4</v>
      </c>
      <c r="C276" t="s">
        <v>8</v>
      </c>
      <c r="D276" t="s">
        <v>37</v>
      </c>
      <c r="E276">
        <v>45</v>
      </c>
      <c r="F276">
        <v>54</v>
      </c>
      <c r="G276">
        <v>51</v>
      </c>
      <c r="H276" t="s">
        <v>13</v>
      </c>
      <c r="I276">
        <v>56044</v>
      </c>
      <c r="J276">
        <v>56044</v>
      </c>
    </row>
    <row r="277" spans="1:10" x14ac:dyDescent="0.45">
      <c r="A277">
        <v>276</v>
      </c>
      <c r="B277" t="s">
        <v>6</v>
      </c>
      <c r="C277" t="s">
        <v>9</v>
      </c>
      <c r="D277" t="s">
        <v>38</v>
      </c>
      <c r="E277">
        <v>55</v>
      </c>
      <c r="F277">
        <v>64</v>
      </c>
      <c r="G277">
        <v>55</v>
      </c>
      <c r="H277" t="s">
        <v>12</v>
      </c>
      <c r="I277">
        <v>70938</v>
      </c>
      <c r="J277">
        <v>70938</v>
      </c>
    </row>
    <row r="278" spans="1:10" x14ac:dyDescent="0.45">
      <c r="A278">
        <v>277</v>
      </c>
      <c r="B278" t="s">
        <v>4</v>
      </c>
      <c r="C278" t="s">
        <v>8</v>
      </c>
      <c r="D278" t="s">
        <v>36</v>
      </c>
      <c r="E278">
        <v>35</v>
      </c>
      <c r="F278">
        <v>44</v>
      </c>
      <c r="G278">
        <v>42</v>
      </c>
      <c r="H278" t="s">
        <v>12</v>
      </c>
      <c r="I278">
        <v>112226</v>
      </c>
      <c r="J278">
        <v>112226</v>
      </c>
    </row>
    <row r="279" spans="1:10" x14ac:dyDescent="0.45">
      <c r="A279">
        <v>278</v>
      </c>
      <c r="B279" t="s">
        <v>4</v>
      </c>
      <c r="C279" t="s">
        <v>8</v>
      </c>
      <c r="D279" t="s">
        <v>37</v>
      </c>
      <c r="E279">
        <v>45</v>
      </c>
      <c r="F279">
        <v>54</v>
      </c>
      <c r="G279">
        <v>50</v>
      </c>
      <c r="H279" t="s">
        <v>12</v>
      </c>
      <c r="I279">
        <v>84546</v>
      </c>
      <c r="J279">
        <v>84546</v>
      </c>
    </row>
    <row r="280" spans="1:10" x14ac:dyDescent="0.45">
      <c r="A280">
        <v>279</v>
      </c>
      <c r="B280" t="s">
        <v>5</v>
      </c>
      <c r="C280" t="s">
        <v>8</v>
      </c>
      <c r="D280" t="s">
        <v>36</v>
      </c>
      <c r="E280">
        <v>35</v>
      </c>
      <c r="F280">
        <v>44</v>
      </c>
      <c r="G280">
        <v>43</v>
      </c>
      <c r="H280" t="s">
        <v>12</v>
      </c>
      <c r="I280">
        <v>90323</v>
      </c>
      <c r="J280">
        <v>90323</v>
      </c>
    </row>
    <row r="281" spans="1:10" x14ac:dyDescent="0.45">
      <c r="A281">
        <v>280</v>
      </c>
      <c r="B281" t="s">
        <v>4</v>
      </c>
      <c r="C281" t="s">
        <v>9</v>
      </c>
      <c r="D281" t="s">
        <v>37</v>
      </c>
      <c r="E281">
        <v>45</v>
      </c>
      <c r="F281">
        <v>54</v>
      </c>
      <c r="G281">
        <v>46</v>
      </c>
      <c r="H281" t="s">
        <v>12</v>
      </c>
      <c r="I281">
        <v>77557</v>
      </c>
      <c r="J281">
        <v>77557</v>
      </c>
    </row>
    <row r="282" spans="1:10" x14ac:dyDescent="0.45">
      <c r="A282">
        <v>281</v>
      </c>
      <c r="B282" t="s">
        <v>4</v>
      </c>
      <c r="C282" t="s">
        <v>9</v>
      </c>
      <c r="D282" t="s">
        <v>35</v>
      </c>
      <c r="E282">
        <v>25</v>
      </c>
      <c r="F282">
        <v>34</v>
      </c>
      <c r="G282">
        <v>28</v>
      </c>
      <c r="H282" t="s">
        <v>12</v>
      </c>
      <c r="I282">
        <v>49268</v>
      </c>
      <c r="J282">
        <v>49268</v>
      </c>
    </row>
    <row r="283" spans="1:10" x14ac:dyDescent="0.45">
      <c r="A283">
        <v>282</v>
      </c>
      <c r="B283" t="s">
        <v>4</v>
      </c>
      <c r="C283" t="s">
        <v>9</v>
      </c>
      <c r="D283" t="s">
        <v>36</v>
      </c>
      <c r="E283">
        <v>35</v>
      </c>
      <c r="F283">
        <v>44</v>
      </c>
      <c r="G283">
        <v>38</v>
      </c>
      <c r="H283" t="s">
        <v>12</v>
      </c>
      <c r="I283">
        <v>50556</v>
      </c>
      <c r="J283">
        <v>50556</v>
      </c>
    </row>
    <row r="284" spans="1:10" x14ac:dyDescent="0.45">
      <c r="A284">
        <v>283</v>
      </c>
      <c r="B284" t="s">
        <v>4</v>
      </c>
      <c r="C284" t="s">
        <v>8</v>
      </c>
      <c r="D284" t="s">
        <v>38</v>
      </c>
      <c r="E284">
        <v>55</v>
      </c>
      <c r="F284">
        <v>64</v>
      </c>
      <c r="G284">
        <v>57</v>
      </c>
      <c r="H284" t="s">
        <v>13</v>
      </c>
      <c r="I284">
        <v>114370</v>
      </c>
      <c r="J284">
        <v>114370</v>
      </c>
    </row>
    <row r="285" spans="1:10" x14ac:dyDescent="0.45">
      <c r="A285">
        <v>284</v>
      </c>
      <c r="B285" t="s">
        <v>5</v>
      </c>
      <c r="C285" t="s">
        <v>9</v>
      </c>
      <c r="D285" t="s">
        <v>35</v>
      </c>
      <c r="E285">
        <v>25</v>
      </c>
      <c r="F285">
        <v>34</v>
      </c>
      <c r="G285">
        <v>34</v>
      </c>
      <c r="H285" t="s">
        <v>12</v>
      </c>
      <c r="I285">
        <v>66843</v>
      </c>
      <c r="J285">
        <v>66843</v>
      </c>
    </row>
    <row r="286" spans="1:10" x14ac:dyDescent="0.45">
      <c r="A286">
        <v>285</v>
      </c>
      <c r="B286" t="s">
        <v>4</v>
      </c>
      <c r="C286" t="s">
        <v>8</v>
      </c>
      <c r="D286" t="s">
        <v>35</v>
      </c>
      <c r="E286">
        <v>25</v>
      </c>
      <c r="F286">
        <v>34</v>
      </c>
      <c r="G286">
        <v>31</v>
      </c>
      <c r="H286" t="s">
        <v>12</v>
      </c>
      <c r="I286">
        <v>54749</v>
      </c>
      <c r="J286">
        <v>54749</v>
      </c>
    </row>
    <row r="287" spans="1:10" x14ac:dyDescent="0.45">
      <c r="A287">
        <v>286</v>
      </c>
      <c r="B287" t="s">
        <v>4</v>
      </c>
      <c r="C287" t="s">
        <v>8</v>
      </c>
      <c r="D287" t="s">
        <v>36</v>
      </c>
      <c r="E287">
        <v>35</v>
      </c>
      <c r="F287">
        <v>44</v>
      </c>
      <c r="G287">
        <v>42</v>
      </c>
      <c r="H287" t="s">
        <v>13</v>
      </c>
      <c r="I287">
        <v>66420</v>
      </c>
      <c r="J287">
        <v>66420</v>
      </c>
    </row>
    <row r="288" spans="1:10" x14ac:dyDescent="0.45">
      <c r="A288">
        <v>287</v>
      </c>
      <c r="B288" t="s">
        <v>6</v>
      </c>
      <c r="C288" t="s">
        <v>9</v>
      </c>
      <c r="D288" t="s">
        <v>36</v>
      </c>
      <c r="E288">
        <v>35</v>
      </c>
      <c r="F288">
        <v>44</v>
      </c>
      <c r="G288">
        <v>44</v>
      </c>
      <c r="H288" t="s">
        <v>13</v>
      </c>
      <c r="I288">
        <v>59181</v>
      </c>
      <c r="J288">
        <v>59181</v>
      </c>
    </row>
    <row r="289" spans="1:10" x14ac:dyDescent="0.45">
      <c r="A289">
        <v>288</v>
      </c>
      <c r="B289" t="s">
        <v>6</v>
      </c>
      <c r="C289" t="s">
        <v>9</v>
      </c>
      <c r="D289" t="s">
        <v>35</v>
      </c>
      <c r="E289">
        <v>25</v>
      </c>
      <c r="F289">
        <v>34</v>
      </c>
      <c r="G289">
        <v>34</v>
      </c>
      <c r="H289" t="s">
        <v>12</v>
      </c>
      <c r="I289">
        <v>72168</v>
      </c>
      <c r="J289">
        <v>72168</v>
      </c>
    </row>
    <row r="290" spans="1:10" x14ac:dyDescent="0.45">
      <c r="A290">
        <v>289</v>
      </c>
      <c r="B290" t="s">
        <v>6</v>
      </c>
      <c r="C290" t="s">
        <v>8</v>
      </c>
      <c r="D290" t="s">
        <v>35</v>
      </c>
      <c r="E290">
        <v>25</v>
      </c>
      <c r="F290">
        <v>34</v>
      </c>
      <c r="G290">
        <v>30</v>
      </c>
      <c r="H290" t="s">
        <v>12</v>
      </c>
      <c r="I290">
        <v>119230</v>
      </c>
      <c r="J290">
        <v>119230</v>
      </c>
    </row>
    <row r="291" spans="1:10" x14ac:dyDescent="0.45">
      <c r="A291">
        <v>290</v>
      </c>
      <c r="B291" t="s">
        <v>6</v>
      </c>
      <c r="C291" t="s">
        <v>9</v>
      </c>
      <c r="D291" t="s">
        <v>35</v>
      </c>
      <c r="E291">
        <v>25</v>
      </c>
      <c r="F291">
        <v>34</v>
      </c>
      <c r="G291">
        <v>30</v>
      </c>
      <c r="H291" t="s">
        <v>12</v>
      </c>
      <c r="I291">
        <v>68055</v>
      </c>
      <c r="J291">
        <v>68055</v>
      </c>
    </row>
    <row r="292" spans="1:10" x14ac:dyDescent="0.45">
      <c r="A292">
        <v>291</v>
      </c>
      <c r="B292" t="s">
        <v>6</v>
      </c>
      <c r="C292" t="s">
        <v>9</v>
      </c>
      <c r="D292" t="s">
        <v>35</v>
      </c>
      <c r="E292">
        <v>25</v>
      </c>
      <c r="F292">
        <v>34</v>
      </c>
      <c r="G292">
        <v>27</v>
      </c>
      <c r="H292" t="s">
        <v>12</v>
      </c>
      <c r="I292">
        <v>78196</v>
      </c>
      <c r="J292">
        <v>78196</v>
      </c>
    </row>
    <row r="293" spans="1:10" x14ac:dyDescent="0.45">
      <c r="A293">
        <v>292</v>
      </c>
      <c r="B293" t="s">
        <v>6</v>
      </c>
      <c r="C293" t="s">
        <v>8</v>
      </c>
      <c r="D293" t="s">
        <v>37</v>
      </c>
      <c r="E293">
        <v>45</v>
      </c>
      <c r="F293">
        <v>54</v>
      </c>
      <c r="G293">
        <v>51</v>
      </c>
      <c r="H293" t="s">
        <v>12</v>
      </c>
      <c r="I293">
        <v>112912</v>
      </c>
      <c r="J293">
        <v>112912</v>
      </c>
    </row>
    <row r="294" spans="1:10" x14ac:dyDescent="0.45">
      <c r="A294">
        <v>293</v>
      </c>
      <c r="B294" t="s">
        <v>6</v>
      </c>
      <c r="C294" t="s">
        <v>8</v>
      </c>
      <c r="D294" t="s">
        <v>35</v>
      </c>
      <c r="E294">
        <v>25</v>
      </c>
      <c r="F294">
        <v>34</v>
      </c>
      <c r="G294">
        <v>28</v>
      </c>
      <c r="H294" t="s">
        <v>12</v>
      </c>
      <c r="I294">
        <v>106055</v>
      </c>
      <c r="J294">
        <v>106055</v>
      </c>
    </row>
    <row r="295" spans="1:10" x14ac:dyDescent="0.45">
      <c r="A295">
        <v>294</v>
      </c>
      <c r="B295" t="s">
        <v>4</v>
      </c>
      <c r="C295" t="s">
        <v>9</v>
      </c>
      <c r="D295" t="s">
        <v>36</v>
      </c>
      <c r="E295">
        <v>35</v>
      </c>
      <c r="F295">
        <v>44</v>
      </c>
      <c r="G295">
        <v>36</v>
      </c>
      <c r="H295" t="s">
        <v>12</v>
      </c>
      <c r="I295">
        <v>68562</v>
      </c>
      <c r="J295">
        <v>68562</v>
      </c>
    </row>
    <row r="296" spans="1:10" x14ac:dyDescent="0.45">
      <c r="A296">
        <v>295</v>
      </c>
      <c r="B296" t="s">
        <v>4</v>
      </c>
      <c r="C296" t="s">
        <v>9</v>
      </c>
      <c r="D296" t="s">
        <v>35</v>
      </c>
      <c r="E296">
        <v>25</v>
      </c>
      <c r="F296">
        <v>34</v>
      </c>
      <c r="G296">
        <v>34</v>
      </c>
      <c r="H296" t="s">
        <v>12</v>
      </c>
      <c r="I296">
        <v>73592</v>
      </c>
      <c r="J296">
        <v>73592</v>
      </c>
    </row>
    <row r="297" spans="1:10" x14ac:dyDescent="0.45">
      <c r="A297">
        <v>296</v>
      </c>
      <c r="B297" t="s">
        <v>4</v>
      </c>
      <c r="C297" t="s">
        <v>9</v>
      </c>
      <c r="D297" t="s">
        <v>36</v>
      </c>
      <c r="E297">
        <v>35</v>
      </c>
      <c r="F297">
        <v>44</v>
      </c>
      <c r="G297">
        <v>37</v>
      </c>
      <c r="H297" t="s">
        <v>12</v>
      </c>
      <c r="I297">
        <v>73659</v>
      </c>
      <c r="J297">
        <v>73659</v>
      </c>
    </row>
    <row r="298" spans="1:10" x14ac:dyDescent="0.45">
      <c r="A298">
        <v>297</v>
      </c>
      <c r="B298" t="s">
        <v>4</v>
      </c>
      <c r="C298" t="s">
        <v>8</v>
      </c>
      <c r="D298" t="s">
        <v>38</v>
      </c>
      <c r="E298">
        <v>55</v>
      </c>
      <c r="F298">
        <v>64</v>
      </c>
      <c r="G298">
        <v>61</v>
      </c>
      <c r="H298" t="s">
        <v>12</v>
      </c>
      <c r="I298">
        <v>109313</v>
      </c>
      <c r="J298">
        <v>109313</v>
      </c>
    </row>
    <row r="299" spans="1:10" x14ac:dyDescent="0.45">
      <c r="A299">
        <v>298</v>
      </c>
      <c r="B299" t="s">
        <v>4</v>
      </c>
      <c r="C299" t="s">
        <v>8</v>
      </c>
      <c r="D299" t="s">
        <v>36</v>
      </c>
      <c r="E299">
        <v>35</v>
      </c>
      <c r="F299">
        <v>44</v>
      </c>
      <c r="G299">
        <v>37</v>
      </c>
      <c r="H299" t="s">
        <v>12</v>
      </c>
      <c r="I299">
        <v>124196</v>
      </c>
      <c r="J299">
        <v>124196</v>
      </c>
    </row>
    <row r="300" spans="1:10" x14ac:dyDescent="0.45">
      <c r="A300">
        <v>299</v>
      </c>
      <c r="B300" t="s">
        <v>4</v>
      </c>
      <c r="C300" t="s">
        <v>8</v>
      </c>
      <c r="D300" t="s">
        <v>36</v>
      </c>
      <c r="E300">
        <v>35</v>
      </c>
      <c r="F300">
        <v>44</v>
      </c>
      <c r="G300">
        <v>39</v>
      </c>
      <c r="H300" t="s">
        <v>12</v>
      </c>
      <c r="I300">
        <v>108345</v>
      </c>
      <c r="J300">
        <v>108345</v>
      </c>
    </row>
    <row r="301" spans="1:10" x14ac:dyDescent="0.45">
      <c r="A301">
        <v>300</v>
      </c>
      <c r="B301" t="s">
        <v>6</v>
      </c>
      <c r="C301" t="s">
        <v>9</v>
      </c>
      <c r="D301" t="s">
        <v>36</v>
      </c>
      <c r="E301">
        <v>35</v>
      </c>
      <c r="F301">
        <v>44</v>
      </c>
      <c r="G301">
        <v>39</v>
      </c>
      <c r="H301" t="s">
        <v>12</v>
      </c>
      <c r="I301">
        <v>62194</v>
      </c>
      <c r="J301">
        <v>62194</v>
      </c>
    </row>
    <row r="302" spans="1:10" x14ac:dyDescent="0.45">
      <c r="A302">
        <v>301</v>
      </c>
      <c r="B302" t="s">
        <v>4</v>
      </c>
      <c r="C302" t="s">
        <v>9</v>
      </c>
      <c r="D302" t="s">
        <v>37</v>
      </c>
      <c r="E302">
        <v>45</v>
      </c>
      <c r="F302">
        <v>54</v>
      </c>
      <c r="G302">
        <v>52</v>
      </c>
      <c r="H302" t="s">
        <v>12</v>
      </c>
      <c r="I302">
        <v>68854</v>
      </c>
      <c r="J302">
        <v>68854</v>
      </c>
    </row>
    <row r="303" spans="1:10" x14ac:dyDescent="0.45">
      <c r="A303">
        <v>302</v>
      </c>
      <c r="B303" t="s">
        <v>6</v>
      </c>
      <c r="C303" t="s">
        <v>9</v>
      </c>
      <c r="D303" t="s">
        <v>35</v>
      </c>
      <c r="E303">
        <v>25</v>
      </c>
      <c r="F303">
        <v>34</v>
      </c>
      <c r="G303">
        <v>33</v>
      </c>
      <c r="H303" t="s">
        <v>12</v>
      </c>
      <c r="I303">
        <v>66393</v>
      </c>
      <c r="J303">
        <v>66393</v>
      </c>
    </row>
    <row r="304" spans="1:10" x14ac:dyDescent="0.45">
      <c r="A304">
        <v>303</v>
      </c>
      <c r="B304" t="s">
        <v>5</v>
      </c>
      <c r="C304" t="s">
        <v>9</v>
      </c>
      <c r="D304" t="s">
        <v>37</v>
      </c>
      <c r="E304">
        <v>45</v>
      </c>
      <c r="F304">
        <v>54</v>
      </c>
      <c r="G304">
        <v>46</v>
      </c>
      <c r="H304" t="s">
        <v>12</v>
      </c>
      <c r="I304">
        <v>70304</v>
      </c>
      <c r="J304">
        <v>70304</v>
      </c>
    </row>
    <row r="305" spans="1:10" x14ac:dyDescent="0.45">
      <c r="A305">
        <v>304</v>
      </c>
      <c r="B305" t="s">
        <v>4</v>
      </c>
      <c r="C305" t="s">
        <v>9</v>
      </c>
      <c r="D305" t="s">
        <v>35</v>
      </c>
      <c r="E305">
        <v>25</v>
      </c>
      <c r="F305">
        <v>34</v>
      </c>
      <c r="G305">
        <v>28</v>
      </c>
      <c r="H305" t="s">
        <v>13</v>
      </c>
      <c r="I305">
        <v>56861</v>
      </c>
      <c r="J305">
        <v>56861</v>
      </c>
    </row>
    <row r="306" spans="1:10" x14ac:dyDescent="0.45">
      <c r="A306">
        <v>305</v>
      </c>
      <c r="B306" t="s">
        <v>4</v>
      </c>
      <c r="C306" t="s">
        <v>9</v>
      </c>
      <c r="D306" t="s">
        <v>37</v>
      </c>
      <c r="E306">
        <v>45</v>
      </c>
      <c r="F306">
        <v>54</v>
      </c>
      <c r="G306">
        <v>49</v>
      </c>
      <c r="H306" t="s">
        <v>12</v>
      </c>
      <c r="I306">
        <v>53949</v>
      </c>
      <c r="J306">
        <v>53949</v>
      </c>
    </row>
    <row r="307" spans="1:10" x14ac:dyDescent="0.45">
      <c r="A307">
        <v>306</v>
      </c>
      <c r="B307" t="s">
        <v>6</v>
      </c>
      <c r="C307" t="s">
        <v>8</v>
      </c>
      <c r="D307" t="s">
        <v>36</v>
      </c>
      <c r="E307">
        <v>35</v>
      </c>
      <c r="F307">
        <v>44</v>
      </c>
      <c r="G307">
        <v>35</v>
      </c>
      <c r="H307" t="s">
        <v>13</v>
      </c>
      <c r="I307">
        <v>62039</v>
      </c>
      <c r="J307">
        <v>62039</v>
      </c>
    </row>
    <row r="308" spans="1:10" x14ac:dyDescent="0.45">
      <c r="A308">
        <v>307</v>
      </c>
      <c r="B308" t="s">
        <v>5</v>
      </c>
      <c r="C308" t="s">
        <v>8</v>
      </c>
      <c r="D308" t="s">
        <v>37</v>
      </c>
      <c r="E308">
        <v>45</v>
      </c>
      <c r="F308">
        <v>54</v>
      </c>
      <c r="G308">
        <v>53</v>
      </c>
      <c r="H308" t="s">
        <v>12</v>
      </c>
      <c r="I308">
        <v>57197</v>
      </c>
      <c r="J308">
        <v>57197</v>
      </c>
    </row>
    <row r="309" spans="1:10" x14ac:dyDescent="0.45">
      <c r="A309">
        <v>308</v>
      </c>
      <c r="B309" t="s">
        <v>5</v>
      </c>
      <c r="C309" t="s">
        <v>8</v>
      </c>
      <c r="D309" t="s">
        <v>36</v>
      </c>
      <c r="E309">
        <v>35</v>
      </c>
      <c r="F309">
        <v>44</v>
      </c>
      <c r="G309">
        <v>44</v>
      </c>
      <c r="H309" t="s">
        <v>12</v>
      </c>
      <c r="I309">
        <v>58688</v>
      </c>
      <c r="J309">
        <v>58688</v>
      </c>
    </row>
    <row r="310" spans="1:10" x14ac:dyDescent="0.45">
      <c r="A310">
        <v>309</v>
      </c>
      <c r="B310" t="s">
        <v>6</v>
      </c>
      <c r="C310" t="s">
        <v>9</v>
      </c>
      <c r="D310" t="s">
        <v>35</v>
      </c>
      <c r="E310">
        <v>25</v>
      </c>
      <c r="F310">
        <v>34</v>
      </c>
      <c r="G310">
        <v>31</v>
      </c>
      <c r="H310" t="s">
        <v>12</v>
      </c>
      <c r="I310">
        <v>57841</v>
      </c>
      <c r="J310">
        <v>57841</v>
      </c>
    </row>
    <row r="311" spans="1:10" x14ac:dyDescent="0.45">
      <c r="A311">
        <v>310</v>
      </c>
      <c r="B311" t="s">
        <v>6</v>
      </c>
      <c r="C311" t="s">
        <v>8</v>
      </c>
      <c r="D311" t="s">
        <v>37</v>
      </c>
      <c r="E311">
        <v>45</v>
      </c>
      <c r="F311">
        <v>54</v>
      </c>
      <c r="G311">
        <v>47</v>
      </c>
      <c r="H311" t="s">
        <v>12</v>
      </c>
      <c r="I311">
        <v>122190</v>
      </c>
      <c r="J311">
        <v>122190</v>
      </c>
    </row>
    <row r="312" spans="1:10" x14ac:dyDescent="0.45">
      <c r="A312">
        <v>311</v>
      </c>
      <c r="B312" t="s">
        <v>4</v>
      </c>
      <c r="C312" t="s">
        <v>8</v>
      </c>
      <c r="D312" t="s">
        <v>36</v>
      </c>
      <c r="E312">
        <v>35</v>
      </c>
      <c r="F312">
        <v>44</v>
      </c>
      <c r="G312">
        <v>39</v>
      </c>
      <c r="H312" t="s">
        <v>12</v>
      </c>
      <c r="I312">
        <v>109595</v>
      </c>
      <c r="J312">
        <v>109595</v>
      </c>
    </row>
    <row r="313" spans="1:10" x14ac:dyDescent="0.45">
      <c r="A313">
        <v>312</v>
      </c>
      <c r="B313" t="s">
        <v>4</v>
      </c>
      <c r="C313" t="s">
        <v>9</v>
      </c>
      <c r="D313" t="s">
        <v>35</v>
      </c>
      <c r="E313">
        <v>25</v>
      </c>
      <c r="F313">
        <v>34</v>
      </c>
      <c r="G313">
        <v>30</v>
      </c>
      <c r="H313" t="s">
        <v>12</v>
      </c>
      <c r="I313">
        <v>68879</v>
      </c>
      <c r="J313">
        <v>68879</v>
      </c>
    </row>
    <row r="314" spans="1:10" x14ac:dyDescent="0.45">
      <c r="A314">
        <v>313</v>
      </c>
      <c r="B314" t="s">
        <v>5</v>
      </c>
      <c r="C314" t="s">
        <v>8</v>
      </c>
      <c r="D314" t="s">
        <v>36</v>
      </c>
      <c r="E314">
        <v>35</v>
      </c>
      <c r="F314">
        <v>44</v>
      </c>
      <c r="G314">
        <v>36</v>
      </c>
      <c r="H314" t="s">
        <v>13</v>
      </c>
      <c r="I314">
        <v>95643</v>
      </c>
      <c r="J314">
        <v>95643</v>
      </c>
    </row>
    <row r="315" spans="1:10" x14ac:dyDescent="0.45">
      <c r="A315">
        <v>314</v>
      </c>
      <c r="B315" t="s">
        <v>5</v>
      </c>
      <c r="C315" t="s">
        <v>9</v>
      </c>
      <c r="D315" t="s">
        <v>35</v>
      </c>
      <c r="E315">
        <v>25</v>
      </c>
      <c r="F315">
        <v>34</v>
      </c>
      <c r="G315">
        <v>29</v>
      </c>
      <c r="H315" t="s">
        <v>12</v>
      </c>
      <c r="I315">
        <v>79743</v>
      </c>
      <c r="J315">
        <v>79743</v>
      </c>
    </row>
    <row r="316" spans="1:10" x14ac:dyDescent="0.45">
      <c r="A316">
        <v>315</v>
      </c>
      <c r="B316" t="s">
        <v>4</v>
      </c>
      <c r="C316" t="s">
        <v>8</v>
      </c>
      <c r="D316" t="s">
        <v>35</v>
      </c>
      <c r="E316">
        <v>25</v>
      </c>
      <c r="F316">
        <v>34</v>
      </c>
      <c r="G316">
        <v>34</v>
      </c>
      <c r="H316" t="s">
        <v>12</v>
      </c>
      <c r="I316">
        <v>116358</v>
      </c>
      <c r="J316">
        <v>116358</v>
      </c>
    </row>
    <row r="317" spans="1:10" x14ac:dyDescent="0.45">
      <c r="A317">
        <v>316</v>
      </c>
      <c r="B317" t="s">
        <v>4</v>
      </c>
      <c r="C317" t="s">
        <v>9</v>
      </c>
      <c r="D317" t="s">
        <v>35</v>
      </c>
      <c r="E317">
        <v>25</v>
      </c>
      <c r="F317">
        <v>34</v>
      </c>
      <c r="G317">
        <v>34</v>
      </c>
      <c r="H317" t="s">
        <v>12</v>
      </c>
      <c r="I317">
        <v>79605</v>
      </c>
      <c r="J317">
        <v>79605</v>
      </c>
    </row>
    <row r="318" spans="1:10" x14ac:dyDescent="0.45">
      <c r="A318">
        <v>317</v>
      </c>
      <c r="B318" t="s">
        <v>4</v>
      </c>
      <c r="C318" t="s">
        <v>9</v>
      </c>
      <c r="D318" t="s">
        <v>36</v>
      </c>
      <c r="E318">
        <v>35</v>
      </c>
      <c r="F318">
        <v>44</v>
      </c>
      <c r="G318">
        <v>39</v>
      </c>
      <c r="H318" t="s">
        <v>13</v>
      </c>
      <c r="I318">
        <v>52938</v>
      </c>
      <c r="J318">
        <v>52938</v>
      </c>
    </row>
    <row r="319" spans="1:10" x14ac:dyDescent="0.45">
      <c r="A319">
        <v>318</v>
      </c>
      <c r="B319" t="s">
        <v>6</v>
      </c>
      <c r="C319" t="s">
        <v>8</v>
      </c>
      <c r="D319" t="s">
        <v>35</v>
      </c>
      <c r="E319">
        <v>25</v>
      </c>
      <c r="F319">
        <v>34</v>
      </c>
      <c r="G319">
        <v>31</v>
      </c>
      <c r="H319" t="s">
        <v>12</v>
      </c>
      <c r="I319">
        <v>61538</v>
      </c>
      <c r="J319">
        <v>61538</v>
      </c>
    </row>
    <row r="320" spans="1:10" x14ac:dyDescent="0.45">
      <c r="A320">
        <v>319</v>
      </c>
      <c r="B320" t="s">
        <v>4</v>
      </c>
      <c r="C320" t="s">
        <v>9</v>
      </c>
      <c r="D320" t="s">
        <v>36</v>
      </c>
      <c r="E320">
        <v>35</v>
      </c>
      <c r="F320">
        <v>44</v>
      </c>
      <c r="G320">
        <v>42</v>
      </c>
      <c r="H320" t="s">
        <v>12</v>
      </c>
      <c r="I320">
        <v>61249</v>
      </c>
      <c r="J320">
        <v>61249</v>
      </c>
    </row>
    <row r="321" spans="1:10" x14ac:dyDescent="0.45">
      <c r="A321">
        <v>320</v>
      </c>
      <c r="B321" t="s">
        <v>4</v>
      </c>
      <c r="C321" t="s">
        <v>9</v>
      </c>
      <c r="D321" t="s">
        <v>36</v>
      </c>
      <c r="E321">
        <v>35</v>
      </c>
      <c r="F321">
        <v>44</v>
      </c>
      <c r="G321">
        <v>38</v>
      </c>
      <c r="H321" t="s">
        <v>12</v>
      </c>
      <c r="I321">
        <v>61070</v>
      </c>
      <c r="J321">
        <v>61070</v>
      </c>
    </row>
    <row r="322" spans="1:10" x14ac:dyDescent="0.45">
      <c r="A322">
        <v>321</v>
      </c>
      <c r="B322" t="s">
        <v>6</v>
      </c>
      <c r="C322" t="s">
        <v>9</v>
      </c>
      <c r="D322" t="s">
        <v>38</v>
      </c>
      <c r="E322">
        <v>55</v>
      </c>
      <c r="F322">
        <v>64</v>
      </c>
      <c r="G322">
        <v>63</v>
      </c>
      <c r="H322" t="s">
        <v>12</v>
      </c>
      <c r="I322">
        <v>62728</v>
      </c>
      <c r="J322">
        <v>62728</v>
      </c>
    </row>
    <row r="323" spans="1:10" x14ac:dyDescent="0.45">
      <c r="A323">
        <v>322</v>
      </c>
      <c r="B323" t="s">
        <v>4</v>
      </c>
      <c r="C323" t="s">
        <v>8</v>
      </c>
      <c r="D323" t="s">
        <v>35</v>
      </c>
      <c r="E323">
        <v>25</v>
      </c>
      <c r="F323">
        <v>34</v>
      </c>
      <c r="G323">
        <v>27</v>
      </c>
      <c r="H323" t="s">
        <v>12</v>
      </c>
      <c r="I323">
        <v>123863</v>
      </c>
      <c r="J323">
        <v>123863</v>
      </c>
    </row>
    <row r="324" spans="1:10" x14ac:dyDescent="0.45">
      <c r="A324">
        <v>323</v>
      </c>
      <c r="B324" t="s">
        <v>4</v>
      </c>
      <c r="C324" t="s">
        <v>8</v>
      </c>
      <c r="D324" t="s">
        <v>38</v>
      </c>
      <c r="E324">
        <v>55</v>
      </c>
      <c r="F324">
        <v>64</v>
      </c>
      <c r="G324">
        <v>64</v>
      </c>
      <c r="H324" t="s">
        <v>12</v>
      </c>
      <c r="I324">
        <v>105839</v>
      </c>
      <c r="J324">
        <v>105839</v>
      </c>
    </row>
    <row r="325" spans="1:10" x14ac:dyDescent="0.45">
      <c r="A325">
        <v>324</v>
      </c>
      <c r="B325" t="s">
        <v>4</v>
      </c>
      <c r="C325" t="s">
        <v>9</v>
      </c>
      <c r="D325" t="s">
        <v>35</v>
      </c>
      <c r="E325">
        <v>25</v>
      </c>
      <c r="F325">
        <v>34</v>
      </c>
      <c r="G325">
        <v>27</v>
      </c>
      <c r="H325" t="s">
        <v>12</v>
      </c>
      <c r="I325">
        <v>65323</v>
      </c>
      <c r="J325">
        <v>65323</v>
      </c>
    </row>
    <row r="326" spans="1:10" x14ac:dyDescent="0.45">
      <c r="A326">
        <v>325</v>
      </c>
      <c r="B326" t="s">
        <v>4</v>
      </c>
      <c r="C326" t="s">
        <v>9</v>
      </c>
      <c r="D326" t="s">
        <v>35</v>
      </c>
      <c r="E326">
        <v>25</v>
      </c>
      <c r="F326">
        <v>34</v>
      </c>
      <c r="G326">
        <v>25</v>
      </c>
      <c r="H326" t="s">
        <v>12</v>
      </c>
      <c r="I326">
        <v>48774</v>
      </c>
      <c r="J326">
        <v>48774</v>
      </c>
    </row>
    <row r="327" spans="1:10" x14ac:dyDescent="0.45">
      <c r="A327">
        <v>326</v>
      </c>
      <c r="B327" t="s">
        <v>6</v>
      </c>
      <c r="C327" t="s">
        <v>8</v>
      </c>
      <c r="D327" t="s">
        <v>35</v>
      </c>
      <c r="E327">
        <v>25</v>
      </c>
      <c r="F327">
        <v>34</v>
      </c>
      <c r="G327">
        <v>34</v>
      </c>
      <c r="H327" t="s">
        <v>12</v>
      </c>
      <c r="I327">
        <v>129095</v>
      </c>
      <c r="J327">
        <v>129095</v>
      </c>
    </row>
    <row r="328" spans="1:10" x14ac:dyDescent="0.45">
      <c r="A328">
        <v>327</v>
      </c>
      <c r="B328" t="s">
        <v>4</v>
      </c>
      <c r="C328" t="s">
        <v>9</v>
      </c>
      <c r="D328" t="s">
        <v>36</v>
      </c>
      <c r="E328">
        <v>35</v>
      </c>
      <c r="F328">
        <v>44</v>
      </c>
      <c r="G328">
        <v>39</v>
      </c>
      <c r="H328" t="s">
        <v>12</v>
      </c>
      <c r="I328">
        <v>49401</v>
      </c>
      <c r="J328">
        <v>49401</v>
      </c>
    </row>
    <row r="329" spans="1:10" x14ac:dyDescent="0.45">
      <c r="A329">
        <v>328</v>
      </c>
      <c r="B329" t="s">
        <v>6</v>
      </c>
      <c r="C329" t="s">
        <v>8</v>
      </c>
      <c r="D329" t="s">
        <v>35</v>
      </c>
      <c r="E329">
        <v>25</v>
      </c>
      <c r="F329">
        <v>34</v>
      </c>
      <c r="G329">
        <v>29</v>
      </c>
      <c r="H329" t="s">
        <v>12</v>
      </c>
      <c r="I329">
        <v>111535</v>
      </c>
      <c r="J329">
        <v>111535</v>
      </c>
    </row>
    <row r="330" spans="1:10" x14ac:dyDescent="0.45">
      <c r="A330">
        <v>329</v>
      </c>
      <c r="B330" t="s">
        <v>4</v>
      </c>
      <c r="C330" t="s">
        <v>9</v>
      </c>
      <c r="D330" t="s">
        <v>36</v>
      </c>
      <c r="E330">
        <v>35</v>
      </c>
      <c r="F330">
        <v>44</v>
      </c>
      <c r="G330">
        <v>40</v>
      </c>
      <c r="H330" t="s">
        <v>12</v>
      </c>
      <c r="I330">
        <v>79182</v>
      </c>
      <c r="J330">
        <v>79182</v>
      </c>
    </row>
    <row r="331" spans="1:10" x14ac:dyDescent="0.45">
      <c r="A331">
        <v>330</v>
      </c>
      <c r="B331" t="s">
        <v>4</v>
      </c>
      <c r="C331" t="s">
        <v>8</v>
      </c>
      <c r="D331" t="s">
        <v>36</v>
      </c>
      <c r="E331">
        <v>35</v>
      </c>
      <c r="F331">
        <v>44</v>
      </c>
      <c r="G331">
        <v>39</v>
      </c>
      <c r="H331" t="s">
        <v>12</v>
      </c>
      <c r="I331">
        <v>64948</v>
      </c>
      <c r="J331">
        <v>64948</v>
      </c>
    </row>
    <row r="332" spans="1:10" x14ac:dyDescent="0.45">
      <c r="A332">
        <v>331</v>
      </c>
      <c r="B332" t="s">
        <v>4</v>
      </c>
      <c r="C332" t="s">
        <v>8</v>
      </c>
      <c r="D332" t="s">
        <v>36</v>
      </c>
      <c r="E332">
        <v>35</v>
      </c>
      <c r="F332">
        <v>44</v>
      </c>
      <c r="G332">
        <v>36</v>
      </c>
      <c r="H332" t="s">
        <v>12</v>
      </c>
      <c r="I332">
        <v>113113</v>
      </c>
      <c r="J332">
        <v>113113</v>
      </c>
    </row>
    <row r="333" spans="1:10" x14ac:dyDescent="0.45">
      <c r="A333">
        <v>332</v>
      </c>
      <c r="B333" t="s">
        <v>6</v>
      </c>
      <c r="C333" t="s">
        <v>9</v>
      </c>
      <c r="D333" t="s">
        <v>35</v>
      </c>
      <c r="E333">
        <v>25</v>
      </c>
      <c r="F333">
        <v>34</v>
      </c>
      <c r="G333">
        <v>27</v>
      </c>
      <c r="H333" t="s">
        <v>12</v>
      </c>
      <c r="I333">
        <v>63443</v>
      </c>
      <c r="J333">
        <v>63443</v>
      </c>
    </row>
    <row r="334" spans="1:10" x14ac:dyDescent="0.45">
      <c r="A334">
        <v>333</v>
      </c>
      <c r="B334" t="s">
        <v>4</v>
      </c>
      <c r="C334" t="s">
        <v>9</v>
      </c>
      <c r="D334" t="s">
        <v>35</v>
      </c>
      <c r="E334">
        <v>25</v>
      </c>
      <c r="F334">
        <v>34</v>
      </c>
      <c r="G334">
        <v>34</v>
      </c>
      <c r="H334" t="s">
        <v>12</v>
      </c>
      <c r="I334">
        <v>51893</v>
      </c>
      <c r="J334">
        <v>51893</v>
      </c>
    </row>
    <row r="335" spans="1:10" x14ac:dyDescent="0.45">
      <c r="A335">
        <v>334</v>
      </c>
      <c r="B335" t="s">
        <v>4</v>
      </c>
      <c r="C335" t="s">
        <v>9</v>
      </c>
      <c r="D335" t="s">
        <v>37</v>
      </c>
      <c r="E335">
        <v>45</v>
      </c>
      <c r="F335">
        <v>54</v>
      </c>
      <c r="G335">
        <v>50</v>
      </c>
      <c r="H335" t="s">
        <v>12</v>
      </c>
      <c r="I335">
        <v>69687</v>
      </c>
      <c r="J335">
        <v>69687</v>
      </c>
    </row>
    <row r="336" spans="1:10" x14ac:dyDescent="0.45">
      <c r="A336">
        <v>335</v>
      </c>
      <c r="B336" t="s">
        <v>4</v>
      </c>
      <c r="C336" t="s">
        <v>8</v>
      </c>
      <c r="D336" t="s">
        <v>37</v>
      </c>
      <c r="E336">
        <v>45</v>
      </c>
      <c r="F336">
        <v>54</v>
      </c>
      <c r="G336">
        <v>47</v>
      </c>
      <c r="H336" t="s">
        <v>13</v>
      </c>
      <c r="I336">
        <v>127529</v>
      </c>
      <c r="J336">
        <v>127529</v>
      </c>
    </row>
    <row r="337" spans="1:10" x14ac:dyDescent="0.45">
      <c r="A337">
        <v>336</v>
      </c>
      <c r="B337" t="s">
        <v>4</v>
      </c>
      <c r="C337" t="s">
        <v>8</v>
      </c>
      <c r="D337" t="s">
        <v>35</v>
      </c>
      <c r="E337">
        <v>25</v>
      </c>
      <c r="F337">
        <v>34</v>
      </c>
      <c r="G337">
        <v>25</v>
      </c>
      <c r="H337" t="s">
        <v>12</v>
      </c>
      <c r="I337">
        <v>55527</v>
      </c>
      <c r="J337">
        <v>55527</v>
      </c>
    </row>
    <row r="338" spans="1:10" x14ac:dyDescent="0.45">
      <c r="A338">
        <v>337</v>
      </c>
      <c r="B338" t="s">
        <v>4</v>
      </c>
      <c r="C338" t="s">
        <v>8</v>
      </c>
      <c r="D338" t="s">
        <v>36</v>
      </c>
      <c r="E338">
        <v>35</v>
      </c>
      <c r="F338">
        <v>44</v>
      </c>
      <c r="G338">
        <v>39</v>
      </c>
      <c r="H338" t="s">
        <v>12</v>
      </c>
      <c r="I338">
        <v>106094</v>
      </c>
      <c r="J338">
        <v>106094</v>
      </c>
    </row>
    <row r="339" spans="1:10" x14ac:dyDescent="0.45">
      <c r="A339">
        <v>338</v>
      </c>
      <c r="B339" t="s">
        <v>6</v>
      </c>
      <c r="C339" t="s">
        <v>8</v>
      </c>
      <c r="D339" t="s">
        <v>36</v>
      </c>
      <c r="E339">
        <v>35</v>
      </c>
      <c r="F339">
        <v>44</v>
      </c>
      <c r="G339">
        <v>42</v>
      </c>
      <c r="H339" t="s">
        <v>12</v>
      </c>
      <c r="I339">
        <v>53467</v>
      </c>
      <c r="J339">
        <v>53467</v>
      </c>
    </row>
    <row r="340" spans="1:10" x14ac:dyDescent="0.45">
      <c r="A340">
        <v>339</v>
      </c>
      <c r="B340" t="s">
        <v>5</v>
      </c>
      <c r="C340" t="s">
        <v>8</v>
      </c>
      <c r="D340" t="s">
        <v>36</v>
      </c>
      <c r="E340">
        <v>35</v>
      </c>
      <c r="F340">
        <v>44</v>
      </c>
      <c r="G340">
        <v>35</v>
      </c>
      <c r="H340" t="s">
        <v>12</v>
      </c>
      <c r="I340">
        <v>98565</v>
      </c>
      <c r="J340">
        <v>98565</v>
      </c>
    </row>
    <row r="341" spans="1:10" x14ac:dyDescent="0.45">
      <c r="A341">
        <v>340</v>
      </c>
      <c r="B341" t="s">
        <v>5</v>
      </c>
      <c r="C341" t="s">
        <v>8</v>
      </c>
      <c r="D341" t="s">
        <v>36</v>
      </c>
      <c r="E341">
        <v>35</v>
      </c>
      <c r="F341">
        <v>44</v>
      </c>
      <c r="G341">
        <v>41</v>
      </c>
      <c r="H341" t="s">
        <v>12</v>
      </c>
      <c r="I341">
        <v>67825</v>
      </c>
      <c r="J341">
        <v>67825</v>
      </c>
    </row>
    <row r="342" spans="1:10" x14ac:dyDescent="0.45">
      <c r="A342">
        <v>341</v>
      </c>
      <c r="B342" t="s">
        <v>4</v>
      </c>
      <c r="C342" t="s">
        <v>8</v>
      </c>
      <c r="D342" t="s">
        <v>36</v>
      </c>
      <c r="E342">
        <v>35</v>
      </c>
      <c r="F342">
        <v>44</v>
      </c>
      <c r="G342">
        <v>38</v>
      </c>
      <c r="H342" t="s">
        <v>12</v>
      </c>
      <c r="I342">
        <v>127400</v>
      </c>
      <c r="J342">
        <v>127400</v>
      </c>
    </row>
    <row r="343" spans="1:10" x14ac:dyDescent="0.45">
      <c r="A343">
        <v>342</v>
      </c>
      <c r="B343" t="s">
        <v>4</v>
      </c>
      <c r="C343" t="s">
        <v>9</v>
      </c>
      <c r="D343" t="s">
        <v>37</v>
      </c>
      <c r="E343">
        <v>45</v>
      </c>
      <c r="F343">
        <v>54</v>
      </c>
      <c r="G343">
        <v>49</v>
      </c>
      <c r="H343" t="s">
        <v>12</v>
      </c>
      <c r="I343">
        <v>75225</v>
      </c>
      <c r="J343">
        <v>75225</v>
      </c>
    </row>
    <row r="344" spans="1:10" x14ac:dyDescent="0.45">
      <c r="A344">
        <v>343</v>
      </c>
      <c r="B344" t="s">
        <v>6</v>
      </c>
      <c r="C344" t="s">
        <v>8</v>
      </c>
      <c r="D344" t="s">
        <v>35</v>
      </c>
      <c r="E344">
        <v>25</v>
      </c>
      <c r="F344">
        <v>34</v>
      </c>
      <c r="G344">
        <v>34</v>
      </c>
      <c r="H344" t="s">
        <v>12</v>
      </c>
      <c r="I344">
        <v>126964</v>
      </c>
      <c r="J344">
        <v>126964</v>
      </c>
    </row>
    <row r="345" spans="1:10" x14ac:dyDescent="0.45">
      <c r="A345">
        <v>344</v>
      </c>
      <c r="B345" t="s">
        <v>4</v>
      </c>
      <c r="C345" t="s">
        <v>8</v>
      </c>
      <c r="D345" t="s">
        <v>37</v>
      </c>
      <c r="E345">
        <v>45</v>
      </c>
      <c r="F345">
        <v>54</v>
      </c>
      <c r="G345">
        <v>47</v>
      </c>
      <c r="H345" t="s">
        <v>12</v>
      </c>
      <c r="I345">
        <v>80271</v>
      </c>
      <c r="J345">
        <v>80271</v>
      </c>
    </row>
    <row r="346" spans="1:10" x14ac:dyDescent="0.45">
      <c r="A346">
        <v>345</v>
      </c>
      <c r="B346" t="s">
        <v>6</v>
      </c>
      <c r="C346" t="s">
        <v>9</v>
      </c>
      <c r="D346" t="s">
        <v>38</v>
      </c>
      <c r="E346">
        <v>55</v>
      </c>
      <c r="F346">
        <v>64</v>
      </c>
      <c r="G346">
        <v>63</v>
      </c>
      <c r="H346" t="s">
        <v>12</v>
      </c>
      <c r="I346">
        <v>49181</v>
      </c>
      <c r="J346">
        <v>49181</v>
      </c>
    </row>
    <row r="347" spans="1:10" x14ac:dyDescent="0.45">
      <c r="A347">
        <v>346</v>
      </c>
      <c r="B347" t="s">
        <v>4</v>
      </c>
      <c r="C347" t="s">
        <v>8</v>
      </c>
      <c r="D347" t="s">
        <v>37</v>
      </c>
      <c r="E347">
        <v>45</v>
      </c>
      <c r="F347">
        <v>54</v>
      </c>
      <c r="G347">
        <v>50</v>
      </c>
      <c r="H347" t="s">
        <v>12</v>
      </c>
      <c r="I347">
        <v>92840</v>
      </c>
      <c r="J347">
        <v>92840</v>
      </c>
    </row>
    <row r="348" spans="1:10" x14ac:dyDescent="0.45">
      <c r="A348">
        <v>347</v>
      </c>
      <c r="B348" t="s">
        <v>6</v>
      </c>
      <c r="C348" t="s">
        <v>8</v>
      </c>
      <c r="D348" t="s">
        <v>35</v>
      </c>
      <c r="E348">
        <v>25</v>
      </c>
      <c r="F348">
        <v>34</v>
      </c>
      <c r="G348">
        <v>34</v>
      </c>
      <c r="H348" t="s">
        <v>12</v>
      </c>
      <c r="I348">
        <v>90139</v>
      </c>
      <c r="J348">
        <v>90139</v>
      </c>
    </row>
    <row r="349" spans="1:10" x14ac:dyDescent="0.45">
      <c r="A349">
        <v>348</v>
      </c>
      <c r="B349" t="s">
        <v>4</v>
      </c>
      <c r="C349" t="s">
        <v>8</v>
      </c>
      <c r="D349" t="s">
        <v>36</v>
      </c>
      <c r="E349">
        <v>35</v>
      </c>
      <c r="F349">
        <v>44</v>
      </c>
      <c r="G349">
        <v>37</v>
      </c>
      <c r="H349" t="s">
        <v>12</v>
      </c>
      <c r="I349">
        <v>79955</v>
      </c>
      <c r="J349">
        <v>79955</v>
      </c>
    </row>
    <row r="350" spans="1:10" x14ac:dyDescent="0.45">
      <c r="A350">
        <v>349</v>
      </c>
      <c r="B350" t="s">
        <v>4</v>
      </c>
      <c r="C350" t="s">
        <v>8</v>
      </c>
      <c r="D350" t="s">
        <v>38</v>
      </c>
      <c r="E350">
        <v>55</v>
      </c>
      <c r="F350">
        <v>64</v>
      </c>
      <c r="G350">
        <v>60</v>
      </c>
      <c r="H350" t="s">
        <v>13</v>
      </c>
      <c r="I350">
        <v>111883</v>
      </c>
      <c r="J350">
        <v>111883</v>
      </c>
    </row>
    <row r="351" spans="1:10" x14ac:dyDescent="0.45">
      <c r="A351">
        <v>350</v>
      </c>
      <c r="B351" t="s">
        <v>4</v>
      </c>
      <c r="C351" t="s">
        <v>8</v>
      </c>
      <c r="D351" t="s">
        <v>38</v>
      </c>
      <c r="E351">
        <v>55</v>
      </c>
      <c r="F351">
        <v>64</v>
      </c>
      <c r="G351">
        <v>62</v>
      </c>
      <c r="H351" t="s">
        <v>12</v>
      </c>
      <c r="I351">
        <v>62970</v>
      </c>
      <c r="J351">
        <v>62970</v>
      </c>
    </row>
    <row r="352" spans="1:10" x14ac:dyDescent="0.45">
      <c r="A352">
        <v>351</v>
      </c>
      <c r="B352" t="s">
        <v>4</v>
      </c>
      <c r="C352" t="s">
        <v>8</v>
      </c>
      <c r="D352" t="s">
        <v>37</v>
      </c>
      <c r="E352">
        <v>45</v>
      </c>
      <c r="F352">
        <v>54</v>
      </c>
      <c r="G352">
        <v>51</v>
      </c>
      <c r="H352" t="s">
        <v>12</v>
      </c>
      <c r="I352">
        <v>50204</v>
      </c>
      <c r="J352">
        <v>50204</v>
      </c>
    </row>
    <row r="353" spans="1:10" x14ac:dyDescent="0.45">
      <c r="A353">
        <v>352</v>
      </c>
      <c r="B353" t="s">
        <v>6</v>
      </c>
      <c r="C353" t="s">
        <v>8</v>
      </c>
      <c r="D353" t="s">
        <v>38</v>
      </c>
      <c r="E353">
        <v>55</v>
      </c>
      <c r="F353">
        <v>64</v>
      </c>
      <c r="G353">
        <v>61</v>
      </c>
      <c r="H353" t="s">
        <v>12</v>
      </c>
      <c r="I353">
        <v>50579</v>
      </c>
      <c r="J353">
        <v>50579</v>
      </c>
    </row>
    <row r="354" spans="1:10" x14ac:dyDescent="0.45">
      <c r="A354">
        <v>353</v>
      </c>
      <c r="B354" t="s">
        <v>4</v>
      </c>
      <c r="C354" t="s">
        <v>8</v>
      </c>
      <c r="D354" t="s">
        <v>35</v>
      </c>
      <c r="E354">
        <v>25</v>
      </c>
      <c r="F354">
        <v>34</v>
      </c>
      <c r="G354">
        <v>31</v>
      </c>
      <c r="H354" t="s">
        <v>12</v>
      </c>
      <c r="I354">
        <v>109598</v>
      </c>
      <c r="J354">
        <v>109598</v>
      </c>
    </row>
    <row r="355" spans="1:10" x14ac:dyDescent="0.45">
      <c r="A355">
        <v>354</v>
      </c>
      <c r="B355" t="s">
        <v>4</v>
      </c>
      <c r="C355" t="s">
        <v>9</v>
      </c>
      <c r="D355" t="s">
        <v>36</v>
      </c>
      <c r="E355">
        <v>35</v>
      </c>
      <c r="F355">
        <v>44</v>
      </c>
      <c r="G355">
        <v>41</v>
      </c>
      <c r="H355" t="s">
        <v>12</v>
      </c>
      <c r="I355">
        <v>70287</v>
      </c>
      <c r="J355">
        <v>70287</v>
      </c>
    </row>
    <row r="356" spans="1:10" x14ac:dyDescent="0.45">
      <c r="A356">
        <v>355</v>
      </c>
      <c r="B356" t="s">
        <v>5</v>
      </c>
      <c r="C356" t="s">
        <v>8</v>
      </c>
      <c r="D356" t="s">
        <v>37</v>
      </c>
      <c r="E356">
        <v>45</v>
      </c>
      <c r="F356">
        <v>54</v>
      </c>
      <c r="G356">
        <v>46</v>
      </c>
      <c r="H356" t="s">
        <v>12</v>
      </c>
      <c r="I356">
        <v>117665</v>
      </c>
      <c r="J356">
        <v>117665</v>
      </c>
    </row>
    <row r="357" spans="1:10" x14ac:dyDescent="0.45">
      <c r="A357">
        <v>356</v>
      </c>
      <c r="B357" t="s">
        <v>5</v>
      </c>
      <c r="C357" t="s">
        <v>8</v>
      </c>
      <c r="D357" t="s">
        <v>38</v>
      </c>
      <c r="E357">
        <v>55</v>
      </c>
      <c r="F357">
        <v>64</v>
      </c>
      <c r="G357">
        <v>59</v>
      </c>
      <c r="H357" t="s">
        <v>13</v>
      </c>
      <c r="I357">
        <v>94222</v>
      </c>
      <c r="J357">
        <v>94222</v>
      </c>
    </row>
    <row r="358" spans="1:10" x14ac:dyDescent="0.45">
      <c r="A358">
        <v>357</v>
      </c>
      <c r="B358" t="s">
        <v>4</v>
      </c>
      <c r="C358" t="s">
        <v>8</v>
      </c>
      <c r="D358" t="s">
        <v>37</v>
      </c>
      <c r="E358">
        <v>45</v>
      </c>
      <c r="F358">
        <v>54</v>
      </c>
      <c r="G358">
        <v>50</v>
      </c>
      <c r="H358" t="s">
        <v>12</v>
      </c>
      <c r="I358">
        <v>69291</v>
      </c>
      <c r="J358">
        <v>69291</v>
      </c>
    </row>
    <row r="359" spans="1:10" x14ac:dyDescent="0.45">
      <c r="A359">
        <v>358</v>
      </c>
      <c r="B359" t="s">
        <v>4</v>
      </c>
      <c r="C359" t="s">
        <v>8</v>
      </c>
      <c r="D359" t="s">
        <v>37</v>
      </c>
      <c r="E359">
        <v>45</v>
      </c>
      <c r="F359">
        <v>54</v>
      </c>
      <c r="G359">
        <v>54</v>
      </c>
      <c r="H359" t="s">
        <v>12</v>
      </c>
      <c r="I359">
        <v>61431</v>
      </c>
      <c r="J359">
        <v>61431</v>
      </c>
    </row>
    <row r="360" spans="1:10" x14ac:dyDescent="0.45">
      <c r="A360">
        <v>359</v>
      </c>
      <c r="B360" t="s">
        <v>4</v>
      </c>
      <c r="C360" t="s">
        <v>8</v>
      </c>
      <c r="D360" t="s">
        <v>38</v>
      </c>
      <c r="E360">
        <v>55</v>
      </c>
      <c r="F360">
        <v>64</v>
      </c>
      <c r="G360">
        <v>55</v>
      </c>
      <c r="H360" t="s">
        <v>12</v>
      </c>
      <c r="I360">
        <v>126318</v>
      </c>
      <c r="J360">
        <v>126318</v>
      </c>
    </row>
    <row r="361" spans="1:10" x14ac:dyDescent="0.45">
      <c r="A361">
        <v>360</v>
      </c>
      <c r="B361" t="s">
        <v>6</v>
      </c>
      <c r="C361" t="s">
        <v>8</v>
      </c>
      <c r="D361" t="s">
        <v>36</v>
      </c>
      <c r="E361">
        <v>35</v>
      </c>
      <c r="F361">
        <v>44</v>
      </c>
      <c r="G361">
        <v>37</v>
      </c>
      <c r="H361" t="s">
        <v>12</v>
      </c>
      <c r="I361">
        <v>89745</v>
      </c>
      <c r="J361">
        <v>89745</v>
      </c>
    </row>
    <row r="362" spans="1:10" x14ac:dyDescent="0.45">
      <c r="A362">
        <v>361</v>
      </c>
      <c r="B362" t="s">
        <v>4</v>
      </c>
      <c r="C362" t="s">
        <v>9</v>
      </c>
      <c r="D362" t="s">
        <v>35</v>
      </c>
      <c r="E362">
        <v>25</v>
      </c>
      <c r="F362">
        <v>34</v>
      </c>
      <c r="G362">
        <v>32</v>
      </c>
      <c r="H362" t="s">
        <v>12</v>
      </c>
      <c r="I362">
        <v>73109</v>
      </c>
      <c r="J362">
        <v>73109</v>
      </c>
    </row>
    <row r="363" spans="1:10" x14ac:dyDescent="0.45">
      <c r="A363">
        <v>362</v>
      </c>
      <c r="B363" t="s">
        <v>5</v>
      </c>
      <c r="C363" t="s">
        <v>8</v>
      </c>
      <c r="D363" t="s">
        <v>35</v>
      </c>
      <c r="E363">
        <v>25</v>
      </c>
      <c r="F363">
        <v>34</v>
      </c>
      <c r="G363">
        <v>33</v>
      </c>
      <c r="H363" t="s">
        <v>12</v>
      </c>
      <c r="I363">
        <v>102327</v>
      </c>
      <c r="J363">
        <v>102327</v>
      </c>
    </row>
    <row r="364" spans="1:10" x14ac:dyDescent="0.45">
      <c r="A364">
        <v>363</v>
      </c>
      <c r="B364" t="s">
        <v>4</v>
      </c>
      <c r="C364" t="s">
        <v>9</v>
      </c>
      <c r="D364" t="s">
        <v>35</v>
      </c>
      <c r="E364">
        <v>25</v>
      </c>
      <c r="F364">
        <v>34</v>
      </c>
      <c r="G364">
        <v>34</v>
      </c>
      <c r="H364" t="s">
        <v>12</v>
      </c>
      <c r="I364">
        <v>63273</v>
      </c>
      <c r="J364">
        <v>63273</v>
      </c>
    </row>
    <row r="365" spans="1:10" x14ac:dyDescent="0.45">
      <c r="A365">
        <v>364</v>
      </c>
      <c r="B365" t="s">
        <v>4</v>
      </c>
      <c r="C365" t="s">
        <v>8</v>
      </c>
      <c r="D365" t="s">
        <v>35</v>
      </c>
      <c r="E365">
        <v>25</v>
      </c>
      <c r="F365">
        <v>34</v>
      </c>
      <c r="G365">
        <v>29</v>
      </c>
      <c r="H365" t="s">
        <v>12</v>
      </c>
      <c r="I365">
        <v>119148</v>
      </c>
      <c r="J365">
        <v>119148</v>
      </c>
    </row>
    <row r="366" spans="1:10" x14ac:dyDescent="0.45">
      <c r="A366">
        <v>365</v>
      </c>
      <c r="B366" t="s">
        <v>5</v>
      </c>
      <c r="C366" t="s">
        <v>8</v>
      </c>
      <c r="D366" t="s">
        <v>37</v>
      </c>
      <c r="E366">
        <v>45</v>
      </c>
      <c r="F366">
        <v>54</v>
      </c>
      <c r="G366">
        <v>46</v>
      </c>
      <c r="H366" t="s">
        <v>13</v>
      </c>
      <c r="I366">
        <v>76614</v>
      </c>
      <c r="J366">
        <v>76614</v>
      </c>
    </row>
    <row r="367" spans="1:10" x14ac:dyDescent="0.45">
      <c r="A367">
        <v>366</v>
      </c>
      <c r="B367" t="s">
        <v>4</v>
      </c>
      <c r="C367" t="s">
        <v>8</v>
      </c>
      <c r="D367" t="s">
        <v>35</v>
      </c>
      <c r="E367">
        <v>25</v>
      </c>
      <c r="F367">
        <v>34</v>
      </c>
      <c r="G367">
        <v>28</v>
      </c>
      <c r="H367" t="s">
        <v>12</v>
      </c>
      <c r="I367">
        <v>106376</v>
      </c>
      <c r="J367">
        <v>106376</v>
      </c>
    </row>
    <row r="368" spans="1:10" x14ac:dyDescent="0.45">
      <c r="A368">
        <v>367</v>
      </c>
      <c r="B368" t="s">
        <v>4</v>
      </c>
      <c r="C368" t="s">
        <v>8</v>
      </c>
      <c r="D368" t="s">
        <v>36</v>
      </c>
      <c r="E368">
        <v>35</v>
      </c>
      <c r="F368">
        <v>44</v>
      </c>
      <c r="G368">
        <v>44</v>
      </c>
      <c r="H368" t="s">
        <v>12</v>
      </c>
      <c r="I368">
        <v>126143</v>
      </c>
      <c r="J368">
        <v>126143</v>
      </c>
    </row>
    <row r="369" spans="1:10" x14ac:dyDescent="0.45">
      <c r="A369">
        <v>368</v>
      </c>
      <c r="B369" t="s">
        <v>6</v>
      </c>
      <c r="C369" t="s">
        <v>8</v>
      </c>
      <c r="D369" t="s">
        <v>38</v>
      </c>
      <c r="E369">
        <v>55</v>
      </c>
      <c r="F369">
        <v>64</v>
      </c>
      <c r="G369">
        <v>57</v>
      </c>
      <c r="H369" t="s">
        <v>12</v>
      </c>
      <c r="I369">
        <v>53453</v>
      </c>
      <c r="J369">
        <v>53453</v>
      </c>
    </row>
    <row r="370" spans="1:10" x14ac:dyDescent="0.45">
      <c r="A370">
        <v>369</v>
      </c>
      <c r="B370" t="s">
        <v>4</v>
      </c>
      <c r="C370" t="s">
        <v>9</v>
      </c>
      <c r="D370" t="s">
        <v>37</v>
      </c>
      <c r="E370">
        <v>45</v>
      </c>
      <c r="F370">
        <v>54</v>
      </c>
      <c r="G370">
        <v>50</v>
      </c>
      <c r="H370" t="s">
        <v>12</v>
      </c>
      <c r="I370">
        <v>49831</v>
      </c>
      <c r="J370">
        <v>49831</v>
      </c>
    </row>
    <row r="371" spans="1:10" x14ac:dyDescent="0.45">
      <c r="A371">
        <v>370</v>
      </c>
      <c r="B371" t="s">
        <v>6</v>
      </c>
      <c r="C371" t="s">
        <v>9</v>
      </c>
      <c r="D371" t="s">
        <v>36</v>
      </c>
      <c r="E371">
        <v>35</v>
      </c>
      <c r="F371">
        <v>44</v>
      </c>
      <c r="G371">
        <v>43</v>
      </c>
      <c r="H371" t="s">
        <v>13</v>
      </c>
      <c r="I371">
        <v>52664</v>
      </c>
      <c r="J371">
        <v>52664</v>
      </c>
    </row>
    <row r="372" spans="1:10" x14ac:dyDescent="0.45">
      <c r="A372">
        <v>371</v>
      </c>
      <c r="B372" t="s">
        <v>6</v>
      </c>
      <c r="C372" t="s">
        <v>8</v>
      </c>
      <c r="D372" t="s">
        <v>35</v>
      </c>
      <c r="E372">
        <v>25</v>
      </c>
      <c r="F372">
        <v>34</v>
      </c>
      <c r="G372">
        <v>26</v>
      </c>
      <c r="H372" t="s">
        <v>12</v>
      </c>
      <c r="I372">
        <v>82421</v>
      </c>
      <c r="J372">
        <v>82421</v>
      </c>
    </row>
    <row r="373" spans="1:10" x14ac:dyDescent="0.45">
      <c r="A373">
        <v>372</v>
      </c>
      <c r="B373" t="s">
        <v>6</v>
      </c>
      <c r="C373" t="s">
        <v>9</v>
      </c>
      <c r="D373" t="s">
        <v>36</v>
      </c>
      <c r="E373">
        <v>35</v>
      </c>
      <c r="F373">
        <v>44</v>
      </c>
      <c r="G373">
        <v>41</v>
      </c>
      <c r="H373" t="s">
        <v>12</v>
      </c>
      <c r="I373">
        <v>71418</v>
      </c>
      <c r="J373">
        <v>71418</v>
      </c>
    </row>
    <row r="374" spans="1:10" x14ac:dyDescent="0.45">
      <c r="A374">
        <v>373</v>
      </c>
      <c r="B374" t="s">
        <v>4</v>
      </c>
      <c r="C374" t="s">
        <v>8</v>
      </c>
      <c r="D374" t="s">
        <v>37</v>
      </c>
      <c r="E374">
        <v>45</v>
      </c>
      <c r="F374">
        <v>54</v>
      </c>
      <c r="G374">
        <v>48</v>
      </c>
      <c r="H374" t="s">
        <v>13</v>
      </c>
      <c r="I374">
        <v>91379</v>
      </c>
      <c r="J374">
        <v>91379</v>
      </c>
    </row>
    <row r="375" spans="1:10" x14ac:dyDescent="0.45">
      <c r="A375">
        <v>374</v>
      </c>
      <c r="B375" t="s">
        <v>5</v>
      </c>
      <c r="C375" t="s">
        <v>8</v>
      </c>
      <c r="D375" t="s">
        <v>37</v>
      </c>
      <c r="E375">
        <v>45</v>
      </c>
      <c r="F375">
        <v>54</v>
      </c>
      <c r="G375">
        <v>49</v>
      </c>
      <c r="H375" t="s">
        <v>12</v>
      </c>
      <c r="I375">
        <v>65114</v>
      </c>
      <c r="J375">
        <v>65114</v>
      </c>
    </row>
    <row r="376" spans="1:10" x14ac:dyDescent="0.45">
      <c r="A376">
        <v>375</v>
      </c>
      <c r="B376" t="s">
        <v>4</v>
      </c>
      <c r="C376" t="s">
        <v>8</v>
      </c>
      <c r="D376" t="s">
        <v>38</v>
      </c>
      <c r="E376">
        <v>55</v>
      </c>
      <c r="F376">
        <v>64</v>
      </c>
      <c r="G376">
        <v>63</v>
      </c>
      <c r="H376" t="s">
        <v>12</v>
      </c>
      <c r="I376">
        <v>56502</v>
      </c>
      <c r="J376">
        <v>56502</v>
      </c>
    </row>
    <row r="377" spans="1:10" x14ac:dyDescent="0.45">
      <c r="A377">
        <v>376</v>
      </c>
      <c r="B377" t="s">
        <v>5</v>
      </c>
      <c r="C377" t="s">
        <v>8</v>
      </c>
      <c r="D377" t="s">
        <v>35</v>
      </c>
      <c r="E377">
        <v>25</v>
      </c>
      <c r="F377">
        <v>34</v>
      </c>
      <c r="G377">
        <v>31</v>
      </c>
      <c r="H377" t="s">
        <v>13</v>
      </c>
      <c r="I377">
        <v>78928</v>
      </c>
      <c r="J377">
        <v>78928</v>
      </c>
    </row>
    <row r="378" spans="1:10" x14ac:dyDescent="0.45">
      <c r="A378">
        <v>377</v>
      </c>
      <c r="B378" t="s">
        <v>4</v>
      </c>
      <c r="C378" t="s">
        <v>8</v>
      </c>
      <c r="D378" t="s">
        <v>37</v>
      </c>
      <c r="E378">
        <v>45</v>
      </c>
      <c r="F378">
        <v>54</v>
      </c>
      <c r="G378">
        <v>45</v>
      </c>
      <c r="H378" t="s">
        <v>12</v>
      </c>
      <c r="I378">
        <v>91964</v>
      </c>
      <c r="J378">
        <v>91964</v>
      </c>
    </row>
    <row r="379" spans="1:10" x14ac:dyDescent="0.45">
      <c r="A379">
        <v>378</v>
      </c>
      <c r="B379" t="s">
        <v>5</v>
      </c>
      <c r="C379" t="s">
        <v>9</v>
      </c>
      <c r="D379" t="s">
        <v>37</v>
      </c>
      <c r="E379">
        <v>45</v>
      </c>
      <c r="F379">
        <v>54</v>
      </c>
      <c r="G379">
        <v>53</v>
      </c>
      <c r="H379" t="s">
        <v>13</v>
      </c>
      <c r="I379">
        <v>59805</v>
      </c>
      <c r="J379">
        <v>59805</v>
      </c>
    </row>
    <row r="380" spans="1:10" x14ac:dyDescent="0.45">
      <c r="A380">
        <v>379</v>
      </c>
      <c r="B380" t="s">
        <v>4</v>
      </c>
      <c r="C380" t="s">
        <v>8</v>
      </c>
      <c r="D380" t="s">
        <v>35</v>
      </c>
      <c r="E380">
        <v>25</v>
      </c>
      <c r="F380">
        <v>34</v>
      </c>
      <c r="G380">
        <v>32</v>
      </c>
      <c r="H380" t="s">
        <v>13</v>
      </c>
      <c r="I380">
        <v>63899</v>
      </c>
      <c r="J380">
        <v>63899</v>
      </c>
    </row>
    <row r="381" spans="1:10" x14ac:dyDescent="0.45">
      <c r="A381">
        <v>380</v>
      </c>
      <c r="B381" t="s">
        <v>6</v>
      </c>
      <c r="C381" t="s">
        <v>9</v>
      </c>
      <c r="D381" t="s">
        <v>38</v>
      </c>
      <c r="E381">
        <v>55</v>
      </c>
      <c r="F381">
        <v>64</v>
      </c>
      <c r="G381">
        <v>60</v>
      </c>
      <c r="H381" t="s">
        <v>12</v>
      </c>
      <c r="I381">
        <v>77301</v>
      </c>
      <c r="J381">
        <v>77301</v>
      </c>
    </row>
    <row r="382" spans="1:10" x14ac:dyDescent="0.45">
      <c r="A382">
        <v>381</v>
      </c>
      <c r="B382" t="s">
        <v>4</v>
      </c>
      <c r="C382" t="s">
        <v>8</v>
      </c>
      <c r="D382" t="s">
        <v>38</v>
      </c>
      <c r="E382">
        <v>55</v>
      </c>
      <c r="F382">
        <v>64</v>
      </c>
      <c r="G382">
        <v>61</v>
      </c>
      <c r="H382" t="s">
        <v>12</v>
      </c>
      <c r="I382">
        <v>104530</v>
      </c>
      <c r="J382">
        <v>104530</v>
      </c>
    </row>
    <row r="383" spans="1:10" x14ac:dyDescent="0.45">
      <c r="A383">
        <v>382</v>
      </c>
      <c r="B383" t="s">
        <v>6</v>
      </c>
      <c r="C383" t="s">
        <v>9</v>
      </c>
      <c r="D383" t="s">
        <v>36</v>
      </c>
      <c r="E383">
        <v>35</v>
      </c>
      <c r="F383">
        <v>44</v>
      </c>
      <c r="G383">
        <v>41</v>
      </c>
      <c r="H383" t="s">
        <v>12</v>
      </c>
      <c r="I383">
        <v>78940</v>
      </c>
      <c r="J383">
        <v>78940</v>
      </c>
    </row>
    <row r="384" spans="1:10" x14ac:dyDescent="0.45">
      <c r="A384">
        <v>383</v>
      </c>
      <c r="B384" t="s">
        <v>6</v>
      </c>
      <c r="C384" t="s">
        <v>8</v>
      </c>
      <c r="D384" t="s">
        <v>37</v>
      </c>
      <c r="E384">
        <v>45</v>
      </c>
      <c r="F384">
        <v>54</v>
      </c>
      <c r="G384">
        <v>49</v>
      </c>
      <c r="H384" t="s">
        <v>12</v>
      </c>
      <c r="I384">
        <v>105658</v>
      </c>
      <c r="J384">
        <v>105658</v>
      </c>
    </row>
    <row r="385" spans="1:10" x14ac:dyDescent="0.45">
      <c r="A385">
        <v>384</v>
      </c>
      <c r="B385" t="s">
        <v>6</v>
      </c>
      <c r="C385" t="s">
        <v>8</v>
      </c>
      <c r="D385" t="s">
        <v>37</v>
      </c>
      <c r="E385">
        <v>45</v>
      </c>
      <c r="F385">
        <v>54</v>
      </c>
      <c r="G385">
        <v>54</v>
      </c>
      <c r="H385" t="s">
        <v>12</v>
      </c>
      <c r="I385">
        <v>82176</v>
      </c>
      <c r="J385">
        <v>82176</v>
      </c>
    </row>
    <row r="386" spans="1:10" x14ac:dyDescent="0.45">
      <c r="A386">
        <v>385</v>
      </c>
      <c r="B386" t="s">
        <v>5</v>
      </c>
      <c r="C386" t="s">
        <v>9</v>
      </c>
      <c r="D386" t="s">
        <v>36</v>
      </c>
      <c r="E386">
        <v>35</v>
      </c>
      <c r="F386">
        <v>44</v>
      </c>
      <c r="G386">
        <v>44</v>
      </c>
      <c r="H386" t="s">
        <v>12</v>
      </c>
      <c r="I386">
        <v>61827</v>
      </c>
      <c r="J386">
        <v>61827</v>
      </c>
    </row>
    <row r="387" spans="1:10" x14ac:dyDescent="0.45">
      <c r="A387">
        <v>386</v>
      </c>
      <c r="B387" t="s">
        <v>4</v>
      </c>
      <c r="C387" t="s">
        <v>9</v>
      </c>
      <c r="D387" t="s">
        <v>35</v>
      </c>
      <c r="E387">
        <v>25</v>
      </c>
      <c r="F387">
        <v>34</v>
      </c>
      <c r="G387">
        <v>30</v>
      </c>
      <c r="H387" t="s">
        <v>12</v>
      </c>
      <c r="I387">
        <v>63613</v>
      </c>
      <c r="J387">
        <v>63613</v>
      </c>
    </row>
    <row r="388" spans="1:10" x14ac:dyDescent="0.45">
      <c r="A388">
        <v>387</v>
      </c>
      <c r="B388" t="s">
        <v>4</v>
      </c>
      <c r="C388" t="s">
        <v>8</v>
      </c>
      <c r="D388" t="s">
        <v>37</v>
      </c>
      <c r="E388">
        <v>45</v>
      </c>
      <c r="F388">
        <v>54</v>
      </c>
      <c r="G388">
        <v>51</v>
      </c>
      <c r="H388" t="s">
        <v>12</v>
      </c>
      <c r="I388">
        <v>80641</v>
      </c>
      <c r="J388">
        <v>80641</v>
      </c>
    </row>
    <row r="389" spans="1:10" x14ac:dyDescent="0.45">
      <c r="A389">
        <v>388</v>
      </c>
      <c r="B389" t="s">
        <v>4</v>
      </c>
      <c r="C389" t="s">
        <v>9</v>
      </c>
      <c r="D389" t="s">
        <v>35</v>
      </c>
      <c r="E389">
        <v>25</v>
      </c>
      <c r="F389">
        <v>34</v>
      </c>
      <c r="G389">
        <v>33</v>
      </c>
      <c r="H389" t="s">
        <v>12</v>
      </c>
      <c r="I389">
        <v>54210</v>
      </c>
      <c r="J389">
        <v>54210</v>
      </c>
    </row>
    <row r="390" spans="1:10" x14ac:dyDescent="0.45">
      <c r="A390">
        <v>389</v>
      </c>
      <c r="B390" t="s">
        <v>6</v>
      </c>
      <c r="C390" t="s">
        <v>8</v>
      </c>
      <c r="D390" t="s">
        <v>36</v>
      </c>
      <c r="E390">
        <v>35</v>
      </c>
      <c r="F390">
        <v>44</v>
      </c>
      <c r="G390">
        <v>36</v>
      </c>
      <c r="H390" t="s">
        <v>12</v>
      </c>
      <c r="I390">
        <v>65815</v>
      </c>
      <c r="J390">
        <v>65815</v>
      </c>
    </row>
    <row r="391" spans="1:10" x14ac:dyDescent="0.45">
      <c r="A391">
        <v>390</v>
      </c>
      <c r="B391" t="s">
        <v>6</v>
      </c>
      <c r="C391" t="s">
        <v>9</v>
      </c>
      <c r="D391" t="s">
        <v>36</v>
      </c>
      <c r="E391">
        <v>35</v>
      </c>
      <c r="F391">
        <v>44</v>
      </c>
      <c r="G391">
        <v>38</v>
      </c>
      <c r="H391" t="s">
        <v>12</v>
      </c>
      <c r="I391">
        <v>59283</v>
      </c>
      <c r="J391">
        <v>59283</v>
      </c>
    </row>
    <row r="392" spans="1:10" x14ac:dyDescent="0.45">
      <c r="A392">
        <v>391</v>
      </c>
      <c r="B392" t="s">
        <v>4</v>
      </c>
      <c r="C392" t="s">
        <v>8</v>
      </c>
      <c r="D392" t="s">
        <v>36</v>
      </c>
      <c r="E392">
        <v>35</v>
      </c>
      <c r="F392">
        <v>44</v>
      </c>
      <c r="G392">
        <v>37</v>
      </c>
      <c r="H392" t="s">
        <v>12</v>
      </c>
      <c r="I392">
        <v>113337</v>
      </c>
      <c r="J392">
        <v>113337</v>
      </c>
    </row>
    <row r="393" spans="1:10" x14ac:dyDescent="0.45">
      <c r="A393">
        <v>392</v>
      </c>
      <c r="B393" t="s">
        <v>5</v>
      </c>
      <c r="C393" t="s">
        <v>9</v>
      </c>
      <c r="D393" t="s">
        <v>37</v>
      </c>
      <c r="E393">
        <v>45</v>
      </c>
      <c r="F393">
        <v>54</v>
      </c>
      <c r="G393">
        <v>52</v>
      </c>
      <c r="H393" t="s">
        <v>13</v>
      </c>
      <c r="I393">
        <v>50096</v>
      </c>
      <c r="J393">
        <v>50096</v>
      </c>
    </row>
    <row r="394" spans="1:10" x14ac:dyDescent="0.45">
      <c r="A394">
        <v>393</v>
      </c>
      <c r="B394" t="s">
        <v>6</v>
      </c>
      <c r="C394" t="s">
        <v>8</v>
      </c>
      <c r="D394" t="s">
        <v>35</v>
      </c>
      <c r="E394">
        <v>25</v>
      </c>
      <c r="F394">
        <v>34</v>
      </c>
      <c r="G394">
        <v>28</v>
      </c>
      <c r="H394" t="s">
        <v>12</v>
      </c>
      <c r="I394">
        <v>71330</v>
      </c>
      <c r="J394">
        <v>71330</v>
      </c>
    </row>
    <row r="395" spans="1:10" x14ac:dyDescent="0.45">
      <c r="A395">
        <v>394</v>
      </c>
      <c r="B395" t="s">
        <v>4</v>
      </c>
      <c r="C395" t="s">
        <v>8</v>
      </c>
      <c r="D395" t="s">
        <v>37</v>
      </c>
      <c r="E395">
        <v>45</v>
      </c>
      <c r="F395">
        <v>54</v>
      </c>
      <c r="G395">
        <v>52</v>
      </c>
      <c r="H395" t="s">
        <v>12</v>
      </c>
      <c r="I395">
        <v>56431</v>
      </c>
      <c r="J395">
        <v>56431</v>
      </c>
    </row>
    <row r="396" spans="1:10" x14ac:dyDescent="0.45">
      <c r="A396">
        <v>395</v>
      </c>
      <c r="B396" t="s">
        <v>6</v>
      </c>
      <c r="C396" t="s">
        <v>9</v>
      </c>
      <c r="D396" t="s">
        <v>37</v>
      </c>
      <c r="E396">
        <v>45</v>
      </c>
      <c r="F396">
        <v>54</v>
      </c>
      <c r="G396">
        <v>46</v>
      </c>
      <c r="H396" t="s">
        <v>12</v>
      </c>
      <c r="I396">
        <v>67083</v>
      </c>
      <c r="J396">
        <v>67083</v>
      </c>
    </row>
    <row r="397" spans="1:10" x14ac:dyDescent="0.45">
      <c r="A397">
        <v>396</v>
      </c>
      <c r="B397" t="s">
        <v>4</v>
      </c>
      <c r="C397" t="s">
        <v>8</v>
      </c>
      <c r="D397" t="s">
        <v>35</v>
      </c>
      <c r="E397">
        <v>25</v>
      </c>
      <c r="F397">
        <v>34</v>
      </c>
      <c r="G397">
        <v>34</v>
      </c>
      <c r="H397" t="s">
        <v>12</v>
      </c>
      <c r="I397">
        <v>84368</v>
      </c>
      <c r="J397">
        <v>84368</v>
      </c>
    </row>
    <row r="398" spans="1:10" x14ac:dyDescent="0.45">
      <c r="A398">
        <v>397</v>
      </c>
      <c r="B398" t="s">
        <v>6</v>
      </c>
      <c r="C398" t="s">
        <v>8</v>
      </c>
      <c r="D398" t="s">
        <v>37</v>
      </c>
      <c r="E398">
        <v>45</v>
      </c>
      <c r="F398">
        <v>54</v>
      </c>
      <c r="G398">
        <v>53</v>
      </c>
      <c r="H398" t="s">
        <v>12</v>
      </c>
      <c r="I398">
        <v>86013</v>
      </c>
      <c r="J398">
        <v>86013</v>
      </c>
    </row>
    <row r="399" spans="1:10" x14ac:dyDescent="0.45">
      <c r="A399">
        <v>398</v>
      </c>
      <c r="B399" t="s">
        <v>4</v>
      </c>
      <c r="C399" t="s">
        <v>9</v>
      </c>
      <c r="D399" t="s">
        <v>37</v>
      </c>
      <c r="E399">
        <v>45</v>
      </c>
      <c r="F399">
        <v>54</v>
      </c>
      <c r="G399">
        <v>47</v>
      </c>
      <c r="H399" t="s">
        <v>12</v>
      </c>
      <c r="I399">
        <v>79361</v>
      </c>
      <c r="J399">
        <v>79361</v>
      </c>
    </row>
    <row r="400" spans="1:10" x14ac:dyDescent="0.45">
      <c r="A400">
        <v>399</v>
      </c>
      <c r="B400" t="s">
        <v>4</v>
      </c>
      <c r="C400" t="s">
        <v>8</v>
      </c>
      <c r="D400" t="s">
        <v>37</v>
      </c>
      <c r="E400">
        <v>45</v>
      </c>
      <c r="F400">
        <v>54</v>
      </c>
      <c r="G400">
        <v>53</v>
      </c>
      <c r="H400" t="s">
        <v>12</v>
      </c>
      <c r="I400">
        <v>103634</v>
      </c>
      <c r="J400">
        <v>103634</v>
      </c>
    </row>
    <row r="401" spans="1:10" x14ac:dyDescent="0.45">
      <c r="A401">
        <v>400</v>
      </c>
      <c r="B401" t="s">
        <v>4</v>
      </c>
      <c r="C401" t="s">
        <v>8</v>
      </c>
      <c r="D401" t="s">
        <v>35</v>
      </c>
      <c r="E401">
        <v>25</v>
      </c>
      <c r="F401">
        <v>34</v>
      </c>
      <c r="G401">
        <v>26</v>
      </c>
      <c r="H401" t="s">
        <v>12</v>
      </c>
      <c r="I401">
        <v>121296</v>
      </c>
      <c r="J401">
        <v>121296</v>
      </c>
    </row>
    <row r="402" spans="1:10" x14ac:dyDescent="0.45">
      <c r="A402">
        <v>401</v>
      </c>
      <c r="B402" t="s">
        <v>4</v>
      </c>
      <c r="C402" t="s">
        <v>8</v>
      </c>
      <c r="D402" t="s">
        <v>38</v>
      </c>
      <c r="E402">
        <v>55</v>
      </c>
      <c r="F402">
        <v>64</v>
      </c>
      <c r="G402">
        <v>58</v>
      </c>
      <c r="H402" t="s">
        <v>12</v>
      </c>
      <c r="I402">
        <v>108907</v>
      </c>
      <c r="J402">
        <v>108907</v>
      </c>
    </row>
    <row r="403" spans="1:10" x14ac:dyDescent="0.45">
      <c r="A403">
        <v>402</v>
      </c>
      <c r="B403" t="s">
        <v>5</v>
      </c>
      <c r="C403" t="s">
        <v>9</v>
      </c>
      <c r="D403" t="s">
        <v>36</v>
      </c>
      <c r="E403">
        <v>35</v>
      </c>
      <c r="F403">
        <v>44</v>
      </c>
      <c r="G403">
        <v>41</v>
      </c>
      <c r="H403" t="s">
        <v>12</v>
      </c>
      <c r="I403">
        <v>76809</v>
      </c>
      <c r="J403">
        <v>76809</v>
      </c>
    </row>
    <row r="404" spans="1:10" x14ac:dyDescent="0.45">
      <c r="A404">
        <v>403</v>
      </c>
      <c r="B404" t="s">
        <v>6</v>
      </c>
      <c r="C404" t="s">
        <v>8</v>
      </c>
      <c r="D404" t="s">
        <v>37</v>
      </c>
      <c r="E404">
        <v>45</v>
      </c>
      <c r="F404">
        <v>54</v>
      </c>
      <c r="G404">
        <v>52</v>
      </c>
      <c r="H404" t="s">
        <v>13</v>
      </c>
      <c r="I404">
        <v>106172</v>
      </c>
      <c r="J404">
        <v>106172</v>
      </c>
    </row>
    <row r="405" spans="1:10" x14ac:dyDescent="0.45">
      <c r="A405">
        <v>404</v>
      </c>
      <c r="B405" t="s">
        <v>4</v>
      </c>
      <c r="C405" t="s">
        <v>9</v>
      </c>
      <c r="D405" t="s">
        <v>36</v>
      </c>
      <c r="E405">
        <v>35</v>
      </c>
      <c r="F405">
        <v>44</v>
      </c>
      <c r="G405">
        <v>42</v>
      </c>
      <c r="H405" t="s">
        <v>12</v>
      </c>
      <c r="I405">
        <v>46120</v>
      </c>
      <c r="J405">
        <v>46120</v>
      </c>
    </row>
    <row r="406" spans="1:10" x14ac:dyDescent="0.45">
      <c r="A406">
        <v>405</v>
      </c>
      <c r="B406" t="s">
        <v>5</v>
      </c>
      <c r="C406" t="s">
        <v>9</v>
      </c>
      <c r="D406" t="s">
        <v>36</v>
      </c>
      <c r="E406">
        <v>35</v>
      </c>
      <c r="F406">
        <v>44</v>
      </c>
      <c r="G406">
        <v>35</v>
      </c>
      <c r="H406" t="s">
        <v>12</v>
      </c>
      <c r="I406">
        <v>71531</v>
      </c>
      <c r="J406">
        <v>71531</v>
      </c>
    </row>
    <row r="407" spans="1:10" x14ac:dyDescent="0.45">
      <c r="A407">
        <v>406</v>
      </c>
      <c r="B407" t="s">
        <v>4</v>
      </c>
      <c r="C407" t="s">
        <v>8</v>
      </c>
      <c r="D407" t="s">
        <v>36</v>
      </c>
      <c r="E407">
        <v>35</v>
      </c>
      <c r="F407">
        <v>44</v>
      </c>
      <c r="G407">
        <v>44</v>
      </c>
      <c r="H407" t="s">
        <v>12</v>
      </c>
      <c r="I407">
        <v>80156</v>
      </c>
      <c r="J407">
        <v>80156</v>
      </c>
    </row>
    <row r="408" spans="1:10" x14ac:dyDescent="0.45">
      <c r="A408">
        <v>407</v>
      </c>
      <c r="B408" t="s">
        <v>5</v>
      </c>
      <c r="C408" t="s">
        <v>8</v>
      </c>
      <c r="D408" t="s">
        <v>35</v>
      </c>
      <c r="E408">
        <v>25</v>
      </c>
      <c r="F408">
        <v>34</v>
      </c>
      <c r="G408">
        <v>32</v>
      </c>
      <c r="H408" t="s">
        <v>12</v>
      </c>
      <c r="I408">
        <v>54151</v>
      </c>
      <c r="J408">
        <v>54151</v>
      </c>
    </row>
    <row r="409" spans="1:10" x14ac:dyDescent="0.45">
      <c r="A409">
        <v>408</v>
      </c>
      <c r="B409" t="s">
        <v>5</v>
      </c>
      <c r="C409" t="s">
        <v>9</v>
      </c>
      <c r="D409" t="s">
        <v>35</v>
      </c>
      <c r="E409">
        <v>25</v>
      </c>
      <c r="F409">
        <v>34</v>
      </c>
      <c r="G409">
        <v>33</v>
      </c>
      <c r="H409" t="s">
        <v>12</v>
      </c>
      <c r="I409">
        <v>61409</v>
      </c>
      <c r="J409">
        <v>61409</v>
      </c>
    </row>
    <row r="410" spans="1:10" x14ac:dyDescent="0.45">
      <c r="A410">
        <v>409</v>
      </c>
      <c r="B410" t="s">
        <v>4</v>
      </c>
      <c r="C410" t="s">
        <v>8</v>
      </c>
      <c r="D410" t="s">
        <v>37</v>
      </c>
      <c r="E410">
        <v>45</v>
      </c>
      <c r="F410">
        <v>54</v>
      </c>
      <c r="G410">
        <v>48</v>
      </c>
      <c r="H410" t="s">
        <v>12</v>
      </c>
      <c r="I410">
        <v>98633</v>
      </c>
      <c r="J410">
        <v>98633</v>
      </c>
    </row>
    <row r="411" spans="1:10" x14ac:dyDescent="0.45">
      <c r="A411">
        <v>410</v>
      </c>
      <c r="B411" t="s">
        <v>4</v>
      </c>
      <c r="C411" t="s">
        <v>8</v>
      </c>
      <c r="D411" t="s">
        <v>37</v>
      </c>
      <c r="E411">
        <v>45</v>
      </c>
      <c r="F411">
        <v>54</v>
      </c>
      <c r="G411">
        <v>49</v>
      </c>
      <c r="H411" t="s">
        <v>12</v>
      </c>
      <c r="I411">
        <v>107654</v>
      </c>
      <c r="J411">
        <v>107654</v>
      </c>
    </row>
    <row r="412" spans="1:10" x14ac:dyDescent="0.45">
      <c r="A412">
        <v>411</v>
      </c>
      <c r="B412" t="s">
        <v>4</v>
      </c>
      <c r="C412" t="s">
        <v>8</v>
      </c>
      <c r="D412" t="s">
        <v>38</v>
      </c>
      <c r="E412">
        <v>55</v>
      </c>
      <c r="F412">
        <v>64</v>
      </c>
      <c r="G412">
        <v>59</v>
      </c>
      <c r="H412" t="s">
        <v>12</v>
      </c>
      <c r="I412">
        <v>55108</v>
      </c>
      <c r="J412">
        <v>55108</v>
      </c>
    </row>
    <row r="413" spans="1:10" x14ac:dyDescent="0.45">
      <c r="A413">
        <v>412</v>
      </c>
      <c r="B413" t="s">
        <v>4</v>
      </c>
      <c r="C413" t="s">
        <v>8</v>
      </c>
      <c r="D413" t="s">
        <v>35</v>
      </c>
      <c r="E413">
        <v>25</v>
      </c>
      <c r="F413">
        <v>34</v>
      </c>
      <c r="G413">
        <v>29</v>
      </c>
      <c r="H413" t="s">
        <v>12</v>
      </c>
      <c r="I413">
        <v>112591</v>
      </c>
      <c r="J413">
        <v>112591</v>
      </c>
    </row>
    <row r="414" spans="1:10" x14ac:dyDescent="0.45">
      <c r="A414">
        <v>413</v>
      </c>
      <c r="B414" t="s">
        <v>4</v>
      </c>
      <c r="C414" t="s">
        <v>8</v>
      </c>
      <c r="D414" t="s">
        <v>36</v>
      </c>
      <c r="E414">
        <v>35</v>
      </c>
      <c r="F414">
        <v>44</v>
      </c>
      <c r="G414">
        <v>37</v>
      </c>
      <c r="H414" t="s">
        <v>12</v>
      </c>
      <c r="I414">
        <v>78167</v>
      </c>
      <c r="J414">
        <v>78167</v>
      </c>
    </row>
    <row r="415" spans="1:10" x14ac:dyDescent="0.45">
      <c r="A415">
        <v>414</v>
      </c>
      <c r="B415" t="s">
        <v>4</v>
      </c>
      <c r="C415" t="s">
        <v>8</v>
      </c>
      <c r="D415" t="s">
        <v>35</v>
      </c>
      <c r="E415">
        <v>25</v>
      </c>
      <c r="F415">
        <v>34</v>
      </c>
      <c r="G415">
        <v>33</v>
      </c>
      <c r="H415" t="s">
        <v>12</v>
      </c>
      <c r="I415">
        <v>80304</v>
      </c>
      <c r="J415">
        <v>80304</v>
      </c>
    </row>
    <row r="416" spans="1:10" x14ac:dyDescent="0.45">
      <c r="A416">
        <v>415</v>
      </c>
      <c r="B416" t="s">
        <v>4</v>
      </c>
      <c r="C416" t="s">
        <v>8</v>
      </c>
      <c r="D416" t="s">
        <v>38</v>
      </c>
      <c r="E416">
        <v>55</v>
      </c>
      <c r="F416">
        <v>64</v>
      </c>
      <c r="G416">
        <v>57</v>
      </c>
      <c r="H416" t="s">
        <v>12</v>
      </c>
      <c r="I416">
        <v>65599</v>
      </c>
      <c r="J416">
        <v>65599</v>
      </c>
    </row>
    <row r="417" spans="1:10" x14ac:dyDescent="0.45">
      <c r="A417">
        <v>416</v>
      </c>
      <c r="B417" t="s">
        <v>6</v>
      </c>
      <c r="C417" t="s">
        <v>9</v>
      </c>
      <c r="D417" t="s">
        <v>37</v>
      </c>
      <c r="E417">
        <v>45</v>
      </c>
      <c r="F417">
        <v>54</v>
      </c>
      <c r="G417">
        <v>46</v>
      </c>
      <c r="H417" t="s">
        <v>12</v>
      </c>
      <c r="I417">
        <v>70334</v>
      </c>
      <c r="J417">
        <v>70334</v>
      </c>
    </row>
    <row r="418" spans="1:10" x14ac:dyDescent="0.45">
      <c r="A418">
        <v>417</v>
      </c>
      <c r="B418" t="s">
        <v>4</v>
      </c>
      <c r="C418" t="s">
        <v>8</v>
      </c>
      <c r="D418" t="s">
        <v>37</v>
      </c>
      <c r="E418">
        <v>45</v>
      </c>
      <c r="F418">
        <v>54</v>
      </c>
      <c r="G418">
        <v>53</v>
      </c>
      <c r="H418" t="s">
        <v>13</v>
      </c>
      <c r="I418">
        <v>69761</v>
      </c>
      <c r="J418">
        <v>69761</v>
      </c>
    </row>
    <row r="419" spans="1:10" x14ac:dyDescent="0.45">
      <c r="A419">
        <v>418</v>
      </c>
      <c r="B419" t="s">
        <v>6</v>
      </c>
      <c r="C419" t="s">
        <v>8</v>
      </c>
      <c r="D419" t="s">
        <v>37</v>
      </c>
      <c r="E419">
        <v>45</v>
      </c>
      <c r="F419">
        <v>54</v>
      </c>
      <c r="G419">
        <v>54</v>
      </c>
      <c r="H419" t="s">
        <v>12</v>
      </c>
      <c r="I419">
        <v>74979</v>
      </c>
      <c r="J419">
        <v>74979</v>
      </c>
    </row>
    <row r="420" spans="1:10" x14ac:dyDescent="0.45">
      <c r="A420">
        <v>419</v>
      </c>
      <c r="B420" t="s">
        <v>5</v>
      </c>
      <c r="C420" t="s">
        <v>9</v>
      </c>
      <c r="D420" t="s">
        <v>37</v>
      </c>
      <c r="E420">
        <v>45</v>
      </c>
      <c r="F420">
        <v>54</v>
      </c>
      <c r="G420">
        <v>45</v>
      </c>
      <c r="H420" t="s">
        <v>12</v>
      </c>
      <c r="I420">
        <v>72419</v>
      </c>
      <c r="J420">
        <v>72419</v>
      </c>
    </row>
    <row r="421" spans="1:10" x14ac:dyDescent="0.45">
      <c r="A421">
        <v>420</v>
      </c>
      <c r="B421" t="s">
        <v>6</v>
      </c>
      <c r="C421" t="s">
        <v>8</v>
      </c>
      <c r="D421" t="s">
        <v>38</v>
      </c>
      <c r="E421">
        <v>55</v>
      </c>
      <c r="F421">
        <v>64</v>
      </c>
      <c r="G421">
        <v>59</v>
      </c>
      <c r="H421" t="s">
        <v>12</v>
      </c>
      <c r="I421">
        <v>118678</v>
      </c>
      <c r="J421">
        <v>118678</v>
      </c>
    </row>
    <row r="422" spans="1:10" x14ac:dyDescent="0.45">
      <c r="A422">
        <v>421</v>
      </c>
      <c r="B422" t="s">
        <v>6</v>
      </c>
      <c r="C422" t="s">
        <v>8</v>
      </c>
      <c r="D422" t="s">
        <v>36</v>
      </c>
      <c r="E422">
        <v>35</v>
      </c>
      <c r="F422">
        <v>44</v>
      </c>
      <c r="G422">
        <v>40</v>
      </c>
      <c r="H422" t="s">
        <v>12</v>
      </c>
      <c r="I422">
        <v>119409</v>
      </c>
      <c r="J422">
        <v>119409</v>
      </c>
    </row>
    <row r="423" spans="1:10" x14ac:dyDescent="0.45">
      <c r="A423">
        <v>422</v>
      </c>
      <c r="B423" t="s">
        <v>5</v>
      </c>
      <c r="C423" t="s">
        <v>8</v>
      </c>
      <c r="D423" t="s">
        <v>38</v>
      </c>
      <c r="E423">
        <v>55</v>
      </c>
      <c r="F423">
        <v>64</v>
      </c>
      <c r="G423">
        <v>64</v>
      </c>
      <c r="H423" t="s">
        <v>12</v>
      </c>
      <c r="I423">
        <v>113862</v>
      </c>
      <c r="J423">
        <v>113862</v>
      </c>
    </row>
    <row r="424" spans="1:10" x14ac:dyDescent="0.45">
      <c r="A424">
        <v>423</v>
      </c>
      <c r="B424" t="s">
        <v>6</v>
      </c>
      <c r="C424" t="s">
        <v>9</v>
      </c>
      <c r="D424" t="s">
        <v>36</v>
      </c>
      <c r="E424">
        <v>35</v>
      </c>
      <c r="F424">
        <v>44</v>
      </c>
      <c r="G424">
        <v>40</v>
      </c>
      <c r="H424" t="s">
        <v>12</v>
      </c>
      <c r="I424">
        <v>62591</v>
      </c>
      <c r="J424">
        <v>62591</v>
      </c>
    </row>
    <row r="425" spans="1:10" x14ac:dyDescent="0.45">
      <c r="A425">
        <v>424</v>
      </c>
      <c r="B425" t="s">
        <v>4</v>
      </c>
      <c r="C425" t="s">
        <v>8</v>
      </c>
      <c r="D425" t="s">
        <v>36</v>
      </c>
      <c r="E425">
        <v>35</v>
      </c>
      <c r="F425">
        <v>44</v>
      </c>
      <c r="G425">
        <v>38</v>
      </c>
      <c r="H425" t="s">
        <v>12</v>
      </c>
      <c r="I425">
        <v>103826</v>
      </c>
      <c r="J425">
        <v>103826</v>
      </c>
    </row>
    <row r="426" spans="1:10" x14ac:dyDescent="0.45">
      <c r="A426">
        <v>425</v>
      </c>
      <c r="B426" t="s">
        <v>5</v>
      </c>
      <c r="C426" t="s">
        <v>8</v>
      </c>
      <c r="D426" t="s">
        <v>38</v>
      </c>
      <c r="E426">
        <v>55</v>
      </c>
      <c r="F426">
        <v>64</v>
      </c>
      <c r="G426">
        <v>59</v>
      </c>
      <c r="H426" t="s">
        <v>13</v>
      </c>
      <c r="I426">
        <v>98726</v>
      </c>
      <c r="J426">
        <v>98726</v>
      </c>
    </row>
    <row r="427" spans="1:10" x14ac:dyDescent="0.45">
      <c r="A427">
        <v>426</v>
      </c>
      <c r="B427" t="s">
        <v>4</v>
      </c>
      <c r="C427" t="s">
        <v>9</v>
      </c>
      <c r="D427" t="s">
        <v>36</v>
      </c>
      <c r="E427">
        <v>35</v>
      </c>
      <c r="F427">
        <v>44</v>
      </c>
      <c r="G427">
        <v>37</v>
      </c>
      <c r="H427" t="s">
        <v>12</v>
      </c>
      <c r="I427">
        <v>76193</v>
      </c>
      <c r="J427">
        <v>76193</v>
      </c>
    </row>
    <row r="428" spans="1:10" x14ac:dyDescent="0.45">
      <c r="A428">
        <v>427</v>
      </c>
      <c r="B428" t="s">
        <v>4</v>
      </c>
      <c r="C428" t="s">
        <v>9</v>
      </c>
      <c r="D428" t="s">
        <v>36</v>
      </c>
      <c r="E428">
        <v>35</v>
      </c>
      <c r="F428">
        <v>44</v>
      </c>
      <c r="G428">
        <v>39</v>
      </c>
      <c r="H428" t="s">
        <v>12</v>
      </c>
      <c r="I428">
        <v>49396</v>
      </c>
      <c r="J428">
        <v>49396</v>
      </c>
    </row>
    <row r="429" spans="1:10" x14ac:dyDescent="0.45">
      <c r="A429">
        <v>428</v>
      </c>
      <c r="B429" t="s">
        <v>6</v>
      </c>
      <c r="C429" t="s">
        <v>8</v>
      </c>
      <c r="D429" t="s">
        <v>36</v>
      </c>
      <c r="E429">
        <v>35</v>
      </c>
      <c r="F429">
        <v>44</v>
      </c>
      <c r="G429">
        <v>41</v>
      </c>
      <c r="H429" t="s">
        <v>13</v>
      </c>
      <c r="I429">
        <v>62182</v>
      </c>
      <c r="J429">
        <v>62182</v>
      </c>
    </row>
    <row r="430" spans="1:10" x14ac:dyDescent="0.45">
      <c r="A430">
        <v>429</v>
      </c>
      <c r="B430" t="s">
        <v>4</v>
      </c>
      <c r="C430" t="s">
        <v>8</v>
      </c>
      <c r="D430" t="s">
        <v>37</v>
      </c>
      <c r="E430">
        <v>45</v>
      </c>
      <c r="F430">
        <v>54</v>
      </c>
      <c r="G430">
        <v>51</v>
      </c>
      <c r="H430" t="s">
        <v>12</v>
      </c>
      <c r="I430">
        <v>100610</v>
      </c>
      <c r="J430">
        <v>100610</v>
      </c>
    </row>
    <row r="431" spans="1:10" x14ac:dyDescent="0.45">
      <c r="A431">
        <v>430</v>
      </c>
      <c r="B431" t="s">
        <v>4</v>
      </c>
      <c r="C431" t="s">
        <v>8</v>
      </c>
      <c r="D431" t="s">
        <v>37</v>
      </c>
      <c r="E431">
        <v>45</v>
      </c>
      <c r="F431">
        <v>54</v>
      </c>
      <c r="G431">
        <v>53</v>
      </c>
      <c r="H431" t="s">
        <v>12</v>
      </c>
      <c r="I431">
        <v>71526</v>
      </c>
      <c r="J431">
        <v>71526</v>
      </c>
    </row>
    <row r="432" spans="1:10" x14ac:dyDescent="0.45">
      <c r="A432">
        <v>431</v>
      </c>
      <c r="B432" t="s">
        <v>6</v>
      </c>
      <c r="C432" t="s">
        <v>8</v>
      </c>
      <c r="D432" t="s">
        <v>36</v>
      </c>
      <c r="E432">
        <v>35</v>
      </c>
      <c r="F432">
        <v>44</v>
      </c>
      <c r="G432">
        <v>35</v>
      </c>
      <c r="H432" t="s">
        <v>12</v>
      </c>
      <c r="I432">
        <v>68640</v>
      </c>
      <c r="J432">
        <v>68640</v>
      </c>
    </row>
    <row r="433" spans="1:10" x14ac:dyDescent="0.45">
      <c r="A433">
        <v>432</v>
      </c>
      <c r="B433" t="s">
        <v>5</v>
      </c>
      <c r="C433" t="s">
        <v>9</v>
      </c>
      <c r="D433" t="s">
        <v>35</v>
      </c>
      <c r="E433">
        <v>25</v>
      </c>
      <c r="F433">
        <v>34</v>
      </c>
      <c r="G433">
        <v>26</v>
      </c>
      <c r="H433" t="s">
        <v>12</v>
      </c>
      <c r="I433">
        <v>58334</v>
      </c>
      <c r="J433">
        <v>58334</v>
      </c>
    </row>
    <row r="434" spans="1:10" x14ac:dyDescent="0.45">
      <c r="A434">
        <v>433</v>
      </c>
      <c r="B434" t="s">
        <v>5</v>
      </c>
      <c r="C434" t="s">
        <v>8</v>
      </c>
      <c r="D434" t="s">
        <v>37</v>
      </c>
      <c r="E434">
        <v>45</v>
      </c>
      <c r="F434">
        <v>54</v>
      </c>
      <c r="G434">
        <v>54</v>
      </c>
      <c r="H434" t="s">
        <v>12</v>
      </c>
      <c r="I434">
        <v>85702</v>
      </c>
      <c r="J434">
        <v>85702</v>
      </c>
    </row>
    <row r="435" spans="1:10" x14ac:dyDescent="0.45">
      <c r="A435">
        <v>434</v>
      </c>
      <c r="B435" t="s">
        <v>4</v>
      </c>
      <c r="C435" t="s">
        <v>8</v>
      </c>
      <c r="D435" t="s">
        <v>35</v>
      </c>
      <c r="E435">
        <v>25</v>
      </c>
      <c r="F435">
        <v>34</v>
      </c>
      <c r="G435">
        <v>27</v>
      </c>
      <c r="H435" t="s">
        <v>12</v>
      </c>
      <c r="I435">
        <v>53071</v>
      </c>
      <c r="J435">
        <v>53071</v>
      </c>
    </row>
    <row r="436" spans="1:10" x14ac:dyDescent="0.45">
      <c r="A436">
        <v>435</v>
      </c>
      <c r="B436" t="s">
        <v>4</v>
      </c>
      <c r="C436" t="s">
        <v>9</v>
      </c>
      <c r="D436" t="s">
        <v>36</v>
      </c>
      <c r="E436">
        <v>35</v>
      </c>
      <c r="F436">
        <v>44</v>
      </c>
      <c r="G436">
        <v>44</v>
      </c>
      <c r="H436" t="s">
        <v>12</v>
      </c>
      <c r="I436">
        <v>55492</v>
      </c>
      <c r="J436">
        <v>55492</v>
      </c>
    </row>
    <row r="437" spans="1:10" x14ac:dyDescent="0.45">
      <c r="A437">
        <v>436</v>
      </c>
      <c r="B437" t="s">
        <v>4</v>
      </c>
      <c r="C437" t="s">
        <v>9</v>
      </c>
      <c r="D437" t="s">
        <v>35</v>
      </c>
      <c r="E437">
        <v>25</v>
      </c>
      <c r="F437">
        <v>34</v>
      </c>
      <c r="G437">
        <v>29</v>
      </c>
      <c r="H437" t="s">
        <v>12</v>
      </c>
      <c r="I437">
        <v>54179</v>
      </c>
      <c r="J437">
        <v>54179</v>
      </c>
    </row>
    <row r="438" spans="1:10" x14ac:dyDescent="0.45">
      <c r="A438">
        <v>437</v>
      </c>
      <c r="B438" t="s">
        <v>4</v>
      </c>
      <c r="C438" t="s">
        <v>8</v>
      </c>
      <c r="D438" t="s">
        <v>37</v>
      </c>
      <c r="E438">
        <v>45</v>
      </c>
      <c r="F438">
        <v>54</v>
      </c>
      <c r="G438">
        <v>48</v>
      </c>
      <c r="H438" t="s">
        <v>12</v>
      </c>
      <c r="I438">
        <v>115650</v>
      </c>
      <c r="J438">
        <v>115650</v>
      </c>
    </row>
    <row r="439" spans="1:10" x14ac:dyDescent="0.45">
      <c r="A439">
        <v>438</v>
      </c>
      <c r="B439" t="s">
        <v>4</v>
      </c>
      <c r="C439" t="s">
        <v>8</v>
      </c>
      <c r="D439" t="s">
        <v>36</v>
      </c>
      <c r="E439">
        <v>35</v>
      </c>
      <c r="F439">
        <v>44</v>
      </c>
      <c r="G439">
        <v>37</v>
      </c>
      <c r="H439" t="s">
        <v>12</v>
      </c>
      <c r="I439">
        <v>112443</v>
      </c>
      <c r="J439">
        <v>112443</v>
      </c>
    </row>
    <row r="440" spans="1:10" x14ac:dyDescent="0.45">
      <c r="A440">
        <v>439</v>
      </c>
      <c r="B440" t="s">
        <v>5</v>
      </c>
      <c r="C440" t="s">
        <v>8</v>
      </c>
      <c r="D440" t="s">
        <v>38</v>
      </c>
      <c r="E440">
        <v>55</v>
      </c>
      <c r="F440">
        <v>64</v>
      </c>
      <c r="G440">
        <v>59</v>
      </c>
      <c r="H440" t="s">
        <v>12</v>
      </c>
      <c r="I440">
        <v>125160</v>
      </c>
      <c r="J440">
        <v>125160</v>
      </c>
    </row>
    <row r="441" spans="1:10" x14ac:dyDescent="0.45">
      <c r="A441">
        <v>440</v>
      </c>
      <c r="B441" t="s">
        <v>4</v>
      </c>
      <c r="C441" t="s">
        <v>9</v>
      </c>
      <c r="D441" t="s">
        <v>36</v>
      </c>
      <c r="E441">
        <v>35</v>
      </c>
      <c r="F441">
        <v>44</v>
      </c>
      <c r="G441">
        <v>41</v>
      </c>
      <c r="H441" t="s">
        <v>12</v>
      </c>
      <c r="I441">
        <v>75018</v>
      </c>
      <c r="J441">
        <v>75018</v>
      </c>
    </row>
    <row r="442" spans="1:10" x14ac:dyDescent="0.45">
      <c r="A442">
        <v>441</v>
      </c>
      <c r="B442" t="s">
        <v>5</v>
      </c>
      <c r="C442" t="s">
        <v>8</v>
      </c>
      <c r="D442" t="s">
        <v>35</v>
      </c>
      <c r="E442">
        <v>25</v>
      </c>
      <c r="F442">
        <v>34</v>
      </c>
      <c r="G442">
        <v>32</v>
      </c>
      <c r="H442" t="s">
        <v>13</v>
      </c>
      <c r="I442">
        <v>125595</v>
      </c>
      <c r="J442">
        <v>125595</v>
      </c>
    </row>
    <row r="443" spans="1:10" x14ac:dyDescent="0.45">
      <c r="A443">
        <v>442</v>
      </c>
      <c r="B443" t="s">
        <v>4</v>
      </c>
      <c r="C443" t="s">
        <v>9</v>
      </c>
      <c r="D443" t="s">
        <v>36</v>
      </c>
      <c r="E443">
        <v>35</v>
      </c>
      <c r="F443">
        <v>44</v>
      </c>
      <c r="G443">
        <v>36</v>
      </c>
      <c r="H443" t="s">
        <v>12</v>
      </c>
      <c r="I443">
        <v>58151</v>
      </c>
      <c r="J443">
        <v>58151</v>
      </c>
    </row>
    <row r="444" spans="1:10" x14ac:dyDescent="0.45">
      <c r="A444">
        <v>443</v>
      </c>
      <c r="B444" t="s">
        <v>4</v>
      </c>
      <c r="C444" t="s">
        <v>8</v>
      </c>
      <c r="D444" t="s">
        <v>36</v>
      </c>
      <c r="E444">
        <v>35</v>
      </c>
      <c r="F444">
        <v>44</v>
      </c>
      <c r="G444">
        <v>40</v>
      </c>
      <c r="H444" t="s">
        <v>12</v>
      </c>
      <c r="I444">
        <v>65865</v>
      </c>
      <c r="J444">
        <v>65865</v>
      </c>
    </row>
    <row r="445" spans="1:10" x14ac:dyDescent="0.45">
      <c r="A445">
        <v>444</v>
      </c>
      <c r="B445" t="s">
        <v>6</v>
      </c>
      <c r="C445" t="s">
        <v>8</v>
      </c>
      <c r="D445" t="s">
        <v>38</v>
      </c>
      <c r="E445">
        <v>55</v>
      </c>
      <c r="F445">
        <v>64</v>
      </c>
      <c r="G445">
        <v>61</v>
      </c>
      <c r="H445" t="s">
        <v>13</v>
      </c>
      <c r="I445">
        <v>113915</v>
      </c>
      <c r="J445">
        <v>113915</v>
      </c>
    </row>
    <row r="446" spans="1:10" x14ac:dyDescent="0.45">
      <c r="A446">
        <v>445</v>
      </c>
      <c r="B446" t="s">
        <v>4</v>
      </c>
      <c r="C446" t="s">
        <v>9</v>
      </c>
      <c r="D446" t="s">
        <v>36</v>
      </c>
      <c r="E446">
        <v>35</v>
      </c>
      <c r="F446">
        <v>44</v>
      </c>
      <c r="G446">
        <v>37</v>
      </c>
      <c r="H446" t="s">
        <v>12</v>
      </c>
      <c r="I446">
        <v>50826</v>
      </c>
      <c r="J446">
        <v>50826</v>
      </c>
    </row>
    <row r="447" spans="1:10" x14ac:dyDescent="0.45">
      <c r="A447">
        <v>446</v>
      </c>
      <c r="B447" t="s">
        <v>5</v>
      </c>
      <c r="C447" t="s">
        <v>8</v>
      </c>
      <c r="D447" t="s">
        <v>36</v>
      </c>
      <c r="E447">
        <v>35</v>
      </c>
      <c r="F447">
        <v>44</v>
      </c>
      <c r="G447">
        <v>40</v>
      </c>
      <c r="H447" t="s">
        <v>12</v>
      </c>
      <c r="I447">
        <v>73217</v>
      </c>
      <c r="J447">
        <v>73217</v>
      </c>
    </row>
    <row r="448" spans="1:10" x14ac:dyDescent="0.45">
      <c r="A448">
        <v>447</v>
      </c>
      <c r="B448" t="s">
        <v>4</v>
      </c>
      <c r="C448" t="s">
        <v>9</v>
      </c>
      <c r="D448" t="s">
        <v>37</v>
      </c>
      <c r="E448">
        <v>45</v>
      </c>
      <c r="F448">
        <v>54</v>
      </c>
      <c r="G448">
        <v>48</v>
      </c>
      <c r="H448" t="s">
        <v>12</v>
      </c>
      <c r="I448">
        <v>66936</v>
      </c>
      <c r="J448">
        <v>66936</v>
      </c>
    </row>
    <row r="449" spans="1:10" x14ac:dyDescent="0.45">
      <c r="A449">
        <v>448</v>
      </c>
      <c r="B449" t="s">
        <v>4</v>
      </c>
      <c r="C449" t="s">
        <v>8</v>
      </c>
      <c r="D449" t="s">
        <v>36</v>
      </c>
      <c r="E449">
        <v>35</v>
      </c>
      <c r="F449">
        <v>44</v>
      </c>
      <c r="G449">
        <v>41</v>
      </c>
      <c r="H449" t="s">
        <v>12</v>
      </c>
      <c r="I449">
        <v>120791</v>
      </c>
      <c r="J449">
        <v>120791</v>
      </c>
    </row>
    <row r="450" spans="1:10" x14ac:dyDescent="0.45">
      <c r="A450">
        <v>449</v>
      </c>
      <c r="B450" t="s">
        <v>4</v>
      </c>
      <c r="C450" t="s">
        <v>8</v>
      </c>
      <c r="D450" t="s">
        <v>37</v>
      </c>
      <c r="E450">
        <v>45</v>
      </c>
      <c r="F450">
        <v>54</v>
      </c>
      <c r="G450">
        <v>52</v>
      </c>
      <c r="H450" t="s">
        <v>12</v>
      </c>
      <c r="I450">
        <v>74009</v>
      </c>
      <c r="J450">
        <v>74009</v>
      </c>
    </row>
    <row r="451" spans="1:10" x14ac:dyDescent="0.45">
      <c r="A451">
        <v>450</v>
      </c>
      <c r="B451" t="s">
        <v>4</v>
      </c>
      <c r="C451" t="s">
        <v>8</v>
      </c>
      <c r="D451" t="s">
        <v>35</v>
      </c>
      <c r="E451">
        <v>25</v>
      </c>
      <c r="F451">
        <v>34</v>
      </c>
      <c r="G451">
        <v>25</v>
      </c>
      <c r="H451" t="s">
        <v>13</v>
      </c>
      <c r="I451">
        <v>52943</v>
      </c>
      <c r="J451">
        <v>52943</v>
      </c>
    </row>
    <row r="452" spans="1:10" x14ac:dyDescent="0.45">
      <c r="A452">
        <v>451</v>
      </c>
      <c r="B452" t="s">
        <v>5</v>
      </c>
      <c r="C452" t="s">
        <v>8</v>
      </c>
      <c r="D452" t="s">
        <v>36</v>
      </c>
      <c r="E452">
        <v>35</v>
      </c>
      <c r="F452">
        <v>44</v>
      </c>
      <c r="G452">
        <v>43</v>
      </c>
      <c r="H452" t="s">
        <v>12</v>
      </c>
      <c r="I452">
        <v>91059</v>
      </c>
      <c r="J452">
        <v>91059</v>
      </c>
    </row>
    <row r="453" spans="1:10" x14ac:dyDescent="0.45">
      <c r="A453">
        <v>452</v>
      </c>
      <c r="B453" t="s">
        <v>4</v>
      </c>
      <c r="C453" t="s">
        <v>9</v>
      </c>
      <c r="D453" t="s">
        <v>35</v>
      </c>
      <c r="E453">
        <v>25</v>
      </c>
      <c r="F453">
        <v>34</v>
      </c>
      <c r="G453">
        <v>33</v>
      </c>
      <c r="H453" t="s">
        <v>12</v>
      </c>
      <c r="I453">
        <v>74966</v>
      </c>
      <c r="J453">
        <v>74966</v>
      </c>
    </row>
    <row r="454" spans="1:10" x14ac:dyDescent="0.45">
      <c r="A454">
        <v>453</v>
      </c>
      <c r="B454" t="s">
        <v>4</v>
      </c>
      <c r="C454" t="s">
        <v>9</v>
      </c>
      <c r="D454" t="s">
        <v>36</v>
      </c>
      <c r="E454">
        <v>35</v>
      </c>
      <c r="F454">
        <v>44</v>
      </c>
      <c r="G454">
        <v>36</v>
      </c>
      <c r="H454" t="s">
        <v>12</v>
      </c>
      <c r="I454">
        <v>61056</v>
      </c>
      <c r="J454">
        <v>61056</v>
      </c>
    </row>
    <row r="455" spans="1:10" x14ac:dyDescent="0.45">
      <c r="A455">
        <v>454</v>
      </c>
      <c r="B455" t="s">
        <v>6</v>
      </c>
      <c r="C455" t="s">
        <v>9</v>
      </c>
      <c r="D455" t="s">
        <v>35</v>
      </c>
      <c r="E455">
        <v>25</v>
      </c>
      <c r="F455">
        <v>34</v>
      </c>
      <c r="G455">
        <v>34</v>
      </c>
      <c r="H455" t="s">
        <v>12</v>
      </c>
      <c r="I455">
        <v>72060</v>
      </c>
      <c r="J455">
        <v>72060</v>
      </c>
    </row>
    <row r="456" spans="1:10" x14ac:dyDescent="0.45">
      <c r="A456">
        <v>455</v>
      </c>
      <c r="B456" t="s">
        <v>6</v>
      </c>
      <c r="C456" t="s">
        <v>9</v>
      </c>
      <c r="D456" t="s">
        <v>36</v>
      </c>
      <c r="E456">
        <v>35</v>
      </c>
      <c r="F456">
        <v>44</v>
      </c>
      <c r="G456">
        <v>42</v>
      </c>
      <c r="H456" t="s">
        <v>12</v>
      </c>
      <c r="I456">
        <v>61149</v>
      </c>
      <c r="J456">
        <v>61149</v>
      </c>
    </row>
    <row r="457" spans="1:10" x14ac:dyDescent="0.45">
      <c r="A457">
        <v>456</v>
      </c>
      <c r="B457" t="s">
        <v>4</v>
      </c>
      <c r="C457" t="s">
        <v>8</v>
      </c>
      <c r="D457" t="s">
        <v>35</v>
      </c>
      <c r="E457">
        <v>25</v>
      </c>
      <c r="F457">
        <v>34</v>
      </c>
      <c r="G457">
        <v>25</v>
      </c>
      <c r="H457" t="s">
        <v>12</v>
      </c>
      <c r="I457">
        <v>108910</v>
      </c>
      <c r="J457">
        <v>108910</v>
      </c>
    </row>
    <row r="458" spans="1:10" x14ac:dyDescent="0.45">
      <c r="A458">
        <v>457</v>
      </c>
      <c r="B458" t="s">
        <v>4</v>
      </c>
      <c r="C458" t="s">
        <v>8</v>
      </c>
      <c r="D458" t="s">
        <v>36</v>
      </c>
      <c r="E458">
        <v>35</v>
      </c>
      <c r="F458">
        <v>44</v>
      </c>
      <c r="G458">
        <v>35</v>
      </c>
      <c r="H458" t="s">
        <v>12</v>
      </c>
      <c r="I458">
        <v>110868</v>
      </c>
      <c r="J458">
        <v>110868</v>
      </c>
    </row>
    <row r="459" spans="1:10" x14ac:dyDescent="0.45">
      <c r="A459">
        <v>458</v>
      </c>
      <c r="B459" t="s">
        <v>5</v>
      </c>
      <c r="C459" t="s">
        <v>8</v>
      </c>
      <c r="D459" t="s">
        <v>36</v>
      </c>
      <c r="E459">
        <v>35</v>
      </c>
      <c r="F459">
        <v>44</v>
      </c>
      <c r="G459">
        <v>38</v>
      </c>
      <c r="H459" t="s">
        <v>12</v>
      </c>
      <c r="I459">
        <v>96297</v>
      </c>
      <c r="J459">
        <v>96297</v>
      </c>
    </row>
    <row r="460" spans="1:10" x14ac:dyDescent="0.45">
      <c r="A460">
        <v>459</v>
      </c>
      <c r="B460" t="s">
        <v>5</v>
      </c>
      <c r="C460" t="s">
        <v>8</v>
      </c>
      <c r="D460" t="s">
        <v>38</v>
      </c>
      <c r="E460">
        <v>55</v>
      </c>
      <c r="F460">
        <v>64</v>
      </c>
      <c r="G460">
        <v>61</v>
      </c>
      <c r="H460" t="s">
        <v>12</v>
      </c>
      <c r="I460">
        <v>104699</v>
      </c>
      <c r="J460">
        <v>104699</v>
      </c>
    </row>
    <row r="461" spans="1:10" x14ac:dyDescent="0.45">
      <c r="A461">
        <v>460</v>
      </c>
      <c r="B461" t="s">
        <v>4</v>
      </c>
      <c r="C461" t="s">
        <v>8</v>
      </c>
      <c r="D461" t="s">
        <v>36</v>
      </c>
      <c r="E461">
        <v>35</v>
      </c>
      <c r="F461">
        <v>44</v>
      </c>
      <c r="G461">
        <v>44</v>
      </c>
      <c r="H461" t="s">
        <v>13</v>
      </c>
      <c r="I461">
        <v>120756</v>
      </c>
      <c r="J461">
        <v>120756</v>
      </c>
    </row>
    <row r="462" spans="1:10" x14ac:dyDescent="0.45">
      <c r="A462">
        <v>461</v>
      </c>
      <c r="B462" t="s">
        <v>5</v>
      </c>
      <c r="C462" t="s">
        <v>8</v>
      </c>
      <c r="D462" t="s">
        <v>37</v>
      </c>
      <c r="E462">
        <v>45</v>
      </c>
      <c r="F462">
        <v>54</v>
      </c>
      <c r="G462">
        <v>48</v>
      </c>
      <c r="H462" t="s">
        <v>12</v>
      </c>
      <c r="I462">
        <v>99203</v>
      </c>
      <c r="J462">
        <v>99203</v>
      </c>
    </row>
    <row r="463" spans="1:10" x14ac:dyDescent="0.45">
      <c r="A463">
        <v>462</v>
      </c>
      <c r="B463" t="s">
        <v>6</v>
      </c>
      <c r="C463" t="s">
        <v>9</v>
      </c>
      <c r="D463" t="s">
        <v>38</v>
      </c>
      <c r="E463">
        <v>55</v>
      </c>
      <c r="F463">
        <v>64</v>
      </c>
      <c r="G463">
        <v>60</v>
      </c>
      <c r="H463" t="s">
        <v>13</v>
      </c>
      <c r="I463">
        <v>72598</v>
      </c>
      <c r="J463">
        <v>72598</v>
      </c>
    </row>
    <row r="464" spans="1:10" x14ac:dyDescent="0.45">
      <c r="A464">
        <v>463</v>
      </c>
      <c r="B464" t="s">
        <v>4</v>
      </c>
      <c r="C464" t="s">
        <v>9</v>
      </c>
      <c r="D464" t="s">
        <v>36</v>
      </c>
      <c r="E464">
        <v>35</v>
      </c>
      <c r="F464">
        <v>44</v>
      </c>
      <c r="G464">
        <v>35</v>
      </c>
      <c r="H464" t="s">
        <v>12</v>
      </c>
      <c r="I464">
        <v>45473</v>
      </c>
      <c r="J464">
        <v>45473</v>
      </c>
    </row>
    <row r="465" spans="1:10" x14ac:dyDescent="0.45">
      <c r="A465">
        <v>464</v>
      </c>
      <c r="B465" t="s">
        <v>5</v>
      </c>
      <c r="C465" t="s">
        <v>9</v>
      </c>
      <c r="D465" t="s">
        <v>35</v>
      </c>
      <c r="E465">
        <v>25</v>
      </c>
      <c r="F465">
        <v>34</v>
      </c>
      <c r="G465">
        <v>25</v>
      </c>
      <c r="H465" t="s">
        <v>12</v>
      </c>
      <c r="I465">
        <v>58557</v>
      </c>
      <c r="J465">
        <v>58557</v>
      </c>
    </row>
    <row r="466" spans="1:10" x14ac:dyDescent="0.45">
      <c r="A466">
        <v>465</v>
      </c>
      <c r="B466" t="s">
        <v>4</v>
      </c>
      <c r="C466" t="s">
        <v>8</v>
      </c>
      <c r="D466" t="s">
        <v>35</v>
      </c>
      <c r="E466">
        <v>25</v>
      </c>
      <c r="F466">
        <v>34</v>
      </c>
      <c r="G466">
        <v>31</v>
      </c>
      <c r="H466" t="s">
        <v>12</v>
      </c>
      <c r="I466">
        <v>121524</v>
      </c>
      <c r="J466">
        <v>121524</v>
      </c>
    </row>
    <row r="467" spans="1:10" x14ac:dyDescent="0.45">
      <c r="A467">
        <v>466</v>
      </c>
      <c r="B467" t="s">
        <v>5</v>
      </c>
      <c r="C467" t="s">
        <v>9</v>
      </c>
      <c r="D467" t="s">
        <v>35</v>
      </c>
      <c r="E467">
        <v>25</v>
      </c>
      <c r="F467">
        <v>34</v>
      </c>
      <c r="G467">
        <v>27</v>
      </c>
      <c r="H467" t="s">
        <v>12</v>
      </c>
      <c r="I467">
        <v>71900</v>
      </c>
      <c r="J467">
        <v>71900</v>
      </c>
    </row>
    <row r="468" spans="1:10" x14ac:dyDescent="0.45">
      <c r="A468">
        <v>467</v>
      </c>
      <c r="B468" t="s">
        <v>4</v>
      </c>
      <c r="C468" t="s">
        <v>8</v>
      </c>
      <c r="D468" t="s">
        <v>37</v>
      </c>
      <c r="E468">
        <v>45</v>
      </c>
      <c r="F468">
        <v>54</v>
      </c>
      <c r="G468">
        <v>47</v>
      </c>
      <c r="H468" t="s">
        <v>12</v>
      </c>
      <c r="I468">
        <v>101896</v>
      </c>
      <c r="J468">
        <v>101896</v>
      </c>
    </row>
    <row r="469" spans="1:10" x14ac:dyDescent="0.45">
      <c r="A469">
        <v>468</v>
      </c>
      <c r="B469" t="s">
        <v>4</v>
      </c>
      <c r="C469" t="s">
        <v>8</v>
      </c>
      <c r="D469" t="s">
        <v>36</v>
      </c>
      <c r="E469">
        <v>35</v>
      </c>
      <c r="F469">
        <v>44</v>
      </c>
      <c r="G469">
        <v>40</v>
      </c>
      <c r="H469" t="s">
        <v>12</v>
      </c>
      <c r="I469">
        <v>81078</v>
      </c>
      <c r="J469">
        <v>81078</v>
      </c>
    </row>
    <row r="470" spans="1:10" x14ac:dyDescent="0.45">
      <c r="A470">
        <v>469</v>
      </c>
      <c r="B470" t="s">
        <v>4</v>
      </c>
      <c r="C470" t="s">
        <v>8</v>
      </c>
      <c r="D470" t="s">
        <v>37</v>
      </c>
      <c r="E470">
        <v>45</v>
      </c>
      <c r="F470">
        <v>54</v>
      </c>
      <c r="G470">
        <v>49</v>
      </c>
      <c r="H470" t="s">
        <v>12</v>
      </c>
      <c r="I470">
        <v>111103</v>
      </c>
      <c r="J470">
        <v>111103</v>
      </c>
    </row>
    <row r="471" spans="1:10" x14ac:dyDescent="0.45">
      <c r="A471">
        <v>470</v>
      </c>
      <c r="B471" t="s">
        <v>4</v>
      </c>
      <c r="C471" t="s">
        <v>9</v>
      </c>
      <c r="D471" t="s">
        <v>35</v>
      </c>
      <c r="E471">
        <v>25</v>
      </c>
      <c r="F471">
        <v>34</v>
      </c>
      <c r="G471">
        <v>26</v>
      </c>
      <c r="H471" t="s">
        <v>12</v>
      </c>
      <c r="I471">
        <v>71601</v>
      </c>
      <c r="J471">
        <v>71601</v>
      </c>
    </row>
    <row r="472" spans="1:10" x14ac:dyDescent="0.45">
      <c r="A472">
        <v>471</v>
      </c>
      <c r="B472" t="s">
        <v>6</v>
      </c>
      <c r="C472" t="s">
        <v>8</v>
      </c>
      <c r="D472" t="s">
        <v>37</v>
      </c>
      <c r="E472">
        <v>45</v>
      </c>
      <c r="F472">
        <v>54</v>
      </c>
      <c r="G472">
        <v>45</v>
      </c>
      <c r="H472" t="s">
        <v>12</v>
      </c>
      <c r="I472">
        <v>91773</v>
      </c>
      <c r="J472">
        <v>91773</v>
      </c>
    </row>
    <row r="473" spans="1:10" x14ac:dyDescent="0.45">
      <c r="A473">
        <v>472</v>
      </c>
      <c r="B473" t="s">
        <v>6</v>
      </c>
      <c r="C473" t="s">
        <v>9</v>
      </c>
      <c r="D473" t="s">
        <v>35</v>
      </c>
      <c r="E473">
        <v>25</v>
      </c>
      <c r="F473">
        <v>34</v>
      </c>
      <c r="G473">
        <v>27</v>
      </c>
      <c r="H473" t="s">
        <v>12</v>
      </c>
      <c r="I473">
        <v>53974</v>
      </c>
      <c r="J473">
        <v>53974</v>
      </c>
    </row>
    <row r="474" spans="1:10" x14ac:dyDescent="0.45">
      <c r="A474">
        <v>473</v>
      </c>
      <c r="B474" t="s">
        <v>5</v>
      </c>
      <c r="C474" t="s">
        <v>9</v>
      </c>
      <c r="D474" t="s">
        <v>37</v>
      </c>
      <c r="E474">
        <v>45</v>
      </c>
      <c r="F474">
        <v>54</v>
      </c>
      <c r="G474">
        <v>45</v>
      </c>
      <c r="H474" t="s">
        <v>12</v>
      </c>
      <c r="I474">
        <v>56152</v>
      </c>
      <c r="J474">
        <v>56152</v>
      </c>
    </row>
    <row r="475" spans="1:10" x14ac:dyDescent="0.45">
      <c r="A475">
        <v>474</v>
      </c>
      <c r="B475" t="s">
        <v>6</v>
      </c>
      <c r="C475" t="s">
        <v>8</v>
      </c>
      <c r="D475" t="s">
        <v>36</v>
      </c>
      <c r="E475">
        <v>35</v>
      </c>
      <c r="F475">
        <v>44</v>
      </c>
      <c r="G475">
        <v>35</v>
      </c>
      <c r="H475" t="s">
        <v>12</v>
      </c>
      <c r="I475">
        <v>89253</v>
      </c>
      <c r="J475">
        <v>89253</v>
      </c>
    </row>
    <row r="476" spans="1:10" x14ac:dyDescent="0.45">
      <c r="A476">
        <v>475</v>
      </c>
      <c r="B476" t="s">
        <v>4</v>
      </c>
      <c r="C476" t="s">
        <v>9</v>
      </c>
      <c r="D476" t="s">
        <v>37</v>
      </c>
      <c r="E476">
        <v>45</v>
      </c>
      <c r="F476">
        <v>54</v>
      </c>
      <c r="G476">
        <v>52</v>
      </c>
      <c r="H476" t="s">
        <v>12</v>
      </c>
      <c r="I476">
        <v>53751</v>
      </c>
      <c r="J476">
        <v>53751</v>
      </c>
    </row>
    <row r="477" spans="1:10" x14ac:dyDescent="0.45">
      <c r="A477">
        <v>476</v>
      </c>
      <c r="B477" t="s">
        <v>4</v>
      </c>
      <c r="C477" t="s">
        <v>9</v>
      </c>
      <c r="D477" t="s">
        <v>36</v>
      </c>
      <c r="E477">
        <v>35</v>
      </c>
      <c r="F477">
        <v>44</v>
      </c>
      <c r="G477">
        <v>37</v>
      </c>
      <c r="H477" t="s">
        <v>13</v>
      </c>
      <c r="I477">
        <v>60287</v>
      </c>
      <c r="J477">
        <v>60287</v>
      </c>
    </row>
    <row r="478" spans="1:10" x14ac:dyDescent="0.45">
      <c r="A478">
        <v>477</v>
      </c>
      <c r="B478" t="s">
        <v>4</v>
      </c>
      <c r="C478" t="s">
        <v>8</v>
      </c>
      <c r="D478" t="s">
        <v>35</v>
      </c>
      <c r="E478">
        <v>25</v>
      </c>
      <c r="F478">
        <v>34</v>
      </c>
      <c r="G478">
        <v>30</v>
      </c>
      <c r="H478" t="s">
        <v>12</v>
      </c>
      <c r="I478">
        <v>101090</v>
      </c>
      <c r="J478">
        <v>101090</v>
      </c>
    </row>
    <row r="479" spans="1:10" x14ac:dyDescent="0.45">
      <c r="A479">
        <v>478</v>
      </c>
      <c r="B479" t="s">
        <v>5</v>
      </c>
      <c r="C479" t="s">
        <v>9</v>
      </c>
      <c r="D479" t="s">
        <v>35</v>
      </c>
      <c r="E479">
        <v>25</v>
      </c>
      <c r="F479">
        <v>34</v>
      </c>
      <c r="G479">
        <v>28</v>
      </c>
      <c r="H479" t="s">
        <v>12</v>
      </c>
      <c r="I479">
        <v>72592</v>
      </c>
      <c r="J479">
        <v>72592</v>
      </c>
    </row>
    <row r="480" spans="1:10" x14ac:dyDescent="0.45">
      <c r="A480">
        <v>479</v>
      </c>
      <c r="B480" t="s">
        <v>6</v>
      </c>
      <c r="C480" t="s">
        <v>9</v>
      </c>
      <c r="D480" t="s">
        <v>37</v>
      </c>
      <c r="E480">
        <v>45</v>
      </c>
      <c r="F480">
        <v>54</v>
      </c>
      <c r="G480">
        <v>46</v>
      </c>
      <c r="H480" t="s">
        <v>12</v>
      </c>
      <c r="I480">
        <v>45043</v>
      </c>
      <c r="J480">
        <v>45043</v>
      </c>
    </row>
    <row r="481" spans="1:10" x14ac:dyDescent="0.45">
      <c r="A481">
        <v>480</v>
      </c>
      <c r="B481" t="s">
        <v>4</v>
      </c>
      <c r="C481" t="s">
        <v>8</v>
      </c>
      <c r="D481" t="s">
        <v>36</v>
      </c>
      <c r="E481">
        <v>35</v>
      </c>
      <c r="F481">
        <v>44</v>
      </c>
      <c r="G481">
        <v>35</v>
      </c>
      <c r="H481" t="s">
        <v>12</v>
      </c>
      <c r="I481">
        <v>62026</v>
      </c>
      <c r="J481">
        <v>62026</v>
      </c>
    </row>
    <row r="482" spans="1:10" x14ac:dyDescent="0.45">
      <c r="A482">
        <v>481</v>
      </c>
      <c r="B482" t="s">
        <v>4</v>
      </c>
      <c r="C482" t="s">
        <v>8</v>
      </c>
      <c r="D482" t="s">
        <v>38</v>
      </c>
      <c r="E482">
        <v>55</v>
      </c>
      <c r="F482">
        <v>64</v>
      </c>
      <c r="G482">
        <v>56</v>
      </c>
      <c r="H482" t="s">
        <v>12</v>
      </c>
      <c r="I482">
        <v>67255</v>
      </c>
      <c r="J482">
        <v>67255</v>
      </c>
    </row>
    <row r="483" spans="1:10" x14ac:dyDescent="0.45">
      <c r="A483">
        <v>482</v>
      </c>
      <c r="B483" t="s">
        <v>5</v>
      </c>
      <c r="C483" t="s">
        <v>8</v>
      </c>
      <c r="D483" t="s">
        <v>37</v>
      </c>
      <c r="E483">
        <v>45</v>
      </c>
      <c r="F483">
        <v>54</v>
      </c>
      <c r="G483">
        <v>46</v>
      </c>
      <c r="H483" t="s">
        <v>12</v>
      </c>
      <c r="I483">
        <v>53293</v>
      </c>
      <c r="J483">
        <v>53293</v>
      </c>
    </row>
    <row r="484" spans="1:10" x14ac:dyDescent="0.45">
      <c r="A484">
        <v>483</v>
      </c>
      <c r="B484" t="s">
        <v>6</v>
      </c>
      <c r="C484" t="s">
        <v>9</v>
      </c>
      <c r="D484" t="s">
        <v>37</v>
      </c>
      <c r="E484">
        <v>45</v>
      </c>
      <c r="F484">
        <v>54</v>
      </c>
      <c r="G484">
        <v>51</v>
      </c>
      <c r="H484" t="s">
        <v>12</v>
      </c>
      <c r="I484">
        <v>73007</v>
      </c>
      <c r="J484">
        <v>73007</v>
      </c>
    </row>
    <row r="485" spans="1:10" x14ac:dyDescent="0.45">
      <c r="A485">
        <v>484</v>
      </c>
      <c r="B485" t="s">
        <v>4</v>
      </c>
      <c r="C485" t="s">
        <v>8</v>
      </c>
      <c r="D485" t="s">
        <v>35</v>
      </c>
      <c r="E485">
        <v>25</v>
      </c>
      <c r="F485">
        <v>34</v>
      </c>
      <c r="G485">
        <v>29</v>
      </c>
      <c r="H485" t="s">
        <v>12</v>
      </c>
      <c r="I485">
        <v>72763</v>
      </c>
      <c r="J485">
        <v>72763</v>
      </c>
    </row>
    <row r="486" spans="1:10" x14ac:dyDescent="0.45">
      <c r="A486">
        <v>485</v>
      </c>
      <c r="B486" t="s">
        <v>5</v>
      </c>
      <c r="C486" t="s">
        <v>8</v>
      </c>
      <c r="D486" t="s">
        <v>36</v>
      </c>
      <c r="E486">
        <v>35</v>
      </c>
      <c r="F486">
        <v>44</v>
      </c>
      <c r="G486">
        <v>38</v>
      </c>
      <c r="H486" t="s">
        <v>12</v>
      </c>
      <c r="I486">
        <v>123771</v>
      </c>
      <c r="J486">
        <v>123771</v>
      </c>
    </row>
    <row r="487" spans="1:10" x14ac:dyDescent="0.45">
      <c r="A487">
        <v>486</v>
      </c>
      <c r="B487" t="s">
        <v>4</v>
      </c>
      <c r="C487" t="s">
        <v>8</v>
      </c>
      <c r="D487" t="s">
        <v>36</v>
      </c>
      <c r="E487">
        <v>35</v>
      </c>
      <c r="F487">
        <v>44</v>
      </c>
      <c r="G487">
        <v>42</v>
      </c>
      <c r="H487" t="s">
        <v>12</v>
      </c>
      <c r="I487">
        <v>126729</v>
      </c>
      <c r="J487">
        <v>126729</v>
      </c>
    </row>
    <row r="488" spans="1:10" x14ac:dyDescent="0.45">
      <c r="A488">
        <v>487</v>
      </c>
      <c r="B488" t="s">
        <v>4</v>
      </c>
      <c r="C488" t="s">
        <v>8</v>
      </c>
      <c r="D488" t="s">
        <v>35</v>
      </c>
      <c r="E488">
        <v>25</v>
      </c>
      <c r="F488">
        <v>34</v>
      </c>
      <c r="G488">
        <v>25</v>
      </c>
      <c r="H488" t="s">
        <v>12</v>
      </c>
      <c r="I488">
        <v>105535</v>
      </c>
      <c r="J488">
        <v>105535</v>
      </c>
    </row>
    <row r="489" spans="1:10" x14ac:dyDescent="0.45">
      <c r="A489">
        <v>488</v>
      </c>
      <c r="B489" t="s">
        <v>4</v>
      </c>
      <c r="C489" t="s">
        <v>8</v>
      </c>
      <c r="D489" t="s">
        <v>37</v>
      </c>
      <c r="E489">
        <v>45</v>
      </c>
      <c r="F489">
        <v>54</v>
      </c>
      <c r="G489">
        <v>53</v>
      </c>
      <c r="H489" t="s">
        <v>12</v>
      </c>
      <c r="I489">
        <v>121722</v>
      </c>
      <c r="J489">
        <v>121722</v>
      </c>
    </row>
    <row r="490" spans="1:10" x14ac:dyDescent="0.45">
      <c r="A490">
        <v>489</v>
      </c>
      <c r="B490" t="s">
        <v>4</v>
      </c>
      <c r="C490" t="s">
        <v>9</v>
      </c>
      <c r="D490" t="s">
        <v>35</v>
      </c>
      <c r="E490">
        <v>25</v>
      </c>
      <c r="F490">
        <v>34</v>
      </c>
      <c r="G490">
        <v>33</v>
      </c>
      <c r="H490" t="s">
        <v>12</v>
      </c>
      <c r="I490">
        <v>61900</v>
      </c>
      <c r="J490">
        <v>61900</v>
      </c>
    </row>
    <row r="491" spans="1:10" x14ac:dyDescent="0.45">
      <c r="A491">
        <v>490</v>
      </c>
      <c r="B491" t="s">
        <v>4</v>
      </c>
      <c r="C491" t="s">
        <v>9</v>
      </c>
      <c r="D491" t="s">
        <v>35</v>
      </c>
      <c r="E491">
        <v>25</v>
      </c>
      <c r="F491">
        <v>34</v>
      </c>
      <c r="G491">
        <v>33</v>
      </c>
      <c r="H491" t="s">
        <v>12</v>
      </c>
      <c r="I491">
        <v>71173</v>
      </c>
      <c r="J491">
        <v>71173</v>
      </c>
    </row>
    <row r="492" spans="1:10" x14ac:dyDescent="0.45">
      <c r="A492">
        <v>491</v>
      </c>
      <c r="B492" t="s">
        <v>4</v>
      </c>
      <c r="C492" t="s">
        <v>8</v>
      </c>
      <c r="D492" t="s">
        <v>35</v>
      </c>
      <c r="E492">
        <v>25</v>
      </c>
      <c r="F492">
        <v>34</v>
      </c>
      <c r="G492">
        <v>31</v>
      </c>
      <c r="H492" t="s">
        <v>12</v>
      </c>
      <c r="I492">
        <v>95808</v>
      </c>
      <c r="J492">
        <v>95808</v>
      </c>
    </row>
    <row r="493" spans="1:10" x14ac:dyDescent="0.45">
      <c r="A493">
        <v>492</v>
      </c>
      <c r="B493" t="s">
        <v>5</v>
      </c>
      <c r="C493" t="s">
        <v>8</v>
      </c>
      <c r="D493" t="s">
        <v>37</v>
      </c>
      <c r="E493">
        <v>45</v>
      </c>
      <c r="F493">
        <v>54</v>
      </c>
      <c r="G493">
        <v>52</v>
      </c>
      <c r="H493" t="s">
        <v>12</v>
      </c>
      <c r="I493">
        <v>57544</v>
      </c>
      <c r="J493">
        <v>57544</v>
      </c>
    </row>
    <row r="494" spans="1:10" x14ac:dyDescent="0.45">
      <c r="A494">
        <v>493</v>
      </c>
      <c r="B494" t="s">
        <v>4</v>
      </c>
      <c r="C494" t="s">
        <v>8</v>
      </c>
      <c r="D494" t="s">
        <v>36</v>
      </c>
      <c r="E494">
        <v>35</v>
      </c>
      <c r="F494">
        <v>44</v>
      </c>
      <c r="G494">
        <v>39</v>
      </c>
      <c r="H494" t="s">
        <v>12</v>
      </c>
      <c r="I494">
        <v>96159</v>
      </c>
      <c r="J494">
        <v>96159</v>
      </c>
    </row>
    <row r="495" spans="1:10" x14ac:dyDescent="0.45">
      <c r="A495">
        <v>494</v>
      </c>
      <c r="B495" t="s">
        <v>6</v>
      </c>
      <c r="C495" t="s">
        <v>9</v>
      </c>
      <c r="D495" t="s">
        <v>36</v>
      </c>
      <c r="E495">
        <v>35</v>
      </c>
      <c r="F495">
        <v>44</v>
      </c>
      <c r="G495">
        <v>37</v>
      </c>
      <c r="H495" t="s">
        <v>12</v>
      </c>
      <c r="I495">
        <v>67637</v>
      </c>
      <c r="J495">
        <v>67637</v>
      </c>
    </row>
    <row r="496" spans="1:10" x14ac:dyDescent="0.45">
      <c r="A496">
        <v>495</v>
      </c>
      <c r="B496" t="s">
        <v>4</v>
      </c>
      <c r="C496" t="s">
        <v>9</v>
      </c>
      <c r="D496" t="s">
        <v>37</v>
      </c>
      <c r="E496">
        <v>45</v>
      </c>
      <c r="F496">
        <v>54</v>
      </c>
      <c r="G496">
        <v>49</v>
      </c>
      <c r="H496" t="s">
        <v>12</v>
      </c>
      <c r="I496">
        <v>74831</v>
      </c>
      <c r="J496">
        <v>74831</v>
      </c>
    </row>
    <row r="497" spans="1:10" x14ac:dyDescent="0.45">
      <c r="A497">
        <v>496</v>
      </c>
      <c r="B497" t="s">
        <v>4</v>
      </c>
      <c r="C497" t="s">
        <v>9</v>
      </c>
      <c r="D497" t="s">
        <v>36</v>
      </c>
      <c r="E497">
        <v>35</v>
      </c>
      <c r="F497">
        <v>44</v>
      </c>
      <c r="G497">
        <v>38</v>
      </c>
      <c r="H497" t="s">
        <v>12</v>
      </c>
      <c r="I497">
        <v>47999</v>
      </c>
      <c r="J497">
        <v>47999</v>
      </c>
    </row>
    <row r="498" spans="1:10" x14ac:dyDescent="0.45">
      <c r="A498">
        <v>497</v>
      </c>
      <c r="B498" t="s">
        <v>4</v>
      </c>
      <c r="C498" t="s">
        <v>8</v>
      </c>
      <c r="D498" t="s">
        <v>37</v>
      </c>
      <c r="E498">
        <v>45</v>
      </c>
      <c r="F498">
        <v>54</v>
      </c>
      <c r="G498">
        <v>50</v>
      </c>
      <c r="H498" t="s">
        <v>12</v>
      </c>
      <c r="I498">
        <v>70172</v>
      </c>
      <c r="J498">
        <v>70172</v>
      </c>
    </row>
    <row r="499" spans="1:10" x14ac:dyDescent="0.45">
      <c r="A499">
        <v>498</v>
      </c>
      <c r="B499" t="s">
        <v>5</v>
      </c>
      <c r="C499" t="s">
        <v>8</v>
      </c>
      <c r="D499" t="s">
        <v>37</v>
      </c>
      <c r="E499">
        <v>45</v>
      </c>
      <c r="F499">
        <v>54</v>
      </c>
      <c r="G499">
        <v>47</v>
      </c>
      <c r="H499" t="s">
        <v>13</v>
      </c>
      <c r="I499">
        <v>92058</v>
      </c>
      <c r="J499">
        <v>92058</v>
      </c>
    </row>
    <row r="500" spans="1:10" x14ac:dyDescent="0.45">
      <c r="A500">
        <v>499</v>
      </c>
      <c r="B500" t="s">
        <v>4</v>
      </c>
      <c r="C500" t="s">
        <v>9</v>
      </c>
      <c r="D500" t="s">
        <v>36</v>
      </c>
      <c r="E500">
        <v>35</v>
      </c>
      <c r="F500">
        <v>44</v>
      </c>
      <c r="G500">
        <v>40</v>
      </c>
      <c r="H500" t="s">
        <v>12</v>
      </c>
      <c r="I500">
        <v>70480</v>
      </c>
      <c r="J500">
        <v>70480</v>
      </c>
    </row>
    <row r="501" spans="1:10" x14ac:dyDescent="0.45">
      <c r="A501">
        <v>500</v>
      </c>
      <c r="B501" t="s">
        <v>4</v>
      </c>
      <c r="C501" t="s">
        <v>8</v>
      </c>
      <c r="D501" t="s">
        <v>38</v>
      </c>
      <c r="E501">
        <v>55</v>
      </c>
      <c r="F501">
        <v>64</v>
      </c>
      <c r="G501">
        <v>55</v>
      </c>
      <c r="H501" t="s">
        <v>12</v>
      </c>
      <c r="I501">
        <v>87062</v>
      </c>
      <c r="J501">
        <v>87062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06F7-44D5-4DBD-9B83-74857819F365}">
  <dimension ref="A1:G289"/>
  <sheetViews>
    <sheetView topLeftCell="A268" workbookViewId="0">
      <selection activeCell="F287" sqref="F287"/>
    </sheetView>
  </sheetViews>
  <sheetFormatPr defaultRowHeight="14.25" x14ac:dyDescent="0.45"/>
  <cols>
    <col min="6" max="6" width="11.796875" customWidth="1"/>
    <col min="7" max="7" width="12.1328125" customWidth="1"/>
  </cols>
  <sheetData>
    <row r="1" spans="1:7" s="6" customFormat="1" x14ac:dyDescent="0.45">
      <c r="A1" s="13" t="s">
        <v>70</v>
      </c>
      <c r="B1" s="13" t="s">
        <v>71</v>
      </c>
      <c r="C1" s="13" t="s">
        <v>3</v>
      </c>
      <c r="D1" s="13" t="s">
        <v>7</v>
      </c>
      <c r="E1" s="13" t="s">
        <v>72</v>
      </c>
      <c r="F1" s="13" t="s">
        <v>73</v>
      </c>
      <c r="G1" s="13" t="s">
        <v>74</v>
      </c>
    </row>
    <row r="2" spans="1:7" x14ac:dyDescent="0.45">
      <c r="A2" t="str">
        <f>INDEX(Dim_Month!A:A, INT((ROW()-2)/(4*3*2))+2)</f>
        <v>2025-01</v>
      </c>
      <c r="B2" t="str">
        <f>INDEX(Dim_Benefit!A:A, MOD(INT((ROW()-2)/(3*2)),4)+2)</f>
        <v>Health</v>
      </c>
      <c r="C2" t="str">
        <f>INDEX(Dim_Region!A:A,MOD(INT((ROW()-2)/2),3)+2)</f>
        <v>ON</v>
      </c>
      <c r="D2" t="str">
        <f>INDEX(Dim_Class!A:A,MOD(ROW()-2,2)+2)</f>
        <v>A</v>
      </c>
      <c r="E2">
        <f>COUNTIFS(Census!B:B,Experience_12m!C2,Census!C:C,Experience_12m!D2)</f>
        <v>180</v>
      </c>
      <c r="F2">
        <f>ROUND(E2*VLOOKUP(B2,assumptions!$A$3:$B$6,2,FALSE),0)</f>
        <v>27</v>
      </c>
      <c r="G2">
        <f>F2*VLOOKUP(B2,assumptions!$A$11:$B$14,2,FALSE)</f>
        <v>6750</v>
      </c>
    </row>
    <row r="3" spans="1:7" x14ac:dyDescent="0.45">
      <c r="A3" t="str">
        <f>INDEX(Dim_Month!A:A, INT((ROW()-2)/(4*3*2))+2)</f>
        <v>2025-01</v>
      </c>
      <c r="B3" t="str">
        <f>INDEX(Dim_Benefit!A:A, MOD(INT((ROW()-2)/(3*2)),4)+2)</f>
        <v>Health</v>
      </c>
      <c r="C3" t="str">
        <f>INDEX(Dim_Region!A:A,MOD(INT((ROW()-2)/2),3)+2)</f>
        <v>ON</v>
      </c>
      <c r="D3" t="str">
        <f>INDEX(Dim_Class!A:A,MOD(ROW()-2,2)+2)</f>
        <v>B</v>
      </c>
      <c r="E3">
        <f>COUNTIFS(Census!B:B,Experience_12m!C3,Census!C:C,Experience_12m!D3)</f>
        <v>109</v>
      </c>
      <c r="F3">
        <f>ROUND(E3*VLOOKUP(B3,assumptions!$A$3:$B$6,2,FALSE),0)</f>
        <v>16</v>
      </c>
      <c r="G3">
        <f>F3*VLOOKUP(B3,assumptions!$A$11:$B$14,2,FALSE)</f>
        <v>4000</v>
      </c>
    </row>
    <row r="4" spans="1:7" x14ac:dyDescent="0.45">
      <c r="A4" t="str">
        <f>INDEX(Dim_Month!A:A, INT((ROW()-2)/(4*3*2))+2)</f>
        <v>2025-01</v>
      </c>
      <c r="B4" t="str">
        <f>INDEX(Dim_Benefit!A:A, MOD(INT((ROW()-2)/(3*2)),4)+2)</f>
        <v>Health</v>
      </c>
      <c r="C4" t="str">
        <f>INDEX(Dim_Region!A:A,MOD(INT((ROW()-2)/2),3)+2)</f>
        <v>QC</v>
      </c>
      <c r="D4" t="str">
        <f>INDEX(Dim_Class!A:A,MOD(ROW()-2,2)+2)</f>
        <v>A</v>
      </c>
      <c r="E4">
        <f>COUNTIFS(Census!B:B,Experience_12m!C4,Census!C:C,Experience_12m!D4)</f>
        <v>62</v>
      </c>
      <c r="F4">
        <f>ROUND(E4*VLOOKUP(B4,assumptions!$A$3:$B$6,2,FALSE),0)</f>
        <v>9</v>
      </c>
      <c r="G4">
        <f>F4*VLOOKUP(B4,assumptions!$A$11:$B$14,2,FALSE)</f>
        <v>2250</v>
      </c>
    </row>
    <row r="5" spans="1:7" x14ac:dyDescent="0.45">
      <c r="A5" t="str">
        <f>INDEX(Dim_Month!A:A, INT((ROW()-2)/(4*3*2))+2)</f>
        <v>2025-01</v>
      </c>
      <c r="B5" t="str">
        <f>INDEX(Dim_Benefit!A:A, MOD(INT((ROW()-2)/(3*2)),4)+2)</f>
        <v>Health</v>
      </c>
      <c r="C5" t="str">
        <f>INDEX(Dim_Region!A:A,MOD(INT((ROW()-2)/2),3)+2)</f>
        <v>QC</v>
      </c>
      <c r="D5" t="str">
        <f>INDEX(Dim_Class!A:A,MOD(ROW()-2,2)+2)</f>
        <v>B</v>
      </c>
      <c r="E5">
        <f>COUNTIFS(Census!B:B,Experience_12m!C5,Census!C:C,Experience_12m!D5)</f>
        <v>31</v>
      </c>
      <c r="F5">
        <f>ROUND(E5*VLOOKUP(B5,assumptions!$A$3:$B$6,2,FALSE),0)</f>
        <v>5</v>
      </c>
      <c r="G5">
        <f>F5*VLOOKUP(B5,assumptions!$A$11:$B$14,2,FALSE)</f>
        <v>1250</v>
      </c>
    </row>
    <row r="6" spans="1:7" x14ac:dyDescent="0.45">
      <c r="A6" t="str">
        <f>INDEX(Dim_Month!A:A, INT((ROW()-2)/(4*3*2))+2)</f>
        <v>2025-01</v>
      </c>
      <c r="B6" t="str">
        <f>INDEX(Dim_Benefit!A:A, MOD(INT((ROW()-2)/(3*2)),4)+2)</f>
        <v>Health</v>
      </c>
      <c r="C6" t="str">
        <f>INDEX(Dim_Region!A:A,MOD(INT((ROW()-2)/2),3)+2)</f>
        <v>BC</v>
      </c>
      <c r="D6" t="str">
        <f>INDEX(Dim_Class!A:A,MOD(ROW()-2,2)+2)</f>
        <v>A</v>
      </c>
      <c r="E6">
        <f>COUNTIFS(Census!B:B,Experience_12m!C6,Census!C:C,Experience_12m!D6)</f>
        <v>72</v>
      </c>
      <c r="F6">
        <f>ROUND(E6*VLOOKUP(B6,assumptions!$A$3:$B$6,2,FALSE),0)</f>
        <v>11</v>
      </c>
      <c r="G6">
        <f>F6*VLOOKUP(B6,assumptions!$A$11:$B$14,2,FALSE)</f>
        <v>2750</v>
      </c>
    </row>
    <row r="7" spans="1:7" x14ac:dyDescent="0.45">
      <c r="A7" t="str">
        <f>INDEX(Dim_Month!A:A, INT((ROW()-2)/(4*3*2))+2)</f>
        <v>2025-01</v>
      </c>
      <c r="B7" t="str">
        <f>INDEX(Dim_Benefit!A:A, MOD(INT((ROW()-2)/(3*2)),4)+2)</f>
        <v>Health</v>
      </c>
      <c r="C7" t="str">
        <f>INDEX(Dim_Region!A:A,MOD(INT((ROW()-2)/2),3)+2)</f>
        <v>BC</v>
      </c>
      <c r="D7" t="str">
        <f>INDEX(Dim_Class!A:A,MOD(ROW()-2,2)+2)</f>
        <v>B</v>
      </c>
      <c r="E7">
        <f>COUNTIFS(Census!B:B,Experience_12m!C7,Census!C:C,Experience_12m!D7)</f>
        <v>46</v>
      </c>
      <c r="F7">
        <f>ROUND(E7*VLOOKUP(B7,assumptions!$A$3:$B$6,2,FALSE),0)</f>
        <v>7</v>
      </c>
      <c r="G7">
        <f>F7*VLOOKUP(B7,assumptions!$A$11:$B$14,2,FALSE)</f>
        <v>1750</v>
      </c>
    </row>
    <row r="8" spans="1:7" x14ac:dyDescent="0.45">
      <c r="A8" t="str">
        <f>INDEX(Dim_Month!A:A, INT((ROW()-2)/(4*3*2))+2)</f>
        <v>2025-01</v>
      </c>
      <c r="B8" t="str">
        <f>INDEX(Dim_Benefit!A:A, MOD(INT((ROW()-2)/(3*2)),4)+2)</f>
        <v>Dental</v>
      </c>
      <c r="C8" t="str">
        <f>INDEX(Dim_Region!A:A,MOD(INT((ROW()-2)/2),3)+2)</f>
        <v>ON</v>
      </c>
      <c r="D8" t="str">
        <f>INDEX(Dim_Class!A:A,MOD(ROW()-2,2)+2)</f>
        <v>A</v>
      </c>
      <c r="E8">
        <f>COUNTIFS(Census!B:B,Experience_12m!C8,Census!C:C,Experience_12m!D8)</f>
        <v>180</v>
      </c>
      <c r="F8">
        <f>ROUND(E8*VLOOKUP(B8,assumptions!$A$3:$B$6,2,FALSE),0)</f>
        <v>18</v>
      </c>
      <c r="G8">
        <f>F8*VLOOKUP(B8,assumptions!$A$11:$B$14,2,FALSE)</f>
        <v>3240</v>
      </c>
    </row>
    <row r="9" spans="1:7" x14ac:dyDescent="0.45">
      <c r="A9" t="str">
        <f>INDEX(Dim_Month!A:A, INT((ROW()-2)/(4*3*2))+2)</f>
        <v>2025-01</v>
      </c>
      <c r="B9" t="str">
        <f>INDEX(Dim_Benefit!A:A, MOD(INT((ROW()-2)/(3*2)),4)+2)</f>
        <v>Dental</v>
      </c>
      <c r="C9" t="str">
        <f>INDEX(Dim_Region!A:A,MOD(INT((ROW()-2)/2),3)+2)</f>
        <v>ON</v>
      </c>
      <c r="D9" t="str">
        <f>INDEX(Dim_Class!A:A,MOD(ROW()-2,2)+2)</f>
        <v>B</v>
      </c>
      <c r="E9">
        <f>COUNTIFS(Census!B:B,Experience_12m!C9,Census!C:C,Experience_12m!D9)</f>
        <v>109</v>
      </c>
      <c r="F9">
        <f>ROUND(E9*VLOOKUP(B9,assumptions!$A$3:$B$6,2,FALSE),0)</f>
        <v>11</v>
      </c>
      <c r="G9">
        <f>F9*VLOOKUP(B9,assumptions!$A$11:$B$14,2,FALSE)</f>
        <v>1980</v>
      </c>
    </row>
    <row r="10" spans="1:7" x14ac:dyDescent="0.45">
      <c r="A10" t="str">
        <f>INDEX(Dim_Month!A:A, INT((ROW()-2)/(4*3*2))+2)</f>
        <v>2025-01</v>
      </c>
      <c r="B10" t="str">
        <f>INDEX(Dim_Benefit!A:A, MOD(INT((ROW()-2)/(3*2)),4)+2)</f>
        <v>Dental</v>
      </c>
      <c r="C10" t="str">
        <f>INDEX(Dim_Region!A:A,MOD(INT((ROW()-2)/2),3)+2)</f>
        <v>QC</v>
      </c>
      <c r="D10" t="str">
        <f>INDEX(Dim_Class!A:A,MOD(ROW()-2,2)+2)</f>
        <v>A</v>
      </c>
      <c r="E10">
        <f>COUNTIFS(Census!B:B,Experience_12m!C10,Census!C:C,Experience_12m!D10)</f>
        <v>62</v>
      </c>
      <c r="F10">
        <f>ROUND(E10*VLOOKUP(B10,assumptions!$A$3:$B$6,2,FALSE),0)</f>
        <v>6</v>
      </c>
      <c r="G10">
        <f>F10*VLOOKUP(B10,assumptions!$A$11:$B$14,2,FALSE)</f>
        <v>1080</v>
      </c>
    </row>
    <row r="11" spans="1:7" x14ac:dyDescent="0.45">
      <c r="A11" t="str">
        <f>INDEX(Dim_Month!A:A, INT((ROW()-2)/(4*3*2))+2)</f>
        <v>2025-01</v>
      </c>
      <c r="B11" t="str">
        <f>INDEX(Dim_Benefit!A:A, MOD(INT((ROW()-2)/(3*2)),4)+2)</f>
        <v>Dental</v>
      </c>
      <c r="C11" t="str">
        <f>INDEX(Dim_Region!A:A,MOD(INT((ROW()-2)/2),3)+2)</f>
        <v>QC</v>
      </c>
      <c r="D11" t="str">
        <f>INDEX(Dim_Class!A:A,MOD(ROW()-2,2)+2)</f>
        <v>B</v>
      </c>
      <c r="E11">
        <f>COUNTIFS(Census!B:B,Experience_12m!C11,Census!C:C,Experience_12m!D11)</f>
        <v>31</v>
      </c>
      <c r="F11">
        <f>ROUND(E11*VLOOKUP(B11,assumptions!$A$3:$B$6,2,FALSE),0)</f>
        <v>3</v>
      </c>
      <c r="G11">
        <f>F11*VLOOKUP(B11,assumptions!$A$11:$B$14,2,FALSE)</f>
        <v>540</v>
      </c>
    </row>
    <row r="12" spans="1:7" x14ac:dyDescent="0.45">
      <c r="A12" t="str">
        <f>INDEX(Dim_Month!A:A, INT((ROW()-2)/(4*3*2))+2)</f>
        <v>2025-01</v>
      </c>
      <c r="B12" t="str">
        <f>INDEX(Dim_Benefit!A:A, MOD(INT((ROW()-2)/(3*2)),4)+2)</f>
        <v>Dental</v>
      </c>
      <c r="C12" t="str">
        <f>INDEX(Dim_Region!A:A,MOD(INT((ROW()-2)/2),3)+2)</f>
        <v>BC</v>
      </c>
      <c r="D12" t="str">
        <f>INDEX(Dim_Class!A:A,MOD(ROW()-2,2)+2)</f>
        <v>A</v>
      </c>
      <c r="E12">
        <f>COUNTIFS(Census!B:B,Experience_12m!C12,Census!C:C,Experience_12m!D12)</f>
        <v>72</v>
      </c>
      <c r="F12">
        <f>ROUND(E12*VLOOKUP(B12,assumptions!$A$3:$B$6,2,FALSE),0)</f>
        <v>7</v>
      </c>
      <c r="G12">
        <f>F12*VLOOKUP(B12,assumptions!$A$11:$B$14,2,FALSE)</f>
        <v>1260</v>
      </c>
    </row>
    <row r="13" spans="1:7" x14ac:dyDescent="0.45">
      <c r="A13" t="str">
        <f>INDEX(Dim_Month!A:A, INT((ROW()-2)/(4*3*2))+2)</f>
        <v>2025-01</v>
      </c>
      <c r="B13" t="str">
        <f>INDEX(Dim_Benefit!A:A, MOD(INT((ROW()-2)/(3*2)),4)+2)</f>
        <v>Dental</v>
      </c>
      <c r="C13" t="str">
        <f>INDEX(Dim_Region!A:A,MOD(INT((ROW()-2)/2),3)+2)</f>
        <v>BC</v>
      </c>
      <c r="D13" t="str">
        <f>INDEX(Dim_Class!A:A,MOD(ROW()-2,2)+2)</f>
        <v>B</v>
      </c>
      <c r="E13">
        <f>COUNTIFS(Census!B:B,Experience_12m!C13,Census!C:C,Experience_12m!D13)</f>
        <v>46</v>
      </c>
      <c r="F13">
        <f>ROUND(E13*VLOOKUP(B13,assumptions!$A$3:$B$6,2,FALSE),0)</f>
        <v>5</v>
      </c>
      <c r="G13">
        <f>F13*VLOOKUP(B13,assumptions!$A$11:$B$14,2,FALSE)</f>
        <v>900</v>
      </c>
    </row>
    <row r="14" spans="1:7" x14ac:dyDescent="0.45">
      <c r="A14" t="str">
        <f>INDEX(Dim_Month!A:A, INT((ROW()-2)/(4*3*2))+2)</f>
        <v>2025-01</v>
      </c>
      <c r="B14" t="str">
        <f>INDEX(Dim_Benefit!A:A, MOD(INT((ROW()-2)/(3*2)),4)+2)</f>
        <v>STD</v>
      </c>
      <c r="C14" t="str">
        <f>INDEX(Dim_Region!A:A,MOD(INT((ROW()-2)/2),3)+2)</f>
        <v>ON</v>
      </c>
      <c r="D14" t="str">
        <f>INDEX(Dim_Class!A:A,MOD(ROW()-2,2)+2)</f>
        <v>A</v>
      </c>
      <c r="E14">
        <f>COUNTIFS(Census!B:B,Experience_12m!C14,Census!C:C,Experience_12m!D14)</f>
        <v>180</v>
      </c>
      <c r="F14">
        <f>ROUND(E14*VLOOKUP(B14,assumptions!$A$3:$B$6,2,FALSE),0)</f>
        <v>2</v>
      </c>
      <c r="G14">
        <f>F14*VLOOKUP(B14,assumptions!$A$11:$B$14,2,FALSE)</f>
        <v>2400</v>
      </c>
    </row>
    <row r="15" spans="1:7" x14ac:dyDescent="0.45">
      <c r="A15" t="str">
        <f>INDEX(Dim_Month!A:A, INT((ROW()-2)/(4*3*2))+2)</f>
        <v>2025-01</v>
      </c>
      <c r="B15" t="str">
        <f>INDEX(Dim_Benefit!A:A, MOD(INT((ROW()-2)/(3*2)),4)+2)</f>
        <v>STD</v>
      </c>
      <c r="C15" t="str">
        <f>INDEX(Dim_Region!A:A,MOD(INT((ROW()-2)/2),3)+2)</f>
        <v>ON</v>
      </c>
      <c r="D15" t="str">
        <f>INDEX(Dim_Class!A:A,MOD(ROW()-2,2)+2)</f>
        <v>B</v>
      </c>
      <c r="E15">
        <f>COUNTIFS(Census!B:B,Experience_12m!C15,Census!C:C,Experience_12m!D15)</f>
        <v>109</v>
      </c>
      <c r="F15">
        <f>ROUND(E15*VLOOKUP(B15,assumptions!$A$3:$B$6,2,FALSE),0)</f>
        <v>1</v>
      </c>
      <c r="G15">
        <f>F15*VLOOKUP(B15,assumptions!$A$11:$B$14,2,FALSE)</f>
        <v>1200</v>
      </c>
    </row>
    <row r="16" spans="1:7" x14ac:dyDescent="0.45">
      <c r="A16" t="str">
        <f>INDEX(Dim_Month!A:A, INT((ROW()-2)/(4*3*2))+2)</f>
        <v>2025-01</v>
      </c>
      <c r="B16" t="str">
        <f>INDEX(Dim_Benefit!A:A, MOD(INT((ROW()-2)/(3*2)),4)+2)</f>
        <v>STD</v>
      </c>
      <c r="C16" t="str">
        <f>INDEX(Dim_Region!A:A,MOD(INT((ROW()-2)/2),3)+2)</f>
        <v>QC</v>
      </c>
      <c r="D16" t="str">
        <f>INDEX(Dim_Class!A:A,MOD(ROW()-2,2)+2)</f>
        <v>A</v>
      </c>
      <c r="E16">
        <f>COUNTIFS(Census!B:B,Experience_12m!C16,Census!C:C,Experience_12m!D16)</f>
        <v>62</v>
      </c>
      <c r="F16">
        <f>ROUND(E16*VLOOKUP(B16,assumptions!$A$3:$B$6,2,FALSE),0)</f>
        <v>1</v>
      </c>
      <c r="G16">
        <f>F16*VLOOKUP(B16,assumptions!$A$11:$B$14,2,FALSE)</f>
        <v>1200</v>
      </c>
    </row>
    <row r="17" spans="1:7" x14ac:dyDescent="0.45">
      <c r="A17" t="str">
        <f>INDEX(Dim_Month!A:A, INT((ROW()-2)/(4*3*2))+2)</f>
        <v>2025-01</v>
      </c>
      <c r="B17" t="str">
        <f>INDEX(Dim_Benefit!A:A, MOD(INT((ROW()-2)/(3*2)),4)+2)</f>
        <v>STD</v>
      </c>
      <c r="C17" t="str">
        <f>INDEX(Dim_Region!A:A,MOD(INT((ROW()-2)/2),3)+2)</f>
        <v>QC</v>
      </c>
      <c r="D17" t="str">
        <f>INDEX(Dim_Class!A:A,MOD(ROW()-2,2)+2)</f>
        <v>B</v>
      </c>
      <c r="E17">
        <f>COUNTIFS(Census!B:B,Experience_12m!C17,Census!C:C,Experience_12m!D17)</f>
        <v>31</v>
      </c>
      <c r="F17">
        <f>ROUND(E17*VLOOKUP(B17,assumptions!$A$3:$B$6,2,FALSE),0)</f>
        <v>0</v>
      </c>
      <c r="G17">
        <f>F17*VLOOKUP(B17,assumptions!$A$11:$B$14,2,FALSE)</f>
        <v>0</v>
      </c>
    </row>
    <row r="18" spans="1:7" x14ac:dyDescent="0.45">
      <c r="A18" t="str">
        <f>INDEX(Dim_Month!A:A, INT((ROW()-2)/(4*3*2))+2)</f>
        <v>2025-01</v>
      </c>
      <c r="B18" t="str">
        <f>INDEX(Dim_Benefit!A:A, MOD(INT((ROW()-2)/(3*2)),4)+2)</f>
        <v>STD</v>
      </c>
      <c r="C18" t="str">
        <f>INDEX(Dim_Region!A:A,MOD(INT((ROW()-2)/2),3)+2)</f>
        <v>BC</v>
      </c>
      <c r="D18" t="str">
        <f>INDEX(Dim_Class!A:A,MOD(ROW()-2,2)+2)</f>
        <v>A</v>
      </c>
      <c r="E18">
        <f>COUNTIFS(Census!B:B,Experience_12m!C18,Census!C:C,Experience_12m!D18)</f>
        <v>72</v>
      </c>
      <c r="F18">
        <f>ROUND(E18*VLOOKUP(B18,assumptions!$A$3:$B$6,2,FALSE),0)</f>
        <v>1</v>
      </c>
      <c r="G18">
        <f>F18*VLOOKUP(B18,assumptions!$A$11:$B$14,2,FALSE)</f>
        <v>1200</v>
      </c>
    </row>
    <row r="19" spans="1:7" x14ac:dyDescent="0.45">
      <c r="A19" t="str">
        <f>INDEX(Dim_Month!A:A, INT((ROW()-2)/(4*3*2))+2)</f>
        <v>2025-01</v>
      </c>
      <c r="B19" t="str">
        <f>INDEX(Dim_Benefit!A:A, MOD(INT((ROW()-2)/(3*2)),4)+2)</f>
        <v>STD</v>
      </c>
      <c r="C19" t="str">
        <f>INDEX(Dim_Region!A:A,MOD(INT((ROW()-2)/2),3)+2)</f>
        <v>BC</v>
      </c>
      <c r="D19" t="str">
        <f>INDEX(Dim_Class!A:A,MOD(ROW()-2,2)+2)</f>
        <v>B</v>
      </c>
      <c r="E19">
        <f>COUNTIFS(Census!B:B,Experience_12m!C19,Census!C:C,Experience_12m!D19)</f>
        <v>46</v>
      </c>
      <c r="F19">
        <f>ROUND(E19*VLOOKUP(B19,assumptions!$A$3:$B$6,2,FALSE),0)</f>
        <v>0</v>
      </c>
      <c r="G19">
        <f>F19*VLOOKUP(B19,assumptions!$A$11:$B$14,2,FALSE)</f>
        <v>0</v>
      </c>
    </row>
    <row r="20" spans="1:7" x14ac:dyDescent="0.45">
      <c r="A20" t="str">
        <f>INDEX(Dim_Month!A:A, INT((ROW()-2)/(4*3*2))+2)</f>
        <v>2025-01</v>
      </c>
      <c r="B20" t="str">
        <f>INDEX(Dim_Benefit!A:A, MOD(INT((ROW()-2)/(3*2)),4)+2)</f>
        <v>LTD</v>
      </c>
      <c r="C20" t="str">
        <f>INDEX(Dim_Region!A:A,MOD(INT((ROW()-2)/2),3)+2)</f>
        <v>ON</v>
      </c>
      <c r="D20" t="str">
        <f>INDEX(Dim_Class!A:A,MOD(ROW()-2,2)+2)</f>
        <v>A</v>
      </c>
      <c r="E20">
        <f>COUNTIFS(Census!B:B,Experience_12m!C20,Census!C:C,Experience_12m!D20)</f>
        <v>180</v>
      </c>
      <c r="F20">
        <f>ROUND(E20*VLOOKUP(B20,assumptions!$A$3:$B$6,2,FALSE),0)</f>
        <v>1</v>
      </c>
      <c r="G20">
        <f>F20*VLOOKUP(B20,assumptions!$A$11:$B$14,2,FALSE)</f>
        <v>6000</v>
      </c>
    </row>
    <row r="21" spans="1:7" x14ac:dyDescent="0.45">
      <c r="A21" t="str">
        <f>INDEX(Dim_Month!A:A, INT((ROW()-2)/(4*3*2))+2)</f>
        <v>2025-01</v>
      </c>
      <c r="B21" t="str">
        <f>INDEX(Dim_Benefit!A:A, MOD(INT((ROW()-2)/(3*2)),4)+2)</f>
        <v>LTD</v>
      </c>
      <c r="C21" t="str">
        <f>INDEX(Dim_Region!A:A,MOD(INT((ROW()-2)/2),3)+2)</f>
        <v>ON</v>
      </c>
      <c r="D21" t="str">
        <f>INDEX(Dim_Class!A:A,MOD(ROW()-2,2)+2)</f>
        <v>B</v>
      </c>
      <c r="E21">
        <f>COUNTIFS(Census!B:B,Experience_12m!C21,Census!C:C,Experience_12m!D21)</f>
        <v>109</v>
      </c>
      <c r="F21">
        <f>ROUND(E21*VLOOKUP(B21,assumptions!$A$3:$B$6,2,FALSE),0)</f>
        <v>0</v>
      </c>
      <c r="G21">
        <f>F21*VLOOKUP(B21,assumptions!$A$11:$B$14,2,FALSE)</f>
        <v>0</v>
      </c>
    </row>
    <row r="22" spans="1:7" x14ac:dyDescent="0.45">
      <c r="A22" t="str">
        <f>INDEX(Dim_Month!A:A, INT((ROW()-2)/(4*3*2))+2)</f>
        <v>2025-01</v>
      </c>
      <c r="B22" t="str">
        <f>INDEX(Dim_Benefit!A:A, MOD(INT((ROW()-2)/(3*2)),4)+2)</f>
        <v>LTD</v>
      </c>
      <c r="C22" t="str">
        <f>INDEX(Dim_Region!A:A,MOD(INT((ROW()-2)/2),3)+2)</f>
        <v>QC</v>
      </c>
      <c r="D22" t="str">
        <f>INDEX(Dim_Class!A:A,MOD(ROW()-2,2)+2)</f>
        <v>A</v>
      </c>
      <c r="E22">
        <f>COUNTIFS(Census!B:B,Experience_12m!C22,Census!C:C,Experience_12m!D22)</f>
        <v>62</v>
      </c>
      <c r="F22">
        <f>ROUND(E22*VLOOKUP(B22,assumptions!$A$3:$B$6,2,FALSE),0)</f>
        <v>0</v>
      </c>
      <c r="G22">
        <f>F22*VLOOKUP(B22,assumptions!$A$11:$B$14,2,FALSE)</f>
        <v>0</v>
      </c>
    </row>
    <row r="23" spans="1:7" x14ac:dyDescent="0.45">
      <c r="A23" t="str">
        <f>INDEX(Dim_Month!A:A, INT((ROW()-2)/(4*3*2))+2)</f>
        <v>2025-01</v>
      </c>
      <c r="B23" t="str">
        <f>INDEX(Dim_Benefit!A:A, MOD(INT((ROW()-2)/(3*2)),4)+2)</f>
        <v>LTD</v>
      </c>
      <c r="C23" t="str">
        <f>INDEX(Dim_Region!A:A,MOD(INT((ROW()-2)/2),3)+2)</f>
        <v>QC</v>
      </c>
      <c r="D23" t="str">
        <f>INDEX(Dim_Class!A:A,MOD(ROW()-2,2)+2)</f>
        <v>B</v>
      </c>
      <c r="E23">
        <f>COUNTIFS(Census!B:B,Experience_12m!C23,Census!C:C,Experience_12m!D23)</f>
        <v>31</v>
      </c>
      <c r="F23">
        <f>ROUND(E23*VLOOKUP(B23,assumptions!$A$3:$B$6,2,FALSE),0)</f>
        <v>0</v>
      </c>
      <c r="G23">
        <f>F23*VLOOKUP(B23,assumptions!$A$11:$B$14,2,FALSE)</f>
        <v>0</v>
      </c>
    </row>
    <row r="24" spans="1:7" x14ac:dyDescent="0.45">
      <c r="A24" t="str">
        <f>INDEX(Dim_Month!A:A, INT((ROW()-2)/(4*3*2))+2)</f>
        <v>2025-01</v>
      </c>
      <c r="B24" t="str">
        <f>INDEX(Dim_Benefit!A:A, MOD(INT((ROW()-2)/(3*2)),4)+2)</f>
        <v>LTD</v>
      </c>
      <c r="C24" t="str">
        <f>INDEX(Dim_Region!A:A,MOD(INT((ROW()-2)/2),3)+2)</f>
        <v>BC</v>
      </c>
      <c r="D24" t="str">
        <f>INDEX(Dim_Class!A:A,MOD(ROW()-2,2)+2)</f>
        <v>A</v>
      </c>
      <c r="E24">
        <f>COUNTIFS(Census!B:B,Experience_12m!C24,Census!C:C,Experience_12m!D24)</f>
        <v>72</v>
      </c>
      <c r="F24">
        <f>ROUND(E24*VLOOKUP(B24,assumptions!$A$3:$B$6,2,FALSE),0)</f>
        <v>0</v>
      </c>
      <c r="G24">
        <f>F24*VLOOKUP(B24,assumptions!$A$11:$B$14,2,FALSE)</f>
        <v>0</v>
      </c>
    </row>
    <row r="25" spans="1:7" x14ac:dyDescent="0.45">
      <c r="A25" t="str">
        <f>INDEX(Dim_Month!A:A, INT((ROW()-2)/(4*3*2))+2)</f>
        <v>2025-01</v>
      </c>
      <c r="B25" t="str">
        <f>INDEX(Dim_Benefit!A:A, MOD(INT((ROW()-2)/(3*2)),4)+2)</f>
        <v>LTD</v>
      </c>
      <c r="C25" t="str">
        <f>INDEX(Dim_Region!A:A,MOD(INT((ROW()-2)/2),3)+2)</f>
        <v>BC</v>
      </c>
      <c r="D25" t="str">
        <f>INDEX(Dim_Class!A:A,MOD(ROW()-2,2)+2)</f>
        <v>B</v>
      </c>
      <c r="E25">
        <f>COUNTIFS(Census!B:B,Experience_12m!C25,Census!C:C,Experience_12m!D25)</f>
        <v>46</v>
      </c>
      <c r="F25">
        <f>ROUND(E25*VLOOKUP(B25,assumptions!$A$3:$B$6,2,FALSE),0)</f>
        <v>0</v>
      </c>
      <c r="G25">
        <f>F25*VLOOKUP(B25,assumptions!$A$11:$B$14,2,FALSE)</f>
        <v>0</v>
      </c>
    </row>
    <row r="26" spans="1:7" x14ac:dyDescent="0.45">
      <c r="A26" t="str">
        <f>INDEX(Dim_Month!A:A, INT((ROW()-2)/(4*3*2))+2)</f>
        <v>2025-02</v>
      </c>
      <c r="B26" t="str">
        <f>INDEX(Dim_Benefit!A:A, MOD(INT((ROW()-2)/(3*2)),4)+2)</f>
        <v>Health</v>
      </c>
      <c r="C26" t="str">
        <f>INDEX(Dim_Region!A:A,MOD(INT((ROW()-2)/2),3)+2)</f>
        <v>ON</v>
      </c>
      <c r="D26" t="str">
        <f>INDEX(Dim_Class!A:A,MOD(ROW()-2,2)+2)</f>
        <v>A</v>
      </c>
      <c r="E26">
        <f>COUNTIFS(Census!B:B,Experience_12m!C26,Census!C:C,Experience_12m!D26)</f>
        <v>180</v>
      </c>
      <c r="F26">
        <f>ROUND(E26*VLOOKUP(B26,assumptions!$A$3:$B$6,2,FALSE),0)</f>
        <v>27</v>
      </c>
      <c r="G26">
        <f>F26*VLOOKUP(B26,assumptions!$A$11:$B$14,2,FALSE)</f>
        <v>6750</v>
      </c>
    </row>
    <row r="27" spans="1:7" x14ac:dyDescent="0.45">
      <c r="A27" t="str">
        <f>INDEX(Dim_Month!A:A, INT((ROW()-2)/(4*3*2))+2)</f>
        <v>2025-02</v>
      </c>
      <c r="B27" t="str">
        <f>INDEX(Dim_Benefit!A:A, MOD(INT((ROW()-2)/(3*2)),4)+2)</f>
        <v>Health</v>
      </c>
      <c r="C27" t="str">
        <f>INDEX(Dim_Region!A:A,MOD(INT((ROW()-2)/2),3)+2)</f>
        <v>ON</v>
      </c>
      <c r="D27" t="str">
        <f>INDEX(Dim_Class!A:A,MOD(ROW()-2,2)+2)</f>
        <v>B</v>
      </c>
      <c r="E27">
        <f>COUNTIFS(Census!B:B,Experience_12m!C27,Census!C:C,Experience_12m!D27)</f>
        <v>109</v>
      </c>
      <c r="F27">
        <f>ROUND(E27*VLOOKUP(B27,assumptions!$A$3:$B$6,2,FALSE),0)</f>
        <v>16</v>
      </c>
      <c r="G27">
        <f>F27*VLOOKUP(B27,assumptions!$A$11:$B$14,2,FALSE)</f>
        <v>4000</v>
      </c>
    </row>
    <row r="28" spans="1:7" x14ac:dyDescent="0.45">
      <c r="A28" t="str">
        <f>INDEX(Dim_Month!A:A, INT((ROW()-2)/(4*3*2))+2)</f>
        <v>2025-02</v>
      </c>
      <c r="B28" t="str">
        <f>INDEX(Dim_Benefit!A:A, MOD(INT((ROW()-2)/(3*2)),4)+2)</f>
        <v>Health</v>
      </c>
      <c r="C28" t="str">
        <f>INDEX(Dim_Region!A:A,MOD(INT((ROW()-2)/2),3)+2)</f>
        <v>QC</v>
      </c>
      <c r="D28" t="str">
        <f>INDEX(Dim_Class!A:A,MOD(ROW()-2,2)+2)</f>
        <v>A</v>
      </c>
      <c r="E28">
        <f>COUNTIFS(Census!B:B,Experience_12m!C28,Census!C:C,Experience_12m!D28)</f>
        <v>62</v>
      </c>
      <c r="F28">
        <f>ROUND(E28*VLOOKUP(B28,assumptions!$A$3:$B$6,2,FALSE),0)</f>
        <v>9</v>
      </c>
      <c r="G28">
        <f>F28*VLOOKUP(B28,assumptions!$A$11:$B$14,2,FALSE)</f>
        <v>2250</v>
      </c>
    </row>
    <row r="29" spans="1:7" x14ac:dyDescent="0.45">
      <c r="A29" t="str">
        <f>INDEX(Dim_Month!A:A, INT((ROW()-2)/(4*3*2))+2)</f>
        <v>2025-02</v>
      </c>
      <c r="B29" t="str">
        <f>INDEX(Dim_Benefit!A:A, MOD(INT((ROW()-2)/(3*2)),4)+2)</f>
        <v>Health</v>
      </c>
      <c r="C29" t="str">
        <f>INDEX(Dim_Region!A:A,MOD(INT((ROW()-2)/2),3)+2)</f>
        <v>QC</v>
      </c>
      <c r="D29" t="str">
        <f>INDEX(Dim_Class!A:A,MOD(ROW()-2,2)+2)</f>
        <v>B</v>
      </c>
      <c r="E29">
        <f>COUNTIFS(Census!B:B,Experience_12m!C29,Census!C:C,Experience_12m!D29)</f>
        <v>31</v>
      </c>
      <c r="F29">
        <f>ROUND(E29*VLOOKUP(B29,assumptions!$A$3:$B$6,2,FALSE),0)</f>
        <v>5</v>
      </c>
      <c r="G29">
        <f>F29*VLOOKUP(B29,assumptions!$A$11:$B$14,2,FALSE)</f>
        <v>1250</v>
      </c>
    </row>
    <row r="30" spans="1:7" x14ac:dyDescent="0.45">
      <c r="A30" t="str">
        <f>INDEX(Dim_Month!A:A, INT((ROW()-2)/(4*3*2))+2)</f>
        <v>2025-02</v>
      </c>
      <c r="B30" t="str">
        <f>INDEX(Dim_Benefit!A:A, MOD(INT((ROW()-2)/(3*2)),4)+2)</f>
        <v>Health</v>
      </c>
      <c r="C30" t="str">
        <f>INDEX(Dim_Region!A:A,MOD(INT((ROW()-2)/2),3)+2)</f>
        <v>BC</v>
      </c>
      <c r="D30" t="str">
        <f>INDEX(Dim_Class!A:A,MOD(ROW()-2,2)+2)</f>
        <v>A</v>
      </c>
      <c r="E30">
        <f>COUNTIFS(Census!B:B,Experience_12m!C30,Census!C:C,Experience_12m!D30)</f>
        <v>72</v>
      </c>
      <c r="F30">
        <f>ROUND(E30*VLOOKUP(B30,assumptions!$A$3:$B$6,2,FALSE),0)</f>
        <v>11</v>
      </c>
      <c r="G30">
        <f>F30*VLOOKUP(B30,assumptions!$A$11:$B$14,2,FALSE)</f>
        <v>2750</v>
      </c>
    </row>
    <row r="31" spans="1:7" x14ac:dyDescent="0.45">
      <c r="A31" t="str">
        <f>INDEX(Dim_Month!A:A, INT((ROW()-2)/(4*3*2))+2)</f>
        <v>2025-02</v>
      </c>
      <c r="B31" t="str">
        <f>INDEX(Dim_Benefit!A:A, MOD(INT((ROW()-2)/(3*2)),4)+2)</f>
        <v>Health</v>
      </c>
      <c r="C31" t="str">
        <f>INDEX(Dim_Region!A:A,MOD(INT((ROW()-2)/2),3)+2)</f>
        <v>BC</v>
      </c>
      <c r="D31" t="str">
        <f>INDEX(Dim_Class!A:A,MOD(ROW()-2,2)+2)</f>
        <v>B</v>
      </c>
      <c r="E31">
        <f>COUNTIFS(Census!B:B,Experience_12m!C31,Census!C:C,Experience_12m!D31)</f>
        <v>46</v>
      </c>
      <c r="F31">
        <f>ROUND(E31*VLOOKUP(B31,assumptions!$A$3:$B$6,2,FALSE),0)</f>
        <v>7</v>
      </c>
      <c r="G31">
        <f>F31*VLOOKUP(B31,assumptions!$A$11:$B$14,2,FALSE)</f>
        <v>1750</v>
      </c>
    </row>
    <row r="32" spans="1:7" x14ac:dyDescent="0.45">
      <c r="A32" t="str">
        <f>INDEX(Dim_Month!A:A, INT((ROW()-2)/(4*3*2))+2)</f>
        <v>2025-02</v>
      </c>
      <c r="B32" t="str">
        <f>INDEX(Dim_Benefit!A:A, MOD(INT((ROW()-2)/(3*2)),4)+2)</f>
        <v>Dental</v>
      </c>
      <c r="C32" t="str">
        <f>INDEX(Dim_Region!A:A,MOD(INT((ROW()-2)/2),3)+2)</f>
        <v>ON</v>
      </c>
      <c r="D32" t="str">
        <f>INDEX(Dim_Class!A:A,MOD(ROW()-2,2)+2)</f>
        <v>A</v>
      </c>
      <c r="E32">
        <f>COUNTIFS(Census!B:B,Experience_12m!C32,Census!C:C,Experience_12m!D32)</f>
        <v>180</v>
      </c>
      <c r="F32">
        <f>ROUND(E32*VLOOKUP(B32,assumptions!$A$3:$B$6,2,FALSE),0)</f>
        <v>18</v>
      </c>
      <c r="G32">
        <f>F32*VLOOKUP(B32,assumptions!$A$11:$B$14,2,FALSE)</f>
        <v>3240</v>
      </c>
    </row>
    <row r="33" spans="1:7" x14ac:dyDescent="0.45">
      <c r="A33" t="str">
        <f>INDEX(Dim_Month!A:A, INT((ROW()-2)/(4*3*2))+2)</f>
        <v>2025-02</v>
      </c>
      <c r="B33" t="str">
        <f>INDEX(Dim_Benefit!A:A, MOD(INT((ROW()-2)/(3*2)),4)+2)</f>
        <v>Dental</v>
      </c>
      <c r="C33" t="str">
        <f>INDEX(Dim_Region!A:A,MOD(INT((ROW()-2)/2),3)+2)</f>
        <v>ON</v>
      </c>
      <c r="D33" t="str">
        <f>INDEX(Dim_Class!A:A,MOD(ROW()-2,2)+2)</f>
        <v>B</v>
      </c>
      <c r="E33">
        <f>COUNTIFS(Census!B:B,Experience_12m!C33,Census!C:C,Experience_12m!D33)</f>
        <v>109</v>
      </c>
      <c r="F33">
        <f>ROUND(E33*VLOOKUP(B33,assumptions!$A$3:$B$6,2,FALSE),0)</f>
        <v>11</v>
      </c>
      <c r="G33">
        <f>F33*VLOOKUP(B33,assumptions!$A$11:$B$14,2,FALSE)</f>
        <v>1980</v>
      </c>
    </row>
    <row r="34" spans="1:7" x14ac:dyDescent="0.45">
      <c r="A34" t="str">
        <f>INDEX(Dim_Month!A:A, INT((ROW()-2)/(4*3*2))+2)</f>
        <v>2025-02</v>
      </c>
      <c r="B34" t="str">
        <f>INDEX(Dim_Benefit!A:A, MOD(INT((ROW()-2)/(3*2)),4)+2)</f>
        <v>Dental</v>
      </c>
      <c r="C34" t="str">
        <f>INDEX(Dim_Region!A:A,MOD(INT((ROW()-2)/2),3)+2)</f>
        <v>QC</v>
      </c>
      <c r="D34" t="str">
        <f>INDEX(Dim_Class!A:A,MOD(ROW()-2,2)+2)</f>
        <v>A</v>
      </c>
      <c r="E34">
        <f>COUNTIFS(Census!B:B,Experience_12m!C34,Census!C:C,Experience_12m!D34)</f>
        <v>62</v>
      </c>
      <c r="F34">
        <f>ROUND(E34*VLOOKUP(B34,assumptions!$A$3:$B$6,2,FALSE),0)</f>
        <v>6</v>
      </c>
      <c r="G34">
        <f>F34*VLOOKUP(B34,assumptions!$A$11:$B$14,2,FALSE)</f>
        <v>1080</v>
      </c>
    </row>
    <row r="35" spans="1:7" x14ac:dyDescent="0.45">
      <c r="A35" t="str">
        <f>INDEX(Dim_Month!A:A, INT((ROW()-2)/(4*3*2))+2)</f>
        <v>2025-02</v>
      </c>
      <c r="B35" t="str">
        <f>INDEX(Dim_Benefit!A:A, MOD(INT((ROW()-2)/(3*2)),4)+2)</f>
        <v>Dental</v>
      </c>
      <c r="C35" t="str">
        <f>INDEX(Dim_Region!A:A,MOD(INT((ROW()-2)/2),3)+2)</f>
        <v>QC</v>
      </c>
      <c r="D35" t="str">
        <f>INDEX(Dim_Class!A:A,MOD(ROW()-2,2)+2)</f>
        <v>B</v>
      </c>
      <c r="E35">
        <f>COUNTIFS(Census!B:B,Experience_12m!C35,Census!C:C,Experience_12m!D35)</f>
        <v>31</v>
      </c>
      <c r="F35">
        <f>ROUND(E35*VLOOKUP(B35,assumptions!$A$3:$B$6,2,FALSE),0)</f>
        <v>3</v>
      </c>
      <c r="G35">
        <f>F35*VLOOKUP(B35,assumptions!$A$11:$B$14,2,FALSE)</f>
        <v>540</v>
      </c>
    </row>
    <row r="36" spans="1:7" x14ac:dyDescent="0.45">
      <c r="A36" t="str">
        <f>INDEX(Dim_Month!A:A, INT((ROW()-2)/(4*3*2))+2)</f>
        <v>2025-02</v>
      </c>
      <c r="B36" t="str">
        <f>INDEX(Dim_Benefit!A:A, MOD(INT((ROW()-2)/(3*2)),4)+2)</f>
        <v>Dental</v>
      </c>
      <c r="C36" t="str">
        <f>INDEX(Dim_Region!A:A,MOD(INT((ROW()-2)/2),3)+2)</f>
        <v>BC</v>
      </c>
      <c r="D36" t="str">
        <f>INDEX(Dim_Class!A:A,MOD(ROW()-2,2)+2)</f>
        <v>A</v>
      </c>
      <c r="E36">
        <f>COUNTIFS(Census!B:B,Experience_12m!C36,Census!C:C,Experience_12m!D36)</f>
        <v>72</v>
      </c>
      <c r="F36">
        <f>ROUND(E36*VLOOKUP(B36,assumptions!$A$3:$B$6,2,FALSE),0)</f>
        <v>7</v>
      </c>
      <c r="G36">
        <f>F36*VLOOKUP(B36,assumptions!$A$11:$B$14,2,FALSE)</f>
        <v>1260</v>
      </c>
    </row>
    <row r="37" spans="1:7" x14ac:dyDescent="0.45">
      <c r="A37" t="str">
        <f>INDEX(Dim_Month!A:A, INT((ROW()-2)/(4*3*2))+2)</f>
        <v>2025-02</v>
      </c>
      <c r="B37" t="str">
        <f>INDEX(Dim_Benefit!A:A, MOD(INT((ROW()-2)/(3*2)),4)+2)</f>
        <v>Dental</v>
      </c>
      <c r="C37" t="str">
        <f>INDEX(Dim_Region!A:A,MOD(INT((ROW()-2)/2),3)+2)</f>
        <v>BC</v>
      </c>
      <c r="D37" t="str">
        <f>INDEX(Dim_Class!A:A,MOD(ROW()-2,2)+2)</f>
        <v>B</v>
      </c>
      <c r="E37">
        <f>COUNTIFS(Census!B:B,Experience_12m!C37,Census!C:C,Experience_12m!D37)</f>
        <v>46</v>
      </c>
      <c r="F37">
        <f>ROUND(E37*VLOOKUP(B37,assumptions!$A$3:$B$6,2,FALSE),0)</f>
        <v>5</v>
      </c>
      <c r="G37">
        <f>F37*VLOOKUP(B37,assumptions!$A$11:$B$14,2,FALSE)</f>
        <v>900</v>
      </c>
    </row>
    <row r="38" spans="1:7" x14ac:dyDescent="0.45">
      <c r="A38" t="str">
        <f>INDEX(Dim_Month!A:A, INT((ROW()-2)/(4*3*2))+2)</f>
        <v>2025-02</v>
      </c>
      <c r="B38" t="str">
        <f>INDEX(Dim_Benefit!A:A, MOD(INT((ROW()-2)/(3*2)),4)+2)</f>
        <v>STD</v>
      </c>
      <c r="C38" t="str">
        <f>INDEX(Dim_Region!A:A,MOD(INT((ROW()-2)/2),3)+2)</f>
        <v>ON</v>
      </c>
      <c r="D38" t="str">
        <f>INDEX(Dim_Class!A:A,MOD(ROW()-2,2)+2)</f>
        <v>A</v>
      </c>
      <c r="E38">
        <f>COUNTIFS(Census!B:B,Experience_12m!C38,Census!C:C,Experience_12m!D38)</f>
        <v>180</v>
      </c>
      <c r="F38">
        <f>ROUND(E38*VLOOKUP(B38,assumptions!$A$3:$B$6,2,FALSE),0)</f>
        <v>2</v>
      </c>
      <c r="G38">
        <f>F38*VLOOKUP(B38,assumptions!$A$11:$B$14,2,FALSE)</f>
        <v>2400</v>
      </c>
    </row>
    <row r="39" spans="1:7" x14ac:dyDescent="0.45">
      <c r="A39" t="str">
        <f>INDEX(Dim_Month!A:A, INT((ROW()-2)/(4*3*2))+2)</f>
        <v>2025-02</v>
      </c>
      <c r="B39" t="str">
        <f>INDEX(Dim_Benefit!A:A, MOD(INT((ROW()-2)/(3*2)),4)+2)</f>
        <v>STD</v>
      </c>
      <c r="C39" t="str">
        <f>INDEX(Dim_Region!A:A,MOD(INT((ROW()-2)/2),3)+2)</f>
        <v>ON</v>
      </c>
      <c r="D39" t="str">
        <f>INDEX(Dim_Class!A:A,MOD(ROW()-2,2)+2)</f>
        <v>B</v>
      </c>
      <c r="E39">
        <f>COUNTIFS(Census!B:B,Experience_12m!C39,Census!C:C,Experience_12m!D39)</f>
        <v>109</v>
      </c>
      <c r="F39">
        <f>ROUND(E39*VLOOKUP(B39,assumptions!$A$3:$B$6,2,FALSE),0)</f>
        <v>1</v>
      </c>
      <c r="G39">
        <f>F39*VLOOKUP(B39,assumptions!$A$11:$B$14,2,FALSE)</f>
        <v>1200</v>
      </c>
    </row>
    <row r="40" spans="1:7" x14ac:dyDescent="0.45">
      <c r="A40" t="str">
        <f>INDEX(Dim_Month!A:A, INT((ROW()-2)/(4*3*2))+2)</f>
        <v>2025-02</v>
      </c>
      <c r="B40" t="str">
        <f>INDEX(Dim_Benefit!A:A, MOD(INT((ROW()-2)/(3*2)),4)+2)</f>
        <v>STD</v>
      </c>
      <c r="C40" t="str">
        <f>INDEX(Dim_Region!A:A,MOD(INT((ROW()-2)/2),3)+2)</f>
        <v>QC</v>
      </c>
      <c r="D40" t="str">
        <f>INDEX(Dim_Class!A:A,MOD(ROW()-2,2)+2)</f>
        <v>A</v>
      </c>
      <c r="E40">
        <f>COUNTIFS(Census!B:B,Experience_12m!C40,Census!C:C,Experience_12m!D40)</f>
        <v>62</v>
      </c>
      <c r="F40">
        <f>ROUND(E40*VLOOKUP(B40,assumptions!$A$3:$B$6,2,FALSE),0)</f>
        <v>1</v>
      </c>
      <c r="G40">
        <f>F40*VLOOKUP(B40,assumptions!$A$11:$B$14,2,FALSE)</f>
        <v>1200</v>
      </c>
    </row>
    <row r="41" spans="1:7" x14ac:dyDescent="0.45">
      <c r="A41" t="str">
        <f>INDEX(Dim_Month!A:A, INT((ROW()-2)/(4*3*2))+2)</f>
        <v>2025-02</v>
      </c>
      <c r="B41" t="str">
        <f>INDEX(Dim_Benefit!A:A, MOD(INT((ROW()-2)/(3*2)),4)+2)</f>
        <v>STD</v>
      </c>
      <c r="C41" t="str">
        <f>INDEX(Dim_Region!A:A,MOD(INT((ROW()-2)/2),3)+2)</f>
        <v>QC</v>
      </c>
      <c r="D41" t="str">
        <f>INDEX(Dim_Class!A:A,MOD(ROW()-2,2)+2)</f>
        <v>B</v>
      </c>
      <c r="E41">
        <f>COUNTIFS(Census!B:B,Experience_12m!C41,Census!C:C,Experience_12m!D41)</f>
        <v>31</v>
      </c>
      <c r="F41">
        <f>ROUND(E41*VLOOKUP(B41,assumptions!$A$3:$B$6,2,FALSE),0)</f>
        <v>0</v>
      </c>
      <c r="G41">
        <f>F41*VLOOKUP(B41,assumptions!$A$11:$B$14,2,FALSE)</f>
        <v>0</v>
      </c>
    </row>
    <row r="42" spans="1:7" x14ac:dyDescent="0.45">
      <c r="A42" t="str">
        <f>INDEX(Dim_Month!A:A, INT((ROW()-2)/(4*3*2))+2)</f>
        <v>2025-02</v>
      </c>
      <c r="B42" t="str">
        <f>INDEX(Dim_Benefit!A:A, MOD(INT((ROW()-2)/(3*2)),4)+2)</f>
        <v>STD</v>
      </c>
      <c r="C42" t="str">
        <f>INDEX(Dim_Region!A:A,MOD(INT((ROW()-2)/2),3)+2)</f>
        <v>BC</v>
      </c>
      <c r="D42" t="str">
        <f>INDEX(Dim_Class!A:A,MOD(ROW()-2,2)+2)</f>
        <v>A</v>
      </c>
      <c r="E42">
        <f>COUNTIFS(Census!B:B,Experience_12m!C42,Census!C:C,Experience_12m!D42)</f>
        <v>72</v>
      </c>
      <c r="F42">
        <f>ROUND(E42*VLOOKUP(B42,assumptions!$A$3:$B$6,2,FALSE),0)</f>
        <v>1</v>
      </c>
      <c r="G42">
        <f>F42*VLOOKUP(B42,assumptions!$A$11:$B$14,2,FALSE)</f>
        <v>1200</v>
      </c>
    </row>
    <row r="43" spans="1:7" x14ac:dyDescent="0.45">
      <c r="A43" t="str">
        <f>INDEX(Dim_Month!A:A, INT((ROW()-2)/(4*3*2))+2)</f>
        <v>2025-02</v>
      </c>
      <c r="B43" t="str">
        <f>INDEX(Dim_Benefit!A:A, MOD(INT((ROW()-2)/(3*2)),4)+2)</f>
        <v>STD</v>
      </c>
      <c r="C43" t="str">
        <f>INDEX(Dim_Region!A:A,MOD(INT((ROW()-2)/2),3)+2)</f>
        <v>BC</v>
      </c>
      <c r="D43" t="str">
        <f>INDEX(Dim_Class!A:A,MOD(ROW()-2,2)+2)</f>
        <v>B</v>
      </c>
      <c r="E43">
        <f>COUNTIFS(Census!B:B,Experience_12m!C43,Census!C:C,Experience_12m!D43)</f>
        <v>46</v>
      </c>
      <c r="F43">
        <f>ROUND(E43*VLOOKUP(B43,assumptions!$A$3:$B$6,2,FALSE),0)</f>
        <v>0</v>
      </c>
      <c r="G43">
        <f>F43*VLOOKUP(B43,assumptions!$A$11:$B$14,2,FALSE)</f>
        <v>0</v>
      </c>
    </row>
    <row r="44" spans="1:7" x14ac:dyDescent="0.45">
      <c r="A44" t="str">
        <f>INDEX(Dim_Month!A:A, INT((ROW()-2)/(4*3*2))+2)</f>
        <v>2025-02</v>
      </c>
      <c r="B44" t="str">
        <f>INDEX(Dim_Benefit!A:A, MOD(INT((ROW()-2)/(3*2)),4)+2)</f>
        <v>LTD</v>
      </c>
      <c r="C44" t="str">
        <f>INDEX(Dim_Region!A:A,MOD(INT((ROW()-2)/2),3)+2)</f>
        <v>ON</v>
      </c>
      <c r="D44" t="str">
        <f>INDEX(Dim_Class!A:A,MOD(ROW()-2,2)+2)</f>
        <v>A</v>
      </c>
      <c r="E44">
        <f>COUNTIFS(Census!B:B,Experience_12m!C44,Census!C:C,Experience_12m!D44)</f>
        <v>180</v>
      </c>
      <c r="F44">
        <f>ROUND(E44*VLOOKUP(B44,assumptions!$A$3:$B$6,2,FALSE),0)</f>
        <v>1</v>
      </c>
      <c r="G44">
        <f>F44*VLOOKUP(B44,assumptions!$A$11:$B$14,2,FALSE)</f>
        <v>6000</v>
      </c>
    </row>
    <row r="45" spans="1:7" x14ac:dyDescent="0.45">
      <c r="A45" t="str">
        <f>INDEX(Dim_Month!A:A, INT((ROW()-2)/(4*3*2))+2)</f>
        <v>2025-02</v>
      </c>
      <c r="B45" t="str">
        <f>INDEX(Dim_Benefit!A:A, MOD(INT((ROW()-2)/(3*2)),4)+2)</f>
        <v>LTD</v>
      </c>
      <c r="C45" t="str">
        <f>INDEX(Dim_Region!A:A,MOD(INT((ROW()-2)/2),3)+2)</f>
        <v>ON</v>
      </c>
      <c r="D45" t="str">
        <f>INDEX(Dim_Class!A:A,MOD(ROW()-2,2)+2)</f>
        <v>B</v>
      </c>
      <c r="E45">
        <f>COUNTIFS(Census!B:B,Experience_12m!C45,Census!C:C,Experience_12m!D45)</f>
        <v>109</v>
      </c>
      <c r="F45">
        <f>ROUND(E45*VLOOKUP(B45,assumptions!$A$3:$B$6,2,FALSE),0)</f>
        <v>0</v>
      </c>
      <c r="G45">
        <f>F45*VLOOKUP(B45,assumptions!$A$11:$B$14,2,FALSE)</f>
        <v>0</v>
      </c>
    </row>
    <row r="46" spans="1:7" x14ac:dyDescent="0.45">
      <c r="A46" t="str">
        <f>INDEX(Dim_Month!A:A, INT((ROW()-2)/(4*3*2))+2)</f>
        <v>2025-02</v>
      </c>
      <c r="B46" t="str">
        <f>INDEX(Dim_Benefit!A:A, MOD(INT((ROW()-2)/(3*2)),4)+2)</f>
        <v>LTD</v>
      </c>
      <c r="C46" t="str">
        <f>INDEX(Dim_Region!A:A,MOD(INT((ROW()-2)/2),3)+2)</f>
        <v>QC</v>
      </c>
      <c r="D46" t="str">
        <f>INDEX(Dim_Class!A:A,MOD(ROW()-2,2)+2)</f>
        <v>A</v>
      </c>
      <c r="E46">
        <f>COUNTIFS(Census!B:B,Experience_12m!C46,Census!C:C,Experience_12m!D46)</f>
        <v>62</v>
      </c>
      <c r="F46">
        <f>ROUND(E46*VLOOKUP(B46,assumptions!$A$3:$B$6,2,FALSE),0)</f>
        <v>0</v>
      </c>
      <c r="G46">
        <f>F46*VLOOKUP(B46,assumptions!$A$11:$B$14,2,FALSE)</f>
        <v>0</v>
      </c>
    </row>
    <row r="47" spans="1:7" x14ac:dyDescent="0.45">
      <c r="A47" t="str">
        <f>INDEX(Dim_Month!A:A, INT((ROW()-2)/(4*3*2))+2)</f>
        <v>2025-02</v>
      </c>
      <c r="B47" t="str">
        <f>INDEX(Dim_Benefit!A:A, MOD(INT((ROW()-2)/(3*2)),4)+2)</f>
        <v>LTD</v>
      </c>
      <c r="C47" t="str">
        <f>INDEX(Dim_Region!A:A,MOD(INT((ROW()-2)/2),3)+2)</f>
        <v>QC</v>
      </c>
      <c r="D47" t="str">
        <f>INDEX(Dim_Class!A:A,MOD(ROW()-2,2)+2)</f>
        <v>B</v>
      </c>
      <c r="E47">
        <f>COUNTIFS(Census!B:B,Experience_12m!C47,Census!C:C,Experience_12m!D47)</f>
        <v>31</v>
      </c>
      <c r="F47">
        <f>ROUND(E47*VLOOKUP(B47,assumptions!$A$3:$B$6,2,FALSE),0)</f>
        <v>0</v>
      </c>
      <c r="G47">
        <f>F47*VLOOKUP(B47,assumptions!$A$11:$B$14,2,FALSE)</f>
        <v>0</v>
      </c>
    </row>
    <row r="48" spans="1:7" x14ac:dyDescent="0.45">
      <c r="A48" t="str">
        <f>INDEX(Dim_Month!A:A, INT((ROW()-2)/(4*3*2))+2)</f>
        <v>2025-02</v>
      </c>
      <c r="B48" t="str">
        <f>INDEX(Dim_Benefit!A:A, MOD(INT((ROW()-2)/(3*2)),4)+2)</f>
        <v>LTD</v>
      </c>
      <c r="C48" t="str">
        <f>INDEX(Dim_Region!A:A,MOD(INT((ROW()-2)/2),3)+2)</f>
        <v>BC</v>
      </c>
      <c r="D48" t="str">
        <f>INDEX(Dim_Class!A:A,MOD(ROW()-2,2)+2)</f>
        <v>A</v>
      </c>
      <c r="E48">
        <f>COUNTIFS(Census!B:B,Experience_12m!C48,Census!C:C,Experience_12m!D48)</f>
        <v>72</v>
      </c>
      <c r="F48">
        <f>ROUND(E48*VLOOKUP(B48,assumptions!$A$3:$B$6,2,FALSE),0)</f>
        <v>0</v>
      </c>
      <c r="G48">
        <f>F48*VLOOKUP(B48,assumptions!$A$11:$B$14,2,FALSE)</f>
        <v>0</v>
      </c>
    </row>
    <row r="49" spans="1:7" x14ac:dyDescent="0.45">
      <c r="A49" t="str">
        <f>INDEX(Dim_Month!A:A, INT((ROW()-2)/(4*3*2))+2)</f>
        <v>2025-02</v>
      </c>
      <c r="B49" t="str">
        <f>INDEX(Dim_Benefit!A:A, MOD(INT((ROW()-2)/(3*2)),4)+2)</f>
        <v>LTD</v>
      </c>
      <c r="C49" t="str">
        <f>INDEX(Dim_Region!A:A,MOD(INT((ROW()-2)/2),3)+2)</f>
        <v>BC</v>
      </c>
      <c r="D49" t="str">
        <f>INDEX(Dim_Class!A:A,MOD(ROW()-2,2)+2)</f>
        <v>B</v>
      </c>
      <c r="E49">
        <f>COUNTIFS(Census!B:B,Experience_12m!C49,Census!C:C,Experience_12m!D49)</f>
        <v>46</v>
      </c>
      <c r="F49">
        <f>ROUND(E49*VLOOKUP(B49,assumptions!$A$3:$B$6,2,FALSE),0)</f>
        <v>0</v>
      </c>
      <c r="G49">
        <f>F49*VLOOKUP(B49,assumptions!$A$11:$B$14,2,FALSE)</f>
        <v>0</v>
      </c>
    </row>
    <row r="50" spans="1:7" x14ac:dyDescent="0.45">
      <c r="A50" t="str">
        <f>INDEX(Dim_Month!A:A, INT((ROW()-2)/(4*3*2))+2)</f>
        <v>2025-03</v>
      </c>
      <c r="B50" t="str">
        <f>INDEX(Dim_Benefit!A:A, MOD(INT((ROW()-2)/(3*2)),4)+2)</f>
        <v>Health</v>
      </c>
      <c r="C50" t="str">
        <f>INDEX(Dim_Region!A:A,MOD(INT((ROW()-2)/2),3)+2)</f>
        <v>ON</v>
      </c>
      <c r="D50" t="str">
        <f>INDEX(Dim_Class!A:A,MOD(ROW()-2,2)+2)</f>
        <v>A</v>
      </c>
      <c r="E50">
        <f>COUNTIFS(Census!B:B,Experience_12m!C50,Census!C:C,Experience_12m!D50)</f>
        <v>180</v>
      </c>
      <c r="F50">
        <f>ROUND(E50*VLOOKUP(B50,assumptions!$A$3:$B$6,2,FALSE),0)</f>
        <v>27</v>
      </c>
      <c r="G50">
        <f>F50*VLOOKUP(B50,assumptions!$A$11:$B$14,2,FALSE)</f>
        <v>6750</v>
      </c>
    </row>
    <row r="51" spans="1:7" x14ac:dyDescent="0.45">
      <c r="A51" t="str">
        <f>INDEX(Dim_Month!A:A, INT((ROW()-2)/(4*3*2))+2)</f>
        <v>2025-03</v>
      </c>
      <c r="B51" t="str">
        <f>INDEX(Dim_Benefit!A:A, MOD(INT((ROW()-2)/(3*2)),4)+2)</f>
        <v>Health</v>
      </c>
      <c r="C51" t="str">
        <f>INDEX(Dim_Region!A:A,MOD(INT((ROW()-2)/2),3)+2)</f>
        <v>ON</v>
      </c>
      <c r="D51" t="str">
        <f>INDEX(Dim_Class!A:A,MOD(ROW()-2,2)+2)</f>
        <v>B</v>
      </c>
      <c r="E51">
        <f>COUNTIFS(Census!B:B,Experience_12m!C51,Census!C:C,Experience_12m!D51)</f>
        <v>109</v>
      </c>
      <c r="F51">
        <f>ROUND(E51*VLOOKUP(B51,assumptions!$A$3:$B$6,2,FALSE),0)</f>
        <v>16</v>
      </c>
      <c r="G51">
        <f>F51*VLOOKUP(B51,assumptions!$A$11:$B$14,2,FALSE)</f>
        <v>4000</v>
      </c>
    </row>
    <row r="52" spans="1:7" x14ac:dyDescent="0.45">
      <c r="A52" t="str">
        <f>INDEX(Dim_Month!A:A, INT((ROW()-2)/(4*3*2))+2)</f>
        <v>2025-03</v>
      </c>
      <c r="B52" t="str">
        <f>INDEX(Dim_Benefit!A:A, MOD(INT((ROW()-2)/(3*2)),4)+2)</f>
        <v>Health</v>
      </c>
      <c r="C52" t="str">
        <f>INDEX(Dim_Region!A:A,MOD(INT((ROW()-2)/2),3)+2)</f>
        <v>QC</v>
      </c>
      <c r="D52" t="str">
        <f>INDEX(Dim_Class!A:A,MOD(ROW()-2,2)+2)</f>
        <v>A</v>
      </c>
      <c r="E52">
        <f>COUNTIFS(Census!B:B,Experience_12m!C52,Census!C:C,Experience_12m!D52)</f>
        <v>62</v>
      </c>
      <c r="F52">
        <f>ROUND(E52*VLOOKUP(B52,assumptions!$A$3:$B$6,2,FALSE),0)</f>
        <v>9</v>
      </c>
      <c r="G52">
        <f>F52*VLOOKUP(B52,assumptions!$A$11:$B$14,2,FALSE)</f>
        <v>2250</v>
      </c>
    </row>
    <row r="53" spans="1:7" x14ac:dyDescent="0.45">
      <c r="A53" t="str">
        <f>INDEX(Dim_Month!A:A, INT((ROW()-2)/(4*3*2))+2)</f>
        <v>2025-03</v>
      </c>
      <c r="B53" t="str">
        <f>INDEX(Dim_Benefit!A:A, MOD(INT((ROW()-2)/(3*2)),4)+2)</f>
        <v>Health</v>
      </c>
      <c r="C53" t="str">
        <f>INDEX(Dim_Region!A:A,MOD(INT((ROW()-2)/2),3)+2)</f>
        <v>QC</v>
      </c>
      <c r="D53" t="str">
        <f>INDEX(Dim_Class!A:A,MOD(ROW()-2,2)+2)</f>
        <v>B</v>
      </c>
      <c r="E53">
        <f>COUNTIFS(Census!B:B,Experience_12m!C53,Census!C:C,Experience_12m!D53)</f>
        <v>31</v>
      </c>
      <c r="F53">
        <f>ROUND(E53*VLOOKUP(B53,assumptions!$A$3:$B$6,2,FALSE),0)</f>
        <v>5</v>
      </c>
      <c r="G53">
        <f>F53*VLOOKUP(B53,assumptions!$A$11:$B$14,2,FALSE)</f>
        <v>1250</v>
      </c>
    </row>
    <row r="54" spans="1:7" x14ac:dyDescent="0.45">
      <c r="A54" t="str">
        <f>INDEX(Dim_Month!A:A, INT((ROW()-2)/(4*3*2))+2)</f>
        <v>2025-03</v>
      </c>
      <c r="B54" t="str">
        <f>INDEX(Dim_Benefit!A:A, MOD(INT((ROW()-2)/(3*2)),4)+2)</f>
        <v>Health</v>
      </c>
      <c r="C54" t="str">
        <f>INDEX(Dim_Region!A:A,MOD(INT((ROW()-2)/2),3)+2)</f>
        <v>BC</v>
      </c>
      <c r="D54" t="str">
        <f>INDEX(Dim_Class!A:A,MOD(ROW()-2,2)+2)</f>
        <v>A</v>
      </c>
      <c r="E54">
        <f>COUNTIFS(Census!B:B,Experience_12m!C54,Census!C:C,Experience_12m!D54)</f>
        <v>72</v>
      </c>
      <c r="F54">
        <f>ROUND(E54*VLOOKUP(B54,assumptions!$A$3:$B$6,2,FALSE),0)</f>
        <v>11</v>
      </c>
      <c r="G54">
        <f>F54*VLOOKUP(B54,assumptions!$A$11:$B$14,2,FALSE)</f>
        <v>2750</v>
      </c>
    </row>
    <row r="55" spans="1:7" x14ac:dyDescent="0.45">
      <c r="A55" t="str">
        <f>INDEX(Dim_Month!A:A, INT((ROW()-2)/(4*3*2))+2)</f>
        <v>2025-03</v>
      </c>
      <c r="B55" t="str">
        <f>INDEX(Dim_Benefit!A:A, MOD(INT((ROW()-2)/(3*2)),4)+2)</f>
        <v>Health</v>
      </c>
      <c r="C55" t="str">
        <f>INDEX(Dim_Region!A:A,MOD(INT((ROW()-2)/2),3)+2)</f>
        <v>BC</v>
      </c>
      <c r="D55" t="str">
        <f>INDEX(Dim_Class!A:A,MOD(ROW()-2,2)+2)</f>
        <v>B</v>
      </c>
      <c r="E55">
        <f>COUNTIFS(Census!B:B,Experience_12m!C55,Census!C:C,Experience_12m!D55)</f>
        <v>46</v>
      </c>
      <c r="F55">
        <f>ROUND(E55*VLOOKUP(B55,assumptions!$A$3:$B$6,2,FALSE),0)</f>
        <v>7</v>
      </c>
      <c r="G55">
        <f>F55*VLOOKUP(B55,assumptions!$A$11:$B$14,2,FALSE)</f>
        <v>1750</v>
      </c>
    </row>
    <row r="56" spans="1:7" x14ac:dyDescent="0.45">
      <c r="A56" t="str">
        <f>INDEX(Dim_Month!A:A, INT((ROW()-2)/(4*3*2))+2)</f>
        <v>2025-03</v>
      </c>
      <c r="B56" t="str">
        <f>INDEX(Dim_Benefit!A:A, MOD(INT((ROW()-2)/(3*2)),4)+2)</f>
        <v>Dental</v>
      </c>
      <c r="C56" t="str">
        <f>INDEX(Dim_Region!A:A,MOD(INT((ROW()-2)/2),3)+2)</f>
        <v>ON</v>
      </c>
      <c r="D56" t="str">
        <f>INDEX(Dim_Class!A:A,MOD(ROW()-2,2)+2)</f>
        <v>A</v>
      </c>
      <c r="E56">
        <f>COUNTIFS(Census!B:B,Experience_12m!C56,Census!C:C,Experience_12m!D56)</f>
        <v>180</v>
      </c>
      <c r="F56">
        <f>ROUND(E56*VLOOKUP(B56,assumptions!$A$3:$B$6,2,FALSE),0)</f>
        <v>18</v>
      </c>
      <c r="G56">
        <f>F56*VLOOKUP(B56,assumptions!$A$11:$B$14,2,FALSE)</f>
        <v>3240</v>
      </c>
    </row>
    <row r="57" spans="1:7" x14ac:dyDescent="0.45">
      <c r="A57" t="str">
        <f>INDEX(Dim_Month!A:A, INT((ROW()-2)/(4*3*2))+2)</f>
        <v>2025-03</v>
      </c>
      <c r="B57" t="str">
        <f>INDEX(Dim_Benefit!A:A, MOD(INT((ROW()-2)/(3*2)),4)+2)</f>
        <v>Dental</v>
      </c>
      <c r="C57" t="str">
        <f>INDEX(Dim_Region!A:A,MOD(INT((ROW()-2)/2),3)+2)</f>
        <v>ON</v>
      </c>
      <c r="D57" t="str">
        <f>INDEX(Dim_Class!A:A,MOD(ROW()-2,2)+2)</f>
        <v>B</v>
      </c>
      <c r="E57">
        <f>COUNTIFS(Census!B:B,Experience_12m!C57,Census!C:C,Experience_12m!D57)</f>
        <v>109</v>
      </c>
      <c r="F57">
        <f>ROUND(E57*VLOOKUP(B57,assumptions!$A$3:$B$6,2,FALSE),0)</f>
        <v>11</v>
      </c>
      <c r="G57">
        <f>F57*VLOOKUP(B57,assumptions!$A$11:$B$14,2,FALSE)</f>
        <v>1980</v>
      </c>
    </row>
    <row r="58" spans="1:7" x14ac:dyDescent="0.45">
      <c r="A58" t="str">
        <f>INDEX(Dim_Month!A:A, INT((ROW()-2)/(4*3*2))+2)</f>
        <v>2025-03</v>
      </c>
      <c r="B58" t="str">
        <f>INDEX(Dim_Benefit!A:A, MOD(INT((ROW()-2)/(3*2)),4)+2)</f>
        <v>Dental</v>
      </c>
      <c r="C58" t="str">
        <f>INDEX(Dim_Region!A:A,MOD(INT((ROW()-2)/2),3)+2)</f>
        <v>QC</v>
      </c>
      <c r="D58" t="str">
        <f>INDEX(Dim_Class!A:A,MOD(ROW()-2,2)+2)</f>
        <v>A</v>
      </c>
      <c r="E58">
        <f>COUNTIFS(Census!B:B,Experience_12m!C58,Census!C:C,Experience_12m!D58)</f>
        <v>62</v>
      </c>
      <c r="F58">
        <f>ROUND(E58*VLOOKUP(B58,assumptions!$A$3:$B$6,2,FALSE),0)</f>
        <v>6</v>
      </c>
      <c r="G58">
        <f>F58*VLOOKUP(B58,assumptions!$A$11:$B$14,2,FALSE)</f>
        <v>1080</v>
      </c>
    </row>
    <row r="59" spans="1:7" x14ac:dyDescent="0.45">
      <c r="A59" t="str">
        <f>INDEX(Dim_Month!A:A, INT((ROW()-2)/(4*3*2))+2)</f>
        <v>2025-03</v>
      </c>
      <c r="B59" t="str">
        <f>INDEX(Dim_Benefit!A:A, MOD(INT((ROW()-2)/(3*2)),4)+2)</f>
        <v>Dental</v>
      </c>
      <c r="C59" t="str">
        <f>INDEX(Dim_Region!A:A,MOD(INT((ROW()-2)/2),3)+2)</f>
        <v>QC</v>
      </c>
      <c r="D59" t="str">
        <f>INDEX(Dim_Class!A:A,MOD(ROW()-2,2)+2)</f>
        <v>B</v>
      </c>
      <c r="E59">
        <f>COUNTIFS(Census!B:B,Experience_12m!C59,Census!C:C,Experience_12m!D59)</f>
        <v>31</v>
      </c>
      <c r="F59">
        <f>ROUND(E59*VLOOKUP(B59,assumptions!$A$3:$B$6,2,FALSE),0)</f>
        <v>3</v>
      </c>
      <c r="G59">
        <f>F59*VLOOKUP(B59,assumptions!$A$11:$B$14,2,FALSE)</f>
        <v>540</v>
      </c>
    </row>
    <row r="60" spans="1:7" x14ac:dyDescent="0.45">
      <c r="A60" t="str">
        <f>INDEX(Dim_Month!A:A, INT((ROW()-2)/(4*3*2))+2)</f>
        <v>2025-03</v>
      </c>
      <c r="B60" t="str">
        <f>INDEX(Dim_Benefit!A:A, MOD(INT((ROW()-2)/(3*2)),4)+2)</f>
        <v>Dental</v>
      </c>
      <c r="C60" t="str">
        <f>INDEX(Dim_Region!A:A,MOD(INT((ROW()-2)/2),3)+2)</f>
        <v>BC</v>
      </c>
      <c r="D60" t="str">
        <f>INDEX(Dim_Class!A:A,MOD(ROW()-2,2)+2)</f>
        <v>A</v>
      </c>
      <c r="E60">
        <f>COUNTIFS(Census!B:B,Experience_12m!C60,Census!C:C,Experience_12m!D60)</f>
        <v>72</v>
      </c>
      <c r="F60">
        <f>ROUND(E60*VLOOKUP(B60,assumptions!$A$3:$B$6,2,FALSE),0)</f>
        <v>7</v>
      </c>
      <c r="G60">
        <f>F60*VLOOKUP(B60,assumptions!$A$11:$B$14,2,FALSE)</f>
        <v>1260</v>
      </c>
    </row>
    <row r="61" spans="1:7" x14ac:dyDescent="0.45">
      <c r="A61" t="str">
        <f>INDEX(Dim_Month!A:A, INT((ROW()-2)/(4*3*2))+2)</f>
        <v>2025-03</v>
      </c>
      <c r="B61" t="str">
        <f>INDEX(Dim_Benefit!A:A, MOD(INT((ROW()-2)/(3*2)),4)+2)</f>
        <v>Dental</v>
      </c>
      <c r="C61" t="str">
        <f>INDEX(Dim_Region!A:A,MOD(INT((ROW()-2)/2),3)+2)</f>
        <v>BC</v>
      </c>
      <c r="D61" t="str">
        <f>INDEX(Dim_Class!A:A,MOD(ROW()-2,2)+2)</f>
        <v>B</v>
      </c>
      <c r="E61">
        <f>COUNTIFS(Census!B:B,Experience_12m!C61,Census!C:C,Experience_12m!D61)</f>
        <v>46</v>
      </c>
      <c r="F61">
        <f>ROUND(E61*VLOOKUP(B61,assumptions!$A$3:$B$6,2,FALSE),0)</f>
        <v>5</v>
      </c>
      <c r="G61">
        <f>F61*VLOOKUP(B61,assumptions!$A$11:$B$14,2,FALSE)</f>
        <v>900</v>
      </c>
    </row>
    <row r="62" spans="1:7" x14ac:dyDescent="0.45">
      <c r="A62" t="str">
        <f>INDEX(Dim_Month!A:A, INT((ROW()-2)/(4*3*2))+2)</f>
        <v>2025-03</v>
      </c>
      <c r="B62" t="str">
        <f>INDEX(Dim_Benefit!A:A, MOD(INT((ROW()-2)/(3*2)),4)+2)</f>
        <v>STD</v>
      </c>
      <c r="C62" t="str">
        <f>INDEX(Dim_Region!A:A,MOD(INT((ROW()-2)/2),3)+2)</f>
        <v>ON</v>
      </c>
      <c r="D62" t="str">
        <f>INDEX(Dim_Class!A:A,MOD(ROW()-2,2)+2)</f>
        <v>A</v>
      </c>
      <c r="E62">
        <f>COUNTIFS(Census!B:B,Experience_12m!C62,Census!C:C,Experience_12m!D62)</f>
        <v>180</v>
      </c>
      <c r="F62">
        <f>ROUND(E62*VLOOKUP(B62,assumptions!$A$3:$B$6,2,FALSE),0)</f>
        <v>2</v>
      </c>
      <c r="G62">
        <f>F62*VLOOKUP(B62,assumptions!$A$11:$B$14,2,FALSE)</f>
        <v>2400</v>
      </c>
    </row>
    <row r="63" spans="1:7" x14ac:dyDescent="0.45">
      <c r="A63" t="str">
        <f>INDEX(Dim_Month!A:A, INT((ROW()-2)/(4*3*2))+2)</f>
        <v>2025-03</v>
      </c>
      <c r="B63" t="str">
        <f>INDEX(Dim_Benefit!A:A, MOD(INT((ROW()-2)/(3*2)),4)+2)</f>
        <v>STD</v>
      </c>
      <c r="C63" t="str">
        <f>INDEX(Dim_Region!A:A,MOD(INT((ROW()-2)/2),3)+2)</f>
        <v>ON</v>
      </c>
      <c r="D63" t="str">
        <f>INDEX(Dim_Class!A:A,MOD(ROW()-2,2)+2)</f>
        <v>B</v>
      </c>
      <c r="E63">
        <f>COUNTIFS(Census!B:B,Experience_12m!C63,Census!C:C,Experience_12m!D63)</f>
        <v>109</v>
      </c>
      <c r="F63">
        <f>ROUND(E63*VLOOKUP(B63,assumptions!$A$3:$B$6,2,FALSE),0)</f>
        <v>1</v>
      </c>
      <c r="G63">
        <f>F63*VLOOKUP(B63,assumptions!$A$11:$B$14,2,FALSE)</f>
        <v>1200</v>
      </c>
    </row>
    <row r="64" spans="1:7" x14ac:dyDescent="0.45">
      <c r="A64" t="str">
        <f>INDEX(Dim_Month!A:A, INT((ROW()-2)/(4*3*2))+2)</f>
        <v>2025-03</v>
      </c>
      <c r="B64" t="str">
        <f>INDEX(Dim_Benefit!A:A, MOD(INT((ROW()-2)/(3*2)),4)+2)</f>
        <v>STD</v>
      </c>
      <c r="C64" t="str">
        <f>INDEX(Dim_Region!A:A,MOD(INT((ROW()-2)/2),3)+2)</f>
        <v>QC</v>
      </c>
      <c r="D64" t="str">
        <f>INDEX(Dim_Class!A:A,MOD(ROW()-2,2)+2)</f>
        <v>A</v>
      </c>
      <c r="E64">
        <f>COUNTIFS(Census!B:B,Experience_12m!C64,Census!C:C,Experience_12m!D64)</f>
        <v>62</v>
      </c>
      <c r="F64">
        <f>ROUND(E64*VLOOKUP(B64,assumptions!$A$3:$B$6,2,FALSE),0)</f>
        <v>1</v>
      </c>
      <c r="G64">
        <f>F64*VLOOKUP(B64,assumptions!$A$11:$B$14,2,FALSE)</f>
        <v>1200</v>
      </c>
    </row>
    <row r="65" spans="1:7" x14ac:dyDescent="0.45">
      <c r="A65" t="str">
        <f>INDEX(Dim_Month!A:A, INT((ROW()-2)/(4*3*2))+2)</f>
        <v>2025-03</v>
      </c>
      <c r="B65" t="str">
        <f>INDEX(Dim_Benefit!A:A, MOD(INT((ROW()-2)/(3*2)),4)+2)</f>
        <v>STD</v>
      </c>
      <c r="C65" t="str">
        <f>INDEX(Dim_Region!A:A,MOD(INT((ROW()-2)/2),3)+2)</f>
        <v>QC</v>
      </c>
      <c r="D65" t="str">
        <f>INDEX(Dim_Class!A:A,MOD(ROW()-2,2)+2)</f>
        <v>B</v>
      </c>
      <c r="E65">
        <f>COUNTIFS(Census!B:B,Experience_12m!C65,Census!C:C,Experience_12m!D65)</f>
        <v>31</v>
      </c>
      <c r="F65">
        <f>ROUND(E65*VLOOKUP(B65,assumptions!$A$3:$B$6,2,FALSE),0)</f>
        <v>0</v>
      </c>
      <c r="G65">
        <f>F65*VLOOKUP(B65,assumptions!$A$11:$B$14,2,FALSE)</f>
        <v>0</v>
      </c>
    </row>
    <row r="66" spans="1:7" x14ac:dyDescent="0.45">
      <c r="A66" t="str">
        <f>INDEX(Dim_Month!A:A, INT((ROW()-2)/(4*3*2))+2)</f>
        <v>2025-03</v>
      </c>
      <c r="B66" t="str">
        <f>INDEX(Dim_Benefit!A:A, MOD(INT((ROW()-2)/(3*2)),4)+2)</f>
        <v>STD</v>
      </c>
      <c r="C66" t="str">
        <f>INDEX(Dim_Region!A:A,MOD(INT((ROW()-2)/2),3)+2)</f>
        <v>BC</v>
      </c>
      <c r="D66" t="str">
        <f>INDEX(Dim_Class!A:A,MOD(ROW()-2,2)+2)</f>
        <v>A</v>
      </c>
      <c r="E66">
        <f>COUNTIFS(Census!B:B,Experience_12m!C66,Census!C:C,Experience_12m!D66)</f>
        <v>72</v>
      </c>
      <c r="F66">
        <f>ROUND(E66*VLOOKUP(B66,assumptions!$A$3:$B$6,2,FALSE),0)</f>
        <v>1</v>
      </c>
      <c r="G66">
        <f>F66*VLOOKUP(B66,assumptions!$A$11:$B$14,2,FALSE)</f>
        <v>1200</v>
      </c>
    </row>
    <row r="67" spans="1:7" x14ac:dyDescent="0.45">
      <c r="A67" t="str">
        <f>INDEX(Dim_Month!A:A, INT((ROW()-2)/(4*3*2))+2)</f>
        <v>2025-03</v>
      </c>
      <c r="B67" t="str">
        <f>INDEX(Dim_Benefit!A:A, MOD(INT((ROW()-2)/(3*2)),4)+2)</f>
        <v>STD</v>
      </c>
      <c r="C67" t="str">
        <f>INDEX(Dim_Region!A:A,MOD(INT((ROW()-2)/2),3)+2)</f>
        <v>BC</v>
      </c>
      <c r="D67" t="str">
        <f>INDEX(Dim_Class!A:A,MOD(ROW()-2,2)+2)</f>
        <v>B</v>
      </c>
      <c r="E67">
        <f>COUNTIFS(Census!B:B,Experience_12m!C67,Census!C:C,Experience_12m!D67)</f>
        <v>46</v>
      </c>
      <c r="F67">
        <f>ROUND(E67*VLOOKUP(B67,assumptions!$A$3:$B$6,2,FALSE),0)</f>
        <v>0</v>
      </c>
      <c r="G67">
        <f>F67*VLOOKUP(B67,assumptions!$A$11:$B$14,2,FALSE)</f>
        <v>0</v>
      </c>
    </row>
    <row r="68" spans="1:7" x14ac:dyDescent="0.45">
      <c r="A68" t="str">
        <f>INDEX(Dim_Month!A:A, INT((ROW()-2)/(4*3*2))+2)</f>
        <v>2025-03</v>
      </c>
      <c r="B68" t="str">
        <f>INDEX(Dim_Benefit!A:A, MOD(INT((ROW()-2)/(3*2)),4)+2)</f>
        <v>LTD</v>
      </c>
      <c r="C68" t="str">
        <f>INDEX(Dim_Region!A:A,MOD(INT((ROW()-2)/2),3)+2)</f>
        <v>ON</v>
      </c>
      <c r="D68" t="str">
        <f>INDEX(Dim_Class!A:A,MOD(ROW()-2,2)+2)</f>
        <v>A</v>
      </c>
      <c r="E68">
        <f>COUNTIFS(Census!B:B,Experience_12m!C68,Census!C:C,Experience_12m!D68)</f>
        <v>180</v>
      </c>
      <c r="F68">
        <f>ROUND(E68*VLOOKUP(B68,assumptions!$A$3:$B$6,2,FALSE),0)</f>
        <v>1</v>
      </c>
      <c r="G68">
        <f>F68*VLOOKUP(B68,assumptions!$A$11:$B$14,2,FALSE)</f>
        <v>6000</v>
      </c>
    </row>
    <row r="69" spans="1:7" x14ac:dyDescent="0.45">
      <c r="A69" t="str">
        <f>INDEX(Dim_Month!A:A, INT((ROW()-2)/(4*3*2))+2)</f>
        <v>2025-03</v>
      </c>
      <c r="B69" t="str">
        <f>INDEX(Dim_Benefit!A:A, MOD(INT((ROW()-2)/(3*2)),4)+2)</f>
        <v>LTD</v>
      </c>
      <c r="C69" t="str">
        <f>INDEX(Dim_Region!A:A,MOD(INT((ROW()-2)/2),3)+2)</f>
        <v>ON</v>
      </c>
      <c r="D69" t="str">
        <f>INDEX(Dim_Class!A:A,MOD(ROW()-2,2)+2)</f>
        <v>B</v>
      </c>
      <c r="E69">
        <f>COUNTIFS(Census!B:B,Experience_12m!C69,Census!C:C,Experience_12m!D69)</f>
        <v>109</v>
      </c>
      <c r="F69">
        <f>ROUND(E69*VLOOKUP(B69,assumptions!$A$3:$B$6,2,FALSE),0)</f>
        <v>0</v>
      </c>
      <c r="G69">
        <f>F69*VLOOKUP(B69,assumptions!$A$11:$B$14,2,FALSE)</f>
        <v>0</v>
      </c>
    </row>
    <row r="70" spans="1:7" x14ac:dyDescent="0.45">
      <c r="A70" t="str">
        <f>INDEX(Dim_Month!A:A, INT((ROW()-2)/(4*3*2))+2)</f>
        <v>2025-03</v>
      </c>
      <c r="B70" t="str">
        <f>INDEX(Dim_Benefit!A:A, MOD(INT((ROW()-2)/(3*2)),4)+2)</f>
        <v>LTD</v>
      </c>
      <c r="C70" t="str">
        <f>INDEX(Dim_Region!A:A,MOD(INT((ROW()-2)/2),3)+2)</f>
        <v>QC</v>
      </c>
      <c r="D70" t="str">
        <f>INDEX(Dim_Class!A:A,MOD(ROW()-2,2)+2)</f>
        <v>A</v>
      </c>
      <c r="E70">
        <f>COUNTIFS(Census!B:B,Experience_12m!C70,Census!C:C,Experience_12m!D70)</f>
        <v>62</v>
      </c>
      <c r="F70">
        <f>ROUND(E70*VLOOKUP(B70,assumptions!$A$3:$B$6,2,FALSE),0)</f>
        <v>0</v>
      </c>
      <c r="G70">
        <f>F70*VLOOKUP(B70,assumptions!$A$11:$B$14,2,FALSE)</f>
        <v>0</v>
      </c>
    </row>
    <row r="71" spans="1:7" x14ac:dyDescent="0.45">
      <c r="A71" t="str">
        <f>INDEX(Dim_Month!A:A, INT((ROW()-2)/(4*3*2))+2)</f>
        <v>2025-03</v>
      </c>
      <c r="B71" t="str">
        <f>INDEX(Dim_Benefit!A:A, MOD(INT((ROW()-2)/(3*2)),4)+2)</f>
        <v>LTD</v>
      </c>
      <c r="C71" t="str">
        <f>INDEX(Dim_Region!A:A,MOD(INT((ROW()-2)/2),3)+2)</f>
        <v>QC</v>
      </c>
      <c r="D71" t="str">
        <f>INDEX(Dim_Class!A:A,MOD(ROW()-2,2)+2)</f>
        <v>B</v>
      </c>
      <c r="E71">
        <f>COUNTIFS(Census!B:B,Experience_12m!C71,Census!C:C,Experience_12m!D71)</f>
        <v>31</v>
      </c>
      <c r="F71">
        <f>ROUND(E71*VLOOKUP(B71,assumptions!$A$3:$B$6,2,FALSE),0)</f>
        <v>0</v>
      </c>
      <c r="G71">
        <f>F71*VLOOKUP(B71,assumptions!$A$11:$B$14,2,FALSE)</f>
        <v>0</v>
      </c>
    </row>
    <row r="72" spans="1:7" x14ac:dyDescent="0.45">
      <c r="A72" t="str">
        <f>INDEX(Dim_Month!A:A, INT((ROW()-2)/(4*3*2))+2)</f>
        <v>2025-03</v>
      </c>
      <c r="B72" t="str">
        <f>INDEX(Dim_Benefit!A:A, MOD(INT((ROW()-2)/(3*2)),4)+2)</f>
        <v>LTD</v>
      </c>
      <c r="C72" t="str">
        <f>INDEX(Dim_Region!A:A,MOD(INT((ROW()-2)/2),3)+2)</f>
        <v>BC</v>
      </c>
      <c r="D72" t="str">
        <f>INDEX(Dim_Class!A:A,MOD(ROW()-2,2)+2)</f>
        <v>A</v>
      </c>
      <c r="E72">
        <f>COUNTIFS(Census!B:B,Experience_12m!C72,Census!C:C,Experience_12m!D72)</f>
        <v>72</v>
      </c>
      <c r="F72">
        <f>ROUND(E72*VLOOKUP(B72,assumptions!$A$3:$B$6,2,FALSE),0)</f>
        <v>0</v>
      </c>
      <c r="G72">
        <f>F72*VLOOKUP(B72,assumptions!$A$11:$B$14,2,FALSE)</f>
        <v>0</v>
      </c>
    </row>
    <row r="73" spans="1:7" x14ac:dyDescent="0.45">
      <c r="A73" t="str">
        <f>INDEX(Dim_Month!A:A, INT((ROW()-2)/(4*3*2))+2)</f>
        <v>2025-03</v>
      </c>
      <c r="B73" t="str">
        <f>INDEX(Dim_Benefit!A:A, MOD(INT((ROW()-2)/(3*2)),4)+2)</f>
        <v>LTD</v>
      </c>
      <c r="C73" t="str">
        <f>INDEX(Dim_Region!A:A,MOD(INT((ROW()-2)/2),3)+2)</f>
        <v>BC</v>
      </c>
      <c r="D73" t="str">
        <f>INDEX(Dim_Class!A:A,MOD(ROW()-2,2)+2)</f>
        <v>B</v>
      </c>
      <c r="E73">
        <f>COUNTIFS(Census!B:B,Experience_12m!C73,Census!C:C,Experience_12m!D73)</f>
        <v>46</v>
      </c>
      <c r="F73">
        <f>ROUND(E73*VLOOKUP(B73,assumptions!$A$3:$B$6,2,FALSE),0)</f>
        <v>0</v>
      </c>
      <c r="G73">
        <f>F73*VLOOKUP(B73,assumptions!$A$11:$B$14,2,FALSE)</f>
        <v>0</v>
      </c>
    </row>
    <row r="74" spans="1:7" x14ac:dyDescent="0.45">
      <c r="A74" t="str">
        <f>INDEX(Dim_Month!A:A, INT((ROW()-2)/(4*3*2))+2)</f>
        <v>2025-04</v>
      </c>
      <c r="B74" t="str">
        <f>INDEX(Dim_Benefit!A:A, MOD(INT((ROW()-2)/(3*2)),4)+2)</f>
        <v>Health</v>
      </c>
      <c r="C74" t="str">
        <f>INDEX(Dim_Region!A:A,MOD(INT((ROW()-2)/2),3)+2)</f>
        <v>ON</v>
      </c>
      <c r="D74" t="str">
        <f>INDEX(Dim_Class!A:A,MOD(ROW()-2,2)+2)</f>
        <v>A</v>
      </c>
      <c r="E74">
        <f>COUNTIFS(Census!B:B,Experience_12m!C74,Census!C:C,Experience_12m!D74)</f>
        <v>180</v>
      </c>
      <c r="F74">
        <f>ROUND(E74*VLOOKUP(B74,assumptions!$A$3:$B$6,2,FALSE),0)</f>
        <v>27</v>
      </c>
      <c r="G74">
        <f>F74*VLOOKUP(B74,assumptions!$A$11:$B$14,2,FALSE)</f>
        <v>6750</v>
      </c>
    </row>
    <row r="75" spans="1:7" x14ac:dyDescent="0.45">
      <c r="A75" t="str">
        <f>INDEX(Dim_Month!A:A, INT((ROW()-2)/(4*3*2))+2)</f>
        <v>2025-04</v>
      </c>
      <c r="B75" t="str">
        <f>INDEX(Dim_Benefit!A:A, MOD(INT((ROW()-2)/(3*2)),4)+2)</f>
        <v>Health</v>
      </c>
      <c r="C75" t="str">
        <f>INDEX(Dim_Region!A:A,MOD(INT((ROW()-2)/2),3)+2)</f>
        <v>ON</v>
      </c>
      <c r="D75" t="str">
        <f>INDEX(Dim_Class!A:A,MOD(ROW()-2,2)+2)</f>
        <v>B</v>
      </c>
      <c r="E75">
        <f>COUNTIFS(Census!B:B,Experience_12m!C75,Census!C:C,Experience_12m!D75)</f>
        <v>109</v>
      </c>
      <c r="F75">
        <f>ROUND(E75*VLOOKUP(B75,assumptions!$A$3:$B$6,2,FALSE),0)</f>
        <v>16</v>
      </c>
      <c r="G75">
        <f>F75*VLOOKUP(B75,assumptions!$A$11:$B$14,2,FALSE)</f>
        <v>4000</v>
      </c>
    </row>
    <row r="76" spans="1:7" x14ac:dyDescent="0.45">
      <c r="A76" t="str">
        <f>INDEX(Dim_Month!A:A, INT((ROW()-2)/(4*3*2))+2)</f>
        <v>2025-04</v>
      </c>
      <c r="B76" t="str">
        <f>INDEX(Dim_Benefit!A:A, MOD(INT((ROW()-2)/(3*2)),4)+2)</f>
        <v>Health</v>
      </c>
      <c r="C76" t="str">
        <f>INDEX(Dim_Region!A:A,MOD(INT((ROW()-2)/2),3)+2)</f>
        <v>QC</v>
      </c>
      <c r="D76" t="str">
        <f>INDEX(Dim_Class!A:A,MOD(ROW()-2,2)+2)</f>
        <v>A</v>
      </c>
      <c r="E76">
        <f>COUNTIFS(Census!B:B,Experience_12m!C76,Census!C:C,Experience_12m!D76)</f>
        <v>62</v>
      </c>
      <c r="F76">
        <f>ROUND(E76*VLOOKUP(B76,assumptions!$A$3:$B$6,2,FALSE),0)</f>
        <v>9</v>
      </c>
      <c r="G76">
        <f>F76*VLOOKUP(B76,assumptions!$A$11:$B$14,2,FALSE)</f>
        <v>2250</v>
      </c>
    </row>
    <row r="77" spans="1:7" x14ac:dyDescent="0.45">
      <c r="A77" t="str">
        <f>INDEX(Dim_Month!A:A, INT((ROW()-2)/(4*3*2))+2)</f>
        <v>2025-04</v>
      </c>
      <c r="B77" t="str">
        <f>INDEX(Dim_Benefit!A:A, MOD(INT((ROW()-2)/(3*2)),4)+2)</f>
        <v>Health</v>
      </c>
      <c r="C77" t="str">
        <f>INDEX(Dim_Region!A:A,MOD(INT((ROW()-2)/2),3)+2)</f>
        <v>QC</v>
      </c>
      <c r="D77" t="str">
        <f>INDEX(Dim_Class!A:A,MOD(ROW()-2,2)+2)</f>
        <v>B</v>
      </c>
      <c r="E77">
        <f>COUNTIFS(Census!B:B,Experience_12m!C77,Census!C:C,Experience_12m!D77)</f>
        <v>31</v>
      </c>
      <c r="F77">
        <f>ROUND(E77*VLOOKUP(B77,assumptions!$A$3:$B$6,2,FALSE),0)</f>
        <v>5</v>
      </c>
      <c r="G77">
        <f>F77*VLOOKUP(B77,assumptions!$A$11:$B$14,2,FALSE)</f>
        <v>1250</v>
      </c>
    </row>
    <row r="78" spans="1:7" x14ac:dyDescent="0.45">
      <c r="A78" t="str">
        <f>INDEX(Dim_Month!A:A, INT((ROW()-2)/(4*3*2))+2)</f>
        <v>2025-04</v>
      </c>
      <c r="B78" t="str">
        <f>INDEX(Dim_Benefit!A:A, MOD(INT((ROW()-2)/(3*2)),4)+2)</f>
        <v>Health</v>
      </c>
      <c r="C78" t="str">
        <f>INDEX(Dim_Region!A:A,MOD(INT((ROW()-2)/2),3)+2)</f>
        <v>BC</v>
      </c>
      <c r="D78" t="str">
        <f>INDEX(Dim_Class!A:A,MOD(ROW()-2,2)+2)</f>
        <v>A</v>
      </c>
      <c r="E78">
        <f>COUNTIFS(Census!B:B,Experience_12m!C78,Census!C:C,Experience_12m!D78)</f>
        <v>72</v>
      </c>
      <c r="F78">
        <f>ROUND(E78*VLOOKUP(B78,assumptions!$A$3:$B$6,2,FALSE),0)</f>
        <v>11</v>
      </c>
      <c r="G78">
        <f>F78*VLOOKUP(B78,assumptions!$A$11:$B$14,2,FALSE)</f>
        <v>2750</v>
      </c>
    </row>
    <row r="79" spans="1:7" x14ac:dyDescent="0.45">
      <c r="A79" t="str">
        <f>INDEX(Dim_Month!A:A, INT((ROW()-2)/(4*3*2))+2)</f>
        <v>2025-04</v>
      </c>
      <c r="B79" t="str">
        <f>INDEX(Dim_Benefit!A:A, MOD(INT((ROW()-2)/(3*2)),4)+2)</f>
        <v>Health</v>
      </c>
      <c r="C79" t="str">
        <f>INDEX(Dim_Region!A:A,MOD(INT((ROW()-2)/2),3)+2)</f>
        <v>BC</v>
      </c>
      <c r="D79" t="str">
        <f>INDEX(Dim_Class!A:A,MOD(ROW()-2,2)+2)</f>
        <v>B</v>
      </c>
      <c r="E79">
        <f>COUNTIFS(Census!B:B,Experience_12m!C79,Census!C:C,Experience_12m!D79)</f>
        <v>46</v>
      </c>
      <c r="F79">
        <f>ROUND(E79*VLOOKUP(B79,assumptions!$A$3:$B$6,2,FALSE),0)</f>
        <v>7</v>
      </c>
      <c r="G79">
        <f>F79*VLOOKUP(B79,assumptions!$A$11:$B$14,2,FALSE)</f>
        <v>1750</v>
      </c>
    </row>
    <row r="80" spans="1:7" x14ac:dyDescent="0.45">
      <c r="A80" t="str">
        <f>INDEX(Dim_Month!A:A, INT((ROW()-2)/(4*3*2))+2)</f>
        <v>2025-04</v>
      </c>
      <c r="B80" t="str">
        <f>INDEX(Dim_Benefit!A:A, MOD(INT((ROW()-2)/(3*2)),4)+2)</f>
        <v>Dental</v>
      </c>
      <c r="C80" t="str">
        <f>INDEX(Dim_Region!A:A,MOD(INT((ROW()-2)/2),3)+2)</f>
        <v>ON</v>
      </c>
      <c r="D80" t="str">
        <f>INDEX(Dim_Class!A:A,MOD(ROW()-2,2)+2)</f>
        <v>A</v>
      </c>
      <c r="E80">
        <f>COUNTIFS(Census!B:B,Experience_12m!C80,Census!C:C,Experience_12m!D80)</f>
        <v>180</v>
      </c>
      <c r="F80">
        <f>ROUND(E80*VLOOKUP(B80,assumptions!$A$3:$B$6,2,FALSE),0)</f>
        <v>18</v>
      </c>
      <c r="G80">
        <f>F80*VLOOKUP(B80,assumptions!$A$11:$B$14,2,FALSE)</f>
        <v>3240</v>
      </c>
    </row>
    <row r="81" spans="1:7" x14ac:dyDescent="0.45">
      <c r="A81" t="str">
        <f>INDEX(Dim_Month!A:A, INT((ROW()-2)/(4*3*2))+2)</f>
        <v>2025-04</v>
      </c>
      <c r="B81" t="str">
        <f>INDEX(Dim_Benefit!A:A, MOD(INT((ROW()-2)/(3*2)),4)+2)</f>
        <v>Dental</v>
      </c>
      <c r="C81" t="str">
        <f>INDEX(Dim_Region!A:A,MOD(INT((ROW()-2)/2),3)+2)</f>
        <v>ON</v>
      </c>
      <c r="D81" t="str">
        <f>INDEX(Dim_Class!A:A,MOD(ROW()-2,2)+2)</f>
        <v>B</v>
      </c>
      <c r="E81">
        <f>COUNTIFS(Census!B:B,Experience_12m!C81,Census!C:C,Experience_12m!D81)</f>
        <v>109</v>
      </c>
      <c r="F81">
        <f>ROUND(E81*VLOOKUP(B81,assumptions!$A$3:$B$6,2,FALSE),0)</f>
        <v>11</v>
      </c>
      <c r="G81">
        <f>F81*VLOOKUP(B81,assumptions!$A$11:$B$14,2,FALSE)</f>
        <v>1980</v>
      </c>
    </row>
    <row r="82" spans="1:7" x14ac:dyDescent="0.45">
      <c r="A82" t="str">
        <f>INDEX(Dim_Month!A:A, INT((ROW()-2)/(4*3*2))+2)</f>
        <v>2025-04</v>
      </c>
      <c r="B82" t="str">
        <f>INDEX(Dim_Benefit!A:A, MOD(INT((ROW()-2)/(3*2)),4)+2)</f>
        <v>Dental</v>
      </c>
      <c r="C82" t="str">
        <f>INDEX(Dim_Region!A:A,MOD(INT((ROW()-2)/2),3)+2)</f>
        <v>QC</v>
      </c>
      <c r="D82" t="str">
        <f>INDEX(Dim_Class!A:A,MOD(ROW()-2,2)+2)</f>
        <v>A</v>
      </c>
      <c r="E82">
        <f>COUNTIFS(Census!B:B,Experience_12m!C82,Census!C:C,Experience_12m!D82)</f>
        <v>62</v>
      </c>
      <c r="F82">
        <f>ROUND(E82*VLOOKUP(B82,assumptions!$A$3:$B$6,2,FALSE),0)</f>
        <v>6</v>
      </c>
      <c r="G82">
        <f>F82*VLOOKUP(B82,assumptions!$A$11:$B$14,2,FALSE)</f>
        <v>1080</v>
      </c>
    </row>
    <row r="83" spans="1:7" x14ac:dyDescent="0.45">
      <c r="A83" t="str">
        <f>INDEX(Dim_Month!A:A, INT((ROW()-2)/(4*3*2))+2)</f>
        <v>2025-04</v>
      </c>
      <c r="B83" t="str">
        <f>INDEX(Dim_Benefit!A:A, MOD(INT((ROW()-2)/(3*2)),4)+2)</f>
        <v>Dental</v>
      </c>
      <c r="C83" t="str">
        <f>INDEX(Dim_Region!A:A,MOD(INT((ROW()-2)/2),3)+2)</f>
        <v>QC</v>
      </c>
      <c r="D83" t="str">
        <f>INDEX(Dim_Class!A:A,MOD(ROW()-2,2)+2)</f>
        <v>B</v>
      </c>
      <c r="E83">
        <f>COUNTIFS(Census!B:B,Experience_12m!C83,Census!C:C,Experience_12m!D83)</f>
        <v>31</v>
      </c>
      <c r="F83">
        <f>ROUND(E83*VLOOKUP(B83,assumptions!$A$3:$B$6,2,FALSE),0)</f>
        <v>3</v>
      </c>
      <c r="G83">
        <f>F83*VLOOKUP(B83,assumptions!$A$11:$B$14,2,FALSE)</f>
        <v>540</v>
      </c>
    </row>
    <row r="84" spans="1:7" x14ac:dyDescent="0.45">
      <c r="A84" t="str">
        <f>INDEX(Dim_Month!A:A, INT((ROW()-2)/(4*3*2))+2)</f>
        <v>2025-04</v>
      </c>
      <c r="B84" t="str">
        <f>INDEX(Dim_Benefit!A:A, MOD(INT((ROW()-2)/(3*2)),4)+2)</f>
        <v>Dental</v>
      </c>
      <c r="C84" t="str">
        <f>INDEX(Dim_Region!A:A,MOD(INT((ROW()-2)/2),3)+2)</f>
        <v>BC</v>
      </c>
      <c r="D84" t="str">
        <f>INDEX(Dim_Class!A:A,MOD(ROW()-2,2)+2)</f>
        <v>A</v>
      </c>
      <c r="E84">
        <f>COUNTIFS(Census!B:B,Experience_12m!C84,Census!C:C,Experience_12m!D84)</f>
        <v>72</v>
      </c>
      <c r="F84">
        <f>ROUND(E84*VLOOKUP(B84,assumptions!$A$3:$B$6,2,FALSE),0)</f>
        <v>7</v>
      </c>
      <c r="G84">
        <f>F84*VLOOKUP(B84,assumptions!$A$11:$B$14,2,FALSE)</f>
        <v>1260</v>
      </c>
    </row>
    <row r="85" spans="1:7" x14ac:dyDescent="0.45">
      <c r="A85" t="str">
        <f>INDEX(Dim_Month!A:A, INT((ROW()-2)/(4*3*2))+2)</f>
        <v>2025-04</v>
      </c>
      <c r="B85" t="str">
        <f>INDEX(Dim_Benefit!A:A, MOD(INT((ROW()-2)/(3*2)),4)+2)</f>
        <v>Dental</v>
      </c>
      <c r="C85" t="str">
        <f>INDEX(Dim_Region!A:A,MOD(INT((ROW()-2)/2),3)+2)</f>
        <v>BC</v>
      </c>
      <c r="D85" t="str">
        <f>INDEX(Dim_Class!A:A,MOD(ROW()-2,2)+2)</f>
        <v>B</v>
      </c>
      <c r="E85">
        <f>COUNTIFS(Census!B:B,Experience_12m!C85,Census!C:C,Experience_12m!D85)</f>
        <v>46</v>
      </c>
      <c r="F85">
        <f>ROUND(E85*VLOOKUP(B85,assumptions!$A$3:$B$6,2,FALSE),0)</f>
        <v>5</v>
      </c>
      <c r="G85">
        <f>F85*VLOOKUP(B85,assumptions!$A$11:$B$14,2,FALSE)</f>
        <v>900</v>
      </c>
    </row>
    <row r="86" spans="1:7" x14ac:dyDescent="0.45">
      <c r="A86" t="str">
        <f>INDEX(Dim_Month!A:A, INT((ROW()-2)/(4*3*2))+2)</f>
        <v>2025-04</v>
      </c>
      <c r="B86" t="str">
        <f>INDEX(Dim_Benefit!A:A, MOD(INT((ROW()-2)/(3*2)),4)+2)</f>
        <v>STD</v>
      </c>
      <c r="C86" t="str">
        <f>INDEX(Dim_Region!A:A,MOD(INT((ROW()-2)/2),3)+2)</f>
        <v>ON</v>
      </c>
      <c r="D86" t="str">
        <f>INDEX(Dim_Class!A:A,MOD(ROW()-2,2)+2)</f>
        <v>A</v>
      </c>
      <c r="E86">
        <f>COUNTIFS(Census!B:B,Experience_12m!C86,Census!C:C,Experience_12m!D86)</f>
        <v>180</v>
      </c>
      <c r="F86">
        <f>ROUND(E86*VLOOKUP(B86,assumptions!$A$3:$B$6,2,FALSE),0)</f>
        <v>2</v>
      </c>
      <c r="G86">
        <f>F86*VLOOKUP(B86,assumptions!$A$11:$B$14,2,FALSE)</f>
        <v>2400</v>
      </c>
    </row>
    <row r="87" spans="1:7" x14ac:dyDescent="0.45">
      <c r="A87" t="str">
        <f>INDEX(Dim_Month!A:A, INT((ROW()-2)/(4*3*2))+2)</f>
        <v>2025-04</v>
      </c>
      <c r="B87" t="str">
        <f>INDEX(Dim_Benefit!A:A, MOD(INT((ROW()-2)/(3*2)),4)+2)</f>
        <v>STD</v>
      </c>
      <c r="C87" t="str">
        <f>INDEX(Dim_Region!A:A,MOD(INT((ROW()-2)/2),3)+2)</f>
        <v>ON</v>
      </c>
      <c r="D87" t="str">
        <f>INDEX(Dim_Class!A:A,MOD(ROW()-2,2)+2)</f>
        <v>B</v>
      </c>
      <c r="E87">
        <f>COUNTIFS(Census!B:B,Experience_12m!C87,Census!C:C,Experience_12m!D87)</f>
        <v>109</v>
      </c>
      <c r="F87">
        <f>ROUND(E87*VLOOKUP(B87,assumptions!$A$3:$B$6,2,FALSE),0)</f>
        <v>1</v>
      </c>
      <c r="G87">
        <f>F87*VLOOKUP(B87,assumptions!$A$11:$B$14,2,FALSE)</f>
        <v>1200</v>
      </c>
    </row>
    <row r="88" spans="1:7" x14ac:dyDescent="0.45">
      <c r="A88" t="str">
        <f>INDEX(Dim_Month!A:A, INT((ROW()-2)/(4*3*2))+2)</f>
        <v>2025-04</v>
      </c>
      <c r="B88" t="str">
        <f>INDEX(Dim_Benefit!A:A, MOD(INT((ROW()-2)/(3*2)),4)+2)</f>
        <v>STD</v>
      </c>
      <c r="C88" t="str">
        <f>INDEX(Dim_Region!A:A,MOD(INT((ROW()-2)/2),3)+2)</f>
        <v>QC</v>
      </c>
      <c r="D88" t="str">
        <f>INDEX(Dim_Class!A:A,MOD(ROW()-2,2)+2)</f>
        <v>A</v>
      </c>
      <c r="E88">
        <f>COUNTIFS(Census!B:B,Experience_12m!C88,Census!C:C,Experience_12m!D88)</f>
        <v>62</v>
      </c>
      <c r="F88">
        <f>ROUND(E88*VLOOKUP(B88,assumptions!$A$3:$B$6,2,FALSE),0)</f>
        <v>1</v>
      </c>
      <c r="G88">
        <f>F88*VLOOKUP(B88,assumptions!$A$11:$B$14,2,FALSE)</f>
        <v>1200</v>
      </c>
    </row>
    <row r="89" spans="1:7" x14ac:dyDescent="0.45">
      <c r="A89" t="str">
        <f>INDEX(Dim_Month!A:A, INT((ROW()-2)/(4*3*2))+2)</f>
        <v>2025-04</v>
      </c>
      <c r="B89" t="str">
        <f>INDEX(Dim_Benefit!A:A, MOD(INT((ROW()-2)/(3*2)),4)+2)</f>
        <v>STD</v>
      </c>
      <c r="C89" t="str">
        <f>INDEX(Dim_Region!A:A,MOD(INT((ROW()-2)/2),3)+2)</f>
        <v>QC</v>
      </c>
      <c r="D89" t="str">
        <f>INDEX(Dim_Class!A:A,MOD(ROW()-2,2)+2)</f>
        <v>B</v>
      </c>
      <c r="E89">
        <f>COUNTIFS(Census!B:B,Experience_12m!C89,Census!C:C,Experience_12m!D89)</f>
        <v>31</v>
      </c>
      <c r="F89">
        <f>ROUND(E89*VLOOKUP(B89,assumptions!$A$3:$B$6,2,FALSE),0)</f>
        <v>0</v>
      </c>
      <c r="G89">
        <f>F89*VLOOKUP(B89,assumptions!$A$11:$B$14,2,FALSE)</f>
        <v>0</v>
      </c>
    </row>
    <row r="90" spans="1:7" x14ac:dyDescent="0.45">
      <c r="A90" t="str">
        <f>INDEX(Dim_Month!A:A, INT((ROW()-2)/(4*3*2))+2)</f>
        <v>2025-04</v>
      </c>
      <c r="B90" t="str">
        <f>INDEX(Dim_Benefit!A:A, MOD(INT((ROW()-2)/(3*2)),4)+2)</f>
        <v>STD</v>
      </c>
      <c r="C90" t="str">
        <f>INDEX(Dim_Region!A:A,MOD(INT((ROW()-2)/2),3)+2)</f>
        <v>BC</v>
      </c>
      <c r="D90" t="str">
        <f>INDEX(Dim_Class!A:A,MOD(ROW()-2,2)+2)</f>
        <v>A</v>
      </c>
      <c r="E90">
        <f>COUNTIFS(Census!B:B,Experience_12m!C90,Census!C:C,Experience_12m!D90)</f>
        <v>72</v>
      </c>
      <c r="F90">
        <f>ROUND(E90*VLOOKUP(B90,assumptions!$A$3:$B$6,2,FALSE),0)</f>
        <v>1</v>
      </c>
      <c r="G90">
        <f>F90*VLOOKUP(B90,assumptions!$A$11:$B$14,2,FALSE)</f>
        <v>1200</v>
      </c>
    </row>
    <row r="91" spans="1:7" x14ac:dyDescent="0.45">
      <c r="A91" t="str">
        <f>INDEX(Dim_Month!A:A, INT((ROW()-2)/(4*3*2))+2)</f>
        <v>2025-04</v>
      </c>
      <c r="B91" t="str">
        <f>INDEX(Dim_Benefit!A:A, MOD(INT((ROW()-2)/(3*2)),4)+2)</f>
        <v>STD</v>
      </c>
      <c r="C91" t="str">
        <f>INDEX(Dim_Region!A:A,MOD(INT((ROW()-2)/2),3)+2)</f>
        <v>BC</v>
      </c>
      <c r="D91" t="str">
        <f>INDEX(Dim_Class!A:A,MOD(ROW()-2,2)+2)</f>
        <v>B</v>
      </c>
      <c r="E91">
        <f>COUNTIFS(Census!B:B,Experience_12m!C91,Census!C:C,Experience_12m!D91)</f>
        <v>46</v>
      </c>
      <c r="F91">
        <f>ROUND(E91*VLOOKUP(B91,assumptions!$A$3:$B$6,2,FALSE),0)</f>
        <v>0</v>
      </c>
      <c r="G91">
        <f>F91*VLOOKUP(B91,assumptions!$A$11:$B$14,2,FALSE)</f>
        <v>0</v>
      </c>
    </row>
    <row r="92" spans="1:7" x14ac:dyDescent="0.45">
      <c r="A92" t="str">
        <f>INDEX(Dim_Month!A:A, INT((ROW()-2)/(4*3*2))+2)</f>
        <v>2025-04</v>
      </c>
      <c r="B92" t="str">
        <f>INDEX(Dim_Benefit!A:A, MOD(INT((ROW()-2)/(3*2)),4)+2)</f>
        <v>LTD</v>
      </c>
      <c r="C92" t="str">
        <f>INDEX(Dim_Region!A:A,MOD(INT((ROW()-2)/2),3)+2)</f>
        <v>ON</v>
      </c>
      <c r="D92" t="str">
        <f>INDEX(Dim_Class!A:A,MOD(ROW()-2,2)+2)</f>
        <v>A</v>
      </c>
      <c r="E92">
        <f>COUNTIFS(Census!B:B,Experience_12m!C92,Census!C:C,Experience_12m!D92)</f>
        <v>180</v>
      </c>
      <c r="F92">
        <f>ROUND(E92*VLOOKUP(B92,assumptions!$A$3:$B$6,2,FALSE),0)</f>
        <v>1</v>
      </c>
      <c r="G92">
        <f>F92*VLOOKUP(B92,assumptions!$A$11:$B$14,2,FALSE)</f>
        <v>6000</v>
      </c>
    </row>
    <row r="93" spans="1:7" x14ac:dyDescent="0.45">
      <c r="A93" t="str">
        <f>INDEX(Dim_Month!A:A, INT((ROW()-2)/(4*3*2))+2)</f>
        <v>2025-04</v>
      </c>
      <c r="B93" t="str">
        <f>INDEX(Dim_Benefit!A:A, MOD(INT((ROW()-2)/(3*2)),4)+2)</f>
        <v>LTD</v>
      </c>
      <c r="C93" t="str">
        <f>INDEX(Dim_Region!A:A,MOD(INT((ROW()-2)/2),3)+2)</f>
        <v>ON</v>
      </c>
      <c r="D93" t="str">
        <f>INDEX(Dim_Class!A:A,MOD(ROW()-2,2)+2)</f>
        <v>B</v>
      </c>
      <c r="E93">
        <f>COUNTIFS(Census!B:B,Experience_12m!C93,Census!C:C,Experience_12m!D93)</f>
        <v>109</v>
      </c>
      <c r="F93">
        <f>ROUND(E93*VLOOKUP(B93,assumptions!$A$3:$B$6,2,FALSE),0)</f>
        <v>0</v>
      </c>
      <c r="G93">
        <f>F93*VLOOKUP(B93,assumptions!$A$11:$B$14,2,FALSE)</f>
        <v>0</v>
      </c>
    </row>
    <row r="94" spans="1:7" x14ac:dyDescent="0.45">
      <c r="A94" t="str">
        <f>INDEX(Dim_Month!A:A, INT((ROW()-2)/(4*3*2))+2)</f>
        <v>2025-04</v>
      </c>
      <c r="B94" t="str">
        <f>INDEX(Dim_Benefit!A:A, MOD(INT((ROW()-2)/(3*2)),4)+2)</f>
        <v>LTD</v>
      </c>
      <c r="C94" t="str">
        <f>INDEX(Dim_Region!A:A,MOD(INT((ROW()-2)/2),3)+2)</f>
        <v>QC</v>
      </c>
      <c r="D94" t="str">
        <f>INDEX(Dim_Class!A:A,MOD(ROW()-2,2)+2)</f>
        <v>A</v>
      </c>
      <c r="E94">
        <f>COUNTIFS(Census!B:B,Experience_12m!C94,Census!C:C,Experience_12m!D94)</f>
        <v>62</v>
      </c>
      <c r="F94">
        <f>ROUND(E94*VLOOKUP(B94,assumptions!$A$3:$B$6,2,FALSE),0)</f>
        <v>0</v>
      </c>
      <c r="G94">
        <f>F94*VLOOKUP(B94,assumptions!$A$11:$B$14,2,FALSE)</f>
        <v>0</v>
      </c>
    </row>
    <row r="95" spans="1:7" x14ac:dyDescent="0.45">
      <c r="A95" t="str">
        <f>INDEX(Dim_Month!A:A, INT((ROW()-2)/(4*3*2))+2)</f>
        <v>2025-04</v>
      </c>
      <c r="B95" t="str">
        <f>INDEX(Dim_Benefit!A:A, MOD(INT((ROW()-2)/(3*2)),4)+2)</f>
        <v>LTD</v>
      </c>
      <c r="C95" t="str">
        <f>INDEX(Dim_Region!A:A,MOD(INT((ROW()-2)/2),3)+2)</f>
        <v>QC</v>
      </c>
      <c r="D95" t="str">
        <f>INDEX(Dim_Class!A:A,MOD(ROW()-2,2)+2)</f>
        <v>B</v>
      </c>
      <c r="E95">
        <f>COUNTIFS(Census!B:B,Experience_12m!C95,Census!C:C,Experience_12m!D95)</f>
        <v>31</v>
      </c>
      <c r="F95">
        <f>ROUND(E95*VLOOKUP(B95,assumptions!$A$3:$B$6,2,FALSE),0)</f>
        <v>0</v>
      </c>
      <c r="G95">
        <f>F95*VLOOKUP(B95,assumptions!$A$11:$B$14,2,FALSE)</f>
        <v>0</v>
      </c>
    </row>
    <row r="96" spans="1:7" x14ac:dyDescent="0.45">
      <c r="A96" t="str">
        <f>INDEX(Dim_Month!A:A, INT((ROW()-2)/(4*3*2))+2)</f>
        <v>2025-04</v>
      </c>
      <c r="B96" t="str">
        <f>INDEX(Dim_Benefit!A:A, MOD(INT((ROW()-2)/(3*2)),4)+2)</f>
        <v>LTD</v>
      </c>
      <c r="C96" t="str">
        <f>INDEX(Dim_Region!A:A,MOD(INT((ROW()-2)/2),3)+2)</f>
        <v>BC</v>
      </c>
      <c r="D96" t="str">
        <f>INDEX(Dim_Class!A:A,MOD(ROW()-2,2)+2)</f>
        <v>A</v>
      </c>
      <c r="E96">
        <f>COUNTIFS(Census!B:B,Experience_12m!C96,Census!C:C,Experience_12m!D96)</f>
        <v>72</v>
      </c>
      <c r="F96">
        <f>ROUND(E96*VLOOKUP(B96,assumptions!$A$3:$B$6,2,FALSE),0)</f>
        <v>0</v>
      </c>
      <c r="G96">
        <f>F96*VLOOKUP(B96,assumptions!$A$11:$B$14,2,FALSE)</f>
        <v>0</v>
      </c>
    </row>
    <row r="97" spans="1:7" x14ac:dyDescent="0.45">
      <c r="A97" t="str">
        <f>INDEX(Dim_Month!A:A, INT((ROW()-2)/(4*3*2))+2)</f>
        <v>2025-04</v>
      </c>
      <c r="B97" t="str">
        <f>INDEX(Dim_Benefit!A:A, MOD(INT((ROW()-2)/(3*2)),4)+2)</f>
        <v>LTD</v>
      </c>
      <c r="C97" t="str">
        <f>INDEX(Dim_Region!A:A,MOD(INT((ROW()-2)/2),3)+2)</f>
        <v>BC</v>
      </c>
      <c r="D97" t="str">
        <f>INDEX(Dim_Class!A:A,MOD(ROW()-2,2)+2)</f>
        <v>B</v>
      </c>
      <c r="E97">
        <f>COUNTIFS(Census!B:B,Experience_12m!C97,Census!C:C,Experience_12m!D97)</f>
        <v>46</v>
      </c>
      <c r="F97">
        <f>ROUND(E97*VLOOKUP(B97,assumptions!$A$3:$B$6,2,FALSE),0)</f>
        <v>0</v>
      </c>
      <c r="G97">
        <f>F97*VLOOKUP(B97,assumptions!$A$11:$B$14,2,FALSE)</f>
        <v>0</v>
      </c>
    </row>
    <row r="98" spans="1:7" x14ac:dyDescent="0.45">
      <c r="A98" t="str">
        <f>INDEX(Dim_Month!A:A, INT((ROW()-2)/(4*3*2))+2)</f>
        <v>2025-05</v>
      </c>
      <c r="B98" t="str">
        <f>INDEX(Dim_Benefit!A:A, MOD(INT((ROW()-2)/(3*2)),4)+2)</f>
        <v>Health</v>
      </c>
      <c r="C98" t="str">
        <f>INDEX(Dim_Region!A:A,MOD(INT((ROW()-2)/2),3)+2)</f>
        <v>ON</v>
      </c>
      <c r="D98" t="str">
        <f>INDEX(Dim_Class!A:A,MOD(ROW()-2,2)+2)</f>
        <v>A</v>
      </c>
      <c r="E98">
        <f>COUNTIFS(Census!B:B,Experience_12m!C98,Census!C:C,Experience_12m!D98)</f>
        <v>180</v>
      </c>
      <c r="F98">
        <f>ROUND(E98*VLOOKUP(B98,assumptions!$A$3:$B$6,2,FALSE),0)</f>
        <v>27</v>
      </c>
      <c r="G98">
        <f>F98*VLOOKUP(B98,assumptions!$A$11:$B$14,2,FALSE)</f>
        <v>6750</v>
      </c>
    </row>
    <row r="99" spans="1:7" x14ac:dyDescent="0.45">
      <c r="A99" t="str">
        <f>INDEX(Dim_Month!A:A, INT((ROW()-2)/(4*3*2))+2)</f>
        <v>2025-05</v>
      </c>
      <c r="B99" t="str">
        <f>INDEX(Dim_Benefit!A:A, MOD(INT((ROW()-2)/(3*2)),4)+2)</f>
        <v>Health</v>
      </c>
      <c r="C99" t="str">
        <f>INDEX(Dim_Region!A:A,MOD(INT((ROW()-2)/2),3)+2)</f>
        <v>ON</v>
      </c>
      <c r="D99" t="str">
        <f>INDEX(Dim_Class!A:A,MOD(ROW()-2,2)+2)</f>
        <v>B</v>
      </c>
      <c r="E99">
        <f>COUNTIFS(Census!B:B,Experience_12m!C99,Census!C:C,Experience_12m!D99)</f>
        <v>109</v>
      </c>
      <c r="F99">
        <f>ROUND(E99*VLOOKUP(B99,assumptions!$A$3:$B$6,2,FALSE),0)</f>
        <v>16</v>
      </c>
      <c r="G99">
        <f>F99*VLOOKUP(B99,assumptions!$A$11:$B$14,2,FALSE)</f>
        <v>4000</v>
      </c>
    </row>
    <row r="100" spans="1:7" x14ac:dyDescent="0.45">
      <c r="A100" t="str">
        <f>INDEX(Dim_Month!A:A, INT((ROW()-2)/(4*3*2))+2)</f>
        <v>2025-05</v>
      </c>
      <c r="B100" t="str">
        <f>INDEX(Dim_Benefit!A:A, MOD(INT((ROW()-2)/(3*2)),4)+2)</f>
        <v>Health</v>
      </c>
      <c r="C100" t="str">
        <f>INDEX(Dim_Region!A:A,MOD(INT((ROW()-2)/2),3)+2)</f>
        <v>QC</v>
      </c>
      <c r="D100" t="str">
        <f>INDEX(Dim_Class!A:A,MOD(ROW()-2,2)+2)</f>
        <v>A</v>
      </c>
      <c r="E100">
        <f>COUNTIFS(Census!B:B,Experience_12m!C100,Census!C:C,Experience_12m!D100)</f>
        <v>62</v>
      </c>
      <c r="F100">
        <f>ROUND(E100*VLOOKUP(B100,assumptions!$A$3:$B$6,2,FALSE),0)</f>
        <v>9</v>
      </c>
      <c r="G100">
        <f>F100*VLOOKUP(B100,assumptions!$A$11:$B$14,2,FALSE)</f>
        <v>2250</v>
      </c>
    </row>
    <row r="101" spans="1:7" x14ac:dyDescent="0.45">
      <c r="A101" t="str">
        <f>INDEX(Dim_Month!A:A, INT((ROW()-2)/(4*3*2))+2)</f>
        <v>2025-05</v>
      </c>
      <c r="B101" t="str">
        <f>INDEX(Dim_Benefit!A:A, MOD(INT((ROW()-2)/(3*2)),4)+2)</f>
        <v>Health</v>
      </c>
      <c r="C101" t="str">
        <f>INDEX(Dim_Region!A:A,MOD(INT((ROW()-2)/2),3)+2)</f>
        <v>QC</v>
      </c>
      <c r="D101" t="str">
        <f>INDEX(Dim_Class!A:A,MOD(ROW()-2,2)+2)</f>
        <v>B</v>
      </c>
      <c r="E101">
        <f>COUNTIFS(Census!B:B,Experience_12m!C101,Census!C:C,Experience_12m!D101)</f>
        <v>31</v>
      </c>
      <c r="F101">
        <f>ROUND(E101*VLOOKUP(B101,assumptions!$A$3:$B$6,2,FALSE),0)</f>
        <v>5</v>
      </c>
      <c r="G101">
        <f>F101*VLOOKUP(B101,assumptions!$A$11:$B$14,2,FALSE)</f>
        <v>1250</v>
      </c>
    </row>
    <row r="102" spans="1:7" x14ac:dyDescent="0.45">
      <c r="A102" t="str">
        <f>INDEX(Dim_Month!A:A, INT((ROW()-2)/(4*3*2))+2)</f>
        <v>2025-05</v>
      </c>
      <c r="B102" t="str">
        <f>INDEX(Dim_Benefit!A:A, MOD(INT((ROW()-2)/(3*2)),4)+2)</f>
        <v>Health</v>
      </c>
      <c r="C102" t="str">
        <f>INDEX(Dim_Region!A:A,MOD(INT((ROW()-2)/2),3)+2)</f>
        <v>BC</v>
      </c>
      <c r="D102" t="str">
        <f>INDEX(Dim_Class!A:A,MOD(ROW()-2,2)+2)</f>
        <v>A</v>
      </c>
      <c r="E102">
        <f>COUNTIFS(Census!B:B,Experience_12m!C102,Census!C:C,Experience_12m!D102)</f>
        <v>72</v>
      </c>
      <c r="F102">
        <f>ROUND(E102*VLOOKUP(B102,assumptions!$A$3:$B$6,2,FALSE),0)</f>
        <v>11</v>
      </c>
      <c r="G102">
        <f>F102*VLOOKUP(B102,assumptions!$A$11:$B$14,2,FALSE)</f>
        <v>2750</v>
      </c>
    </row>
    <row r="103" spans="1:7" x14ac:dyDescent="0.45">
      <c r="A103" t="str">
        <f>INDEX(Dim_Month!A:A, INT((ROW()-2)/(4*3*2))+2)</f>
        <v>2025-05</v>
      </c>
      <c r="B103" t="str">
        <f>INDEX(Dim_Benefit!A:A, MOD(INT((ROW()-2)/(3*2)),4)+2)</f>
        <v>Health</v>
      </c>
      <c r="C103" t="str">
        <f>INDEX(Dim_Region!A:A,MOD(INT((ROW()-2)/2),3)+2)</f>
        <v>BC</v>
      </c>
      <c r="D103" t="str">
        <f>INDEX(Dim_Class!A:A,MOD(ROW()-2,2)+2)</f>
        <v>B</v>
      </c>
      <c r="E103">
        <f>COUNTIFS(Census!B:B,Experience_12m!C103,Census!C:C,Experience_12m!D103)</f>
        <v>46</v>
      </c>
      <c r="F103">
        <f>ROUND(E103*VLOOKUP(B103,assumptions!$A$3:$B$6,2,FALSE),0)</f>
        <v>7</v>
      </c>
      <c r="G103">
        <f>F103*VLOOKUP(B103,assumptions!$A$11:$B$14,2,FALSE)</f>
        <v>1750</v>
      </c>
    </row>
    <row r="104" spans="1:7" x14ac:dyDescent="0.45">
      <c r="A104" t="str">
        <f>INDEX(Dim_Month!A:A, INT((ROW()-2)/(4*3*2))+2)</f>
        <v>2025-05</v>
      </c>
      <c r="B104" t="str">
        <f>INDEX(Dim_Benefit!A:A, MOD(INT((ROW()-2)/(3*2)),4)+2)</f>
        <v>Dental</v>
      </c>
      <c r="C104" t="str">
        <f>INDEX(Dim_Region!A:A,MOD(INT((ROW()-2)/2),3)+2)</f>
        <v>ON</v>
      </c>
      <c r="D104" t="str">
        <f>INDEX(Dim_Class!A:A,MOD(ROW()-2,2)+2)</f>
        <v>A</v>
      </c>
      <c r="E104">
        <f>COUNTIFS(Census!B:B,Experience_12m!C104,Census!C:C,Experience_12m!D104)</f>
        <v>180</v>
      </c>
      <c r="F104">
        <f>ROUND(E104*VLOOKUP(B104,assumptions!$A$3:$B$6,2,FALSE),0)</f>
        <v>18</v>
      </c>
      <c r="G104">
        <f>F104*VLOOKUP(B104,assumptions!$A$11:$B$14,2,FALSE)</f>
        <v>3240</v>
      </c>
    </row>
    <row r="105" spans="1:7" x14ac:dyDescent="0.45">
      <c r="A105" t="str">
        <f>INDEX(Dim_Month!A:A, INT((ROW()-2)/(4*3*2))+2)</f>
        <v>2025-05</v>
      </c>
      <c r="B105" t="str">
        <f>INDEX(Dim_Benefit!A:A, MOD(INT((ROW()-2)/(3*2)),4)+2)</f>
        <v>Dental</v>
      </c>
      <c r="C105" t="str">
        <f>INDEX(Dim_Region!A:A,MOD(INT((ROW()-2)/2),3)+2)</f>
        <v>ON</v>
      </c>
      <c r="D105" t="str">
        <f>INDEX(Dim_Class!A:A,MOD(ROW()-2,2)+2)</f>
        <v>B</v>
      </c>
      <c r="E105">
        <f>COUNTIFS(Census!B:B,Experience_12m!C105,Census!C:C,Experience_12m!D105)</f>
        <v>109</v>
      </c>
      <c r="F105">
        <f>ROUND(E105*VLOOKUP(B105,assumptions!$A$3:$B$6,2,FALSE),0)</f>
        <v>11</v>
      </c>
      <c r="G105">
        <f>F105*VLOOKUP(B105,assumptions!$A$11:$B$14,2,FALSE)</f>
        <v>1980</v>
      </c>
    </row>
    <row r="106" spans="1:7" x14ac:dyDescent="0.45">
      <c r="A106" t="str">
        <f>INDEX(Dim_Month!A:A, INT((ROW()-2)/(4*3*2))+2)</f>
        <v>2025-05</v>
      </c>
      <c r="B106" t="str">
        <f>INDEX(Dim_Benefit!A:A, MOD(INT((ROW()-2)/(3*2)),4)+2)</f>
        <v>Dental</v>
      </c>
      <c r="C106" t="str">
        <f>INDEX(Dim_Region!A:A,MOD(INT((ROW()-2)/2),3)+2)</f>
        <v>QC</v>
      </c>
      <c r="D106" t="str">
        <f>INDEX(Dim_Class!A:A,MOD(ROW()-2,2)+2)</f>
        <v>A</v>
      </c>
      <c r="E106">
        <f>COUNTIFS(Census!B:B,Experience_12m!C106,Census!C:C,Experience_12m!D106)</f>
        <v>62</v>
      </c>
      <c r="F106">
        <f>ROUND(E106*VLOOKUP(B106,assumptions!$A$3:$B$6,2,FALSE),0)</f>
        <v>6</v>
      </c>
      <c r="G106">
        <f>F106*VLOOKUP(B106,assumptions!$A$11:$B$14,2,FALSE)</f>
        <v>1080</v>
      </c>
    </row>
    <row r="107" spans="1:7" x14ac:dyDescent="0.45">
      <c r="A107" t="str">
        <f>INDEX(Dim_Month!A:A, INT((ROW()-2)/(4*3*2))+2)</f>
        <v>2025-05</v>
      </c>
      <c r="B107" t="str">
        <f>INDEX(Dim_Benefit!A:A, MOD(INT((ROW()-2)/(3*2)),4)+2)</f>
        <v>Dental</v>
      </c>
      <c r="C107" t="str">
        <f>INDEX(Dim_Region!A:A,MOD(INT((ROW()-2)/2),3)+2)</f>
        <v>QC</v>
      </c>
      <c r="D107" t="str">
        <f>INDEX(Dim_Class!A:A,MOD(ROW()-2,2)+2)</f>
        <v>B</v>
      </c>
      <c r="E107">
        <f>COUNTIFS(Census!B:B,Experience_12m!C107,Census!C:C,Experience_12m!D107)</f>
        <v>31</v>
      </c>
      <c r="F107">
        <f>ROUND(E107*VLOOKUP(B107,assumptions!$A$3:$B$6,2,FALSE),0)</f>
        <v>3</v>
      </c>
      <c r="G107">
        <f>F107*VLOOKUP(B107,assumptions!$A$11:$B$14,2,FALSE)</f>
        <v>540</v>
      </c>
    </row>
    <row r="108" spans="1:7" x14ac:dyDescent="0.45">
      <c r="A108" t="str">
        <f>INDEX(Dim_Month!A:A, INT((ROW()-2)/(4*3*2))+2)</f>
        <v>2025-05</v>
      </c>
      <c r="B108" t="str">
        <f>INDEX(Dim_Benefit!A:A, MOD(INT((ROW()-2)/(3*2)),4)+2)</f>
        <v>Dental</v>
      </c>
      <c r="C108" t="str">
        <f>INDEX(Dim_Region!A:A,MOD(INT((ROW()-2)/2),3)+2)</f>
        <v>BC</v>
      </c>
      <c r="D108" t="str">
        <f>INDEX(Dim_Class!A:A,MOD(ROW()-2,2)+2)</f>
        <v>A</v>
      </c>
      <c r="E108">
        <f>COUNTIFS(Census!B:B,Experience_12m!C108,Census!C:C,Experience_12m!D108)</f>
        <v>72</v>
      </c>
      <c r="F108">
        <f>ROUND(E108*VLOOKUP(B108,assumptions!$A$3:$B$6,2,FALSE),0)</f>
        <v>7</v>
      </c>
      <c r="G108">
        <f>F108*VLOOKUP(B108,assumptions!$A$11:$B$14,2,FALSE)</f>
        <v>1260</v>
      </c>
    </row>
    <row r="109" spans="1:7" x14ac:dyDescent="0.45">
      <c r="A109" t="str">
        <f>INDEX(Dim_Month!A:A, INT((ROW()-2)/(4*3*2))+2)</f>
        <v>2025-05</v>
      </c>
      <c r="B109" t="str">
        <f>INDEX(Dim_Benefit!A:A, MOD(INT((ROW()-2)/(3*2)),4)+2)</f>
        <v>Dental</v>
      </c>
      <c r="C109" t="str">
        <f>INDEX(Dim_Region!A:A,MOD(INT((ROW()-2)/2),3)+2)</f>
        <v>BC</v>
      </c>
      <c r="D109" t="str">
        <f>INDEX(Dim_Class!A:A,MOD(ROW()-2,2)+2)</f>
        <v>B</v>
      </c>
      <c r="E109">
        <f>COUNTIFS(Census!B:B,Experience_12m!C109,Census!C:C,Experience_12m!D109)</f>
        <v>46</v>
      </c>
      <c r="F109">
        <f>ROUND(E109*VLOOKUP(B109,assumptions!$A$3:$B$6,2,FALSE),0)</f>
        <v>5</v>
      </c>
      <c r="G109">
        <f>F109*VLOOKUP(B109,assumptions!$A$11:$B$14,2,FALSE)</f>
        <v>900</v>
      </c>
    </row>
    <row r="110" spans="1:7" x14ac:dyDescent="0.45">
      <c r="A110" t="str">
        <f>INDEX(Dim_Month!A:A, INT((ROW()-2)/(4*3*2))+2)</f>
        <v>2025-05</v>
      </c>
      <c r="B110" t="str">
        <f>INDEX(Dim_Benefit!A:A, MOD(INT((ROW()-2)/(3*2)),4)+2)</f>
        <v>STD</v>
      </c>
      <c r="C110" t="str">
        <f>INDEX(Dim_Region!A:A,MOD(INT((ROW()-2)/2),3)+2)</f>
        <v>ON</v>
      </c>
      <c r="D110" t="str">
        <f>INDEX(Dim_Class!A:A,MOD(ROW()-2,2)+2)</f>
        <v>A</v>
      </c>
      <c r="E110">
        <f>COUNTIFS(Census!B:B,Experience_12m!C110,Census!C:C,Experience_12m!D110)</f>
        <v>180</v>
      </c>
      <c r="F110">
        <f>ROUND(E110*VLOOKUP(B110,assumptions!$A$3:$B$6,2,FALSE),0)</f>
        <v>2</v>
      </c>
      <c r="G110">
        <f>F110*VLOOKUP(B110,assumptions!$A$11:$B$14,2,FALSE)</f>
        <v>2400</v>
      </c>
    </row>
    <row r="111" spans="1:7" x14ac:dyDescent="0.45">
      <c r="A111" t="str">
        <f>INDEX(Dim_Month!A:A, INT((ROW()-2)/(4*3*2))+2)</f>
        <v>2025-05</v>
      </c>
      <c r="B111" t="str">
        <f>INDEX(Dim_Benefit!A:A, MOD(INT((ROW()-2)/(3*2)),4)+2)</f>
        <v>STD</v>
      </c>
      <c r="C111" t="str">
        <f>INDEX(Dim_Region!A:A,MOD(INT((ROW()-2)/2),3)+2)</f>
        <v>ON</v>
      </c>
      <c r="D111" t="str">
        <f>INDEX(Dim_Class!A:A,MOD(ROW()-2,2)+2)</f>
        <v>B</v>
      </c>
      <c r="E111">
        <f>COUNTIFS(Census!B:B,Experience_12m!C111,Census!C:C,Experience_12m!D111)</f>
        <v>109</v>
      </c>
      <c r="F111">
        <f>ROUND(E111*VLOOKUP(B111,assumptions!$A$3:$B$6,2,FALSE),0)</f>
        <v>1</v>
      </c>
      <c r="G111">
        <f>F111*VLOOKUP(B111,assumptions!$A$11:$B$14,2,FALSE)</f>
        <v>1200</v>
      </c>
    </row>
    <row r="112" spans="1:7" x14ac:dyDescent="0.45">
      <c r="A112" t="str">
        <f>INDEX(Dim_Month!A:A, INT((ROW()-2)/(4*3*2))+2)</f>
        <v>2025-05</v>
      </c>
      <c r="B112" t="str">
        <f>INDEX(Dim_Benefit!A:A, MOD(INT((ROW()-2)/(3*2)),4)+2)</f>
        <v>STD</v>
      </c>
      <c r="C112" t="str">
        <f>INDEX(Dim_Region!A:A,MOD(INT((ROW()-2)/2),3)+2)</f>
        <v>QC</v>
      </c>
      <c r="D112" t="str">
        <f>INDEX(Dim_Class!A:A,MOD(ROW()-2,2)+2)</f>
        <v>A</v>
      </c>
      <c r="E112">
        <f>COUNTIFS(Census!B:B,Experience_12m!C112,Census!C:C,Experience_12m!D112)</f>
        <v>62</v>
      </c>
      <c r="F112">
        <f>ROUND(E112*VLOOKUP(B112,assumptions!$A$3:$B$6,2,FALSE),0)</f>
        <v>1</v>
      </c>
      <c r="G112">
        <f>F112*VLOOKUP(B112,assumptions!$A$11:$B$14,2,FALSE)</f>
        <v>1200</v>
      </c>
    </row>
    <row r="113" spans="1:7" x14ac:dyDescent="0.45">
      <c r="A113" t="str">
        <f>INDEX(Dim_Month!A:A, INT((ROW()-2)/(4*3*2))+2)</f>
        <v>2025-05</v>
      </c>
      <c r="B113" t="str">
        <f>INDEX(Dim_Benefit!A:A, MOD(INT((ROW()-2)/(3*2)),4)+2)</f>
        <v>STD</v>
      </c>
      <c r="C113" t="str">
        <f>INDEX(Dim_Region!A:A,MOD(INT((ROW()-2)/2),3)+2)</f>
        <v>QC</v>
      </c>
      <c r="D113" t="str">
        <f>INDEX(Dim_Class!A:A,MOD(ROW()-2,2)+2)</f>
        <v>B</v>
      </c>
      <c r="E113">
        <f>COUNTIFS(Census!B:B,Experience_12m!C113,Census!C:C,Experience_12m!D113)</f>
        <v>31</v>
      </c>
      <c r="F113">
        <f>ROUND(E113*VLOOKUP(B113,assumptions!$A$3:$B$6,2,FALSE),0)</f>
        <v>0</v>
      </c>
      <c r="G113">
        <f>F113*VLOOKUP(B113,assumptions!$A$11:$B$14,2,FALSE)</f>
        <v>0</v>
      </c>
    </row>
    <row r="114" spans="1:7" x14ac:dyDescent="0.45">
      <c r="A114" t="str">
        <f>INDEX(Dim_Month!A:A, INT((ROW()-2)/(4*3*2))+2)</f>
        <v>2025-05</v>
      </c>
      <c r="B114" t="str">
        <f>INDEX(Dim_Benefit!A:A, MOD(INT((ROW()-2)/(3*2)),4)+2)</f>
        <v>STD</v>
      </c>
      <c r="C114" t="str">
        <f>INDEX(Dim_Region!A:A,MOD(INT((ROW()-2)/2),3)+2)</f>
        <v>BC</v>
      </c>
      <c r="D114" t="str">
        <f>INDEX(Dim_Class!A:A,MOD(ROW()-2,2)+2)</f>
        <v>A</v>
      </c>
      <c r="E114">
        <f>COUNTIFS(Census!B:B,Experience_12m!C114,Census!C:C,Experience_12m!D114)</f>
        <v>72</v>
      </c>
      <c r="F114">
        <f>ROUND(E114*VLOOKUP(B114,assumptions!$A$3:$B$6,2,FALSE),0)</f>
        <v>1</v>
      </c>
      <c r="G114">
        <f>F114*VLOOKUP(B114,assumptions!$A$11:$B$14,2,FALSE)</f>
        <v>1200</v>
      </c>
    </row>
    <row r="115" spans="1:7" x14ac:dyDescent="0.45">
      <c r="A115" t="str">
        <f>INDEX(Dim_Month!A:A, INT((ROW()-2)/(4*3*2))+2)</f>
        <v>2025-05</v>
      </c>
      <c r="B115" t="str">
        <f>INDEX(Dim_Benefit!A:A, MOD(INT((ROW()-2)/(3*2)),4)+2)</f>
        <v>STD</v>
      </c>
      <c r="C115" t="str">
        <f>INDEX(Dim_Region!A:A,MOD(INT((ROW()-2)/2),3)+2)</f>
        <v>BC</v>
      </c>
      <c r="D115" t="str">
        <f>INDEX(Dim_Class!A:A,MOD(ROW()-2,2)+2)</f>
        <v>B</v>
      </c>
      <c r="E115">
        <f>COUNTIFS(Census!B:B,Experience_12m!C115,Census!C:C,Experience_12m!D115)</f>
        <v>46</v>
      </c>
      <c r="F115">
        <f>ROUND(E115*VLOOKUP(B115,assumptions!$A$3:$B$6,2,FALSE),0)</f>
        <v>0</v>
      </c>
      <c r="G115">
        <f>F115*VLOOKUP(B115,assumptions!$A$11:$B$14,2,FALSE)</f>
        <v>0</v>
      </c>
    </row>
    <row r="116" spans="1:7" x14ac:dyDescent="0.45">
      <c r="A116" t="str">
        <f>INDEX(Dim_Month!A:A, INT((ROW()-2)/(4*3*2))+2)</f>
        <v>2025-05</v>
      </c>
      <c r="B116" t="str">
        <f>INDEX(Dim_Benefit!A:A, MOD(INT((ROW()-2)/(3*2)),4)+2)</f>
        <v>LTD</v>
      </c>
      <c r="C116" t="str">
        <f>INDEX(Dim_Region!A:A,MOD(INT((ROW()-2)/2),3)+2)</f>
        <v>ON</v>
      </c>
      <c r="D116" t="str">
        <f>INDEX(Dim_Class!A:A,MOD(ROW()-2,2)+2)</f>
        <v>A</v>
      </c>
      <c r="E116">
        <f>COUNTIFS(Census!B:B,Experience_12m!C116,Census!C:C,Experience_12m!D116)</f>
        <v>180</v>
      </c>
      <c r="F116">
        <f>ROUND(E116*VLOOKUP(B116,assumptions!$A$3:$B$6,2,FALSE),0)</f>
        <v>1</v>
      </c>
      <c r="G116">
        <f>F116*VLOOKUP(B116,assumptions!$A$11:$B$14,2,FALSE)</f>
        <v>6000</v>
      </c>
    </row>
    <row r="117" spans="1:7" x14ac:dyDescent="0.45">
      <c r="A117" t="str">
        <f>INDEX(Dim_Month!A:A, INT((ROW()-2)/(4*3*2))+2)</f>
        <v>2025-05</v>
      </c>
      <c r="B117" t="str">
        <f>INDEX(Dim_Benefit!A:A, MOD(INT((ROW()-2)/(3*2)),4)+2)</f>
        <v>LTD</v>
      </c>
      <c r="C117" t="str">
        <f>INDEX(Dim_Region!A:A,MOD(INT((ROW()-2)/2),3)+2)</f>
        <v>ON</v>
      </c>
      <c r="D117" t="str">
        <f>INDEX(Dim_Class!A:A,MOD(ROW()-2,2)+2)</f>
        <v>B</v>
      </c>
      <c r="E117">
        <f>COUNTIFS(Census!B:B,Experience_12m!C117,Census!C:C,Experience_12m!D117)</f>
        <v>109</v>
      </c>
      <c r="F117">
        <f>ROUND(E117*VLOOKUP(B117,assumptions!$A$3:$B$6,2,FALSE),0)</f>
        <v>0</v>
      </c>
      <c r="G117">
        <f>F117*VLOOKUP(B117,assumptions!$A$11:$B$14,2,FALSE)</f>
        <v>0</v>
      </c>
    </row>
    <row r="118" spans="1:7" x14ac:dyDescent="0.45">
      <c r="A118" t="str">
        <f>INDEX(Dim_Month!A:A, INT((ROW()-2)/(4*3*2))+2)</f>
        <v>2025-05</v>
      </c>
      <c r="B118" t="str">
        <f>INDEX(Dim_Benefit!A:A, MOD(INT((ROW()-2)/(3*2)),4)+2)</f>
        <v>LTD</v>
      </c>
      <c r="C118" t="str">
        <f>INDEX(Dim_Region!A:A,MOD(INT((ROW()-2)/2),3)+2)</f>
        <v>QC</v>
      </c>
      <c r="D118" t="str">
        <f>INDEX(Dim_Class!A:A,MOD(ROW()-2,2)+2)</f>
        <v>A</v>
      </c>
      <c r="E118">
        <f>COUNTIFS(Census!B:B,Experience_12m!C118,Census!C:C,Experience_12m!D118)</f>
        <v>62</v>
      </c>
      <c r="F118">
        <f>ROUND(E118*VLOOKUP(B118,assumptions!$A$3:$B$6,2,FALSE),0)</f>
        <v>0</v>
      </c>
      <c r="G118">
        <f>F118*VLOOKUP(B118,assumptions!$A$11:$B$14,2,FALSE)</f>
        <v>0</v>
      </c>
    </row>
    <row r="119" spans="1:7" x14ac:dyDescent="0.45">
      <c r="A119" t="str">
        <f>INDEX(Dim_Month!A:A, INT((ROW()-2)/(4*3*2))+2)</f>
        <v>2025-05</v>
      </c>
      <c r="B119" t="str">
        <f>INDEX(Dim_Benefit!A:A, MOD(INT((ROW()-2)/(3*2)),4)+2)</f>
        <v>LTD</v>
      </c>
      <c r="C119" t="str">
        <f>INDEX(Dim_Region!A:A,MOD(INT((ROW()-2)/2),3)+2)</f>
        <v>QC</v>
      </c>
      <c r="D119" t="str">
        <f>INDEX(Dim_Class!A:A,MOD(ROW()-2,2)+2)</f>
        <v>B</v>
      </c>
      <c r="E119">
        <f>COUNTIFS(Census!B:B,Experience_12m!C119,Census!C:C,Experience_12m!D119)</f>
        <v>31</v>
      </c>
      <c r="F119">
        <f>ROUND(E119*VLOOKUP(B119,assumptions!$A$3:$B$6,2,FALSE),0)</f>
        <v>0</v>
      </c>
      <c r="G119">
        <f>F119*VLOOKUP(B119,assumptions!$A$11:$B$14,2,FALSE)</f>
        <v>0</v>
      </c>
    </row>
    <row r="120" spans="1:7" x14ac:dyDescent="0.45">
      <c r="A120" t="str">
        <f>INDEX(Dim_Month!A:A, INT((ROW()-2)/(4*3*2))+2)</f>
        <v>2025-05</v>
      </c>
      <c r="B120" t="str">
        <f>INDEX(Dim_Benefit!A:A, MOD(INT((ROW()-2)/(3*2)),4)+2)</f>
        <v>LTD</v>
      </c>
      <c r="C120" t="str">
        <f>INDEX(Dim_Region!A:A,MOD(INT((ROW()-2)/2),3)+2)</f>
        <v>BC</v>
      </c>
      <c r="D120" t="str">
        <f>INDEX(Dim_Class!A:A,MOD(ROW()-2,2)+2)</f>
        <v>A</v>
      </c>
      <c r="E120">
        <f>COUNTIFS(Census!B:B,Experience_12m!C120,Census!C:C,Experience_12m!D120)</f>
        <v>72</v>
      </c>
      <c r="F120">
        <f>ROUND(E120*VLOOKUP(B120,assumptions!$A$3:$B$6,2,FALSE),0)</f>
        <v>0</v>
      </c>
      <c r="G120">
        <f>F120*VLOOKUP(B120,assumptions!$A$11:$B$14,2,FALSE)</f>
        <v>0</v>
      </c>
    </row>
    <row r="121" spans="1:7" x14ac:dyDescent="0.45">
      <c r="A121" t="str">
        <f>INDEX(Dim_Month!A:A, INT((ROW()-2)/(4*3*2))+2)</f>
        <v>2025-05</v>
      </c>
      <c r="B121" t="str">
        <f>INDEX(Dim_Benefit!A:A, MOD(INT((ROW()-2)/(3*2)),4)+2)</f>
        <v>LTD</v>
      </c>
      <c r="C121" t="str">
        <f>INDEX(Dim_Region!A:A,MOD(INT((ROW()-2)/2),3)+2)</f>
        <v>BC</v>
      </c>
      <c r="D121" t="str">
        <f>INDEX(Dim_Class!A:A,MOD(ROW()-2,2)+2)</f>
        <v>B</v>
      </c>
      <c r="E121">
        <f>COUNTIFS(Census!B:B,Experience_12m!C121,Census!C:C,Experience_12m!D121)</f>
        <v>46</v>
      </c>
      <c r="F121">
        <f>ROUND(E121*VLOOKUP(B121,assumptions!$A$3:$B$6,2,FALSE),0)</f>
        <v>0</v>
      </c>
      <c r="G121">
        <f>F121*VLOOKUP(B121,assumptions!$A$11:$B$14,2,FALSE)</f>
        <v>0</v>
      </c>
    </row>
    <row r="122" spans="1:7" x14ac:dyDescent="0.45">
      <c r="A122" t="str">
        <f>INDEX(Dim_Month!A:A, INT((ROW()-2)/(4*3*2))+2)</f>
        <v>2025-06</v>
      </c>
      <c r="B122" t="str">
        <f>INDEX(Dim_Benefit!A:A, MOD(INT((ROW()-2)/(3*2)),4)+2)</f>
        <v>Health</v>
      </c>
      <c r="C122" t="str">
        <f>INDEX(Dim_Region!A:A,MOD(INT((ROW()-2)/2),3)+2)</f>
        <v>ON</v>
      </c>
      <c r="D122" t="str">
        <f>INDEX(Dim_Class!A:A,MOD(ROW()-2,2)+2)</f>
        <v>A</v>
      </c>
      <c r="E122">
        <f>COUNTIFS(Census!B:B,Experience_12m!C122,Census!C:C,Experience_12m!D122)</f>
        <v>180</v>
      </c>
      <c r="F122">
        <f>ROUND(E122*VLOOKUP(B122,assumptions!$A$3:$B$6,2,FALSE),0)</f>
        <v>27</v>
      </c>
      <c r="G122">
        <f>F122*VLOOKUP(B122,assumptions!$A$11:$B$14,2,FALSE)</f>
        <v>6750</v>
      </c>
    </row>
    <row r="123" spans="1:7" x14ac:dyDescent="0.45">
      <c r="A123" t="str">
        <f>INDEX(Dim_Month!A:A, INT((ROW()-2)/(4*3*2))+2)</f>
        <v>2025-06</v>
      </c>
      <c r="B123" t="str">
        <f>INDEX(Dim_Benefit!A:A, MOD(INT((ROW()-2)/(3*2)),4)+2)</f>
        <v>Health</v>
      </c>
      <c r="C123" t="str">
        <f>INDEX(Dim_Region!A:A,MOD(INT((ROW()-2)/2),3)+2)</f>
        <v>ON</v>
      </c>
      <c r="D123" t="str">
        <f>INDEX(Dim_Class!A:A,MOD(ROW()-2,2)+2)</f>
        <v>B</v>
      </c>
      <c r="E123">
        <f>COUNTIFS(Census!B:B,Experience_12m!C123,Census!C:C,Experience_12m!D123)</f>
        <v>109</v>
      </c>
      <c r="F123">
        <f>ROUND(E123*VLOOKUP(B123,assumptions!$A$3:$B$6,2,FALSE),0)</f>
        <v>16</v>
      </c>
      <c r="G123">
        <f>F123*VLOOKUP(B123,assumptions!$A$11:$B$14,2,FALSE)</f>
        <v>4000</v>
      </c>
    </row>
    <row r="124" spans="1:7" x14ac:dyDescent="0.45">
      <c r="A124" t="str">
        <f>INDEX(Dim_Month!A:A, INT((ROW()-2)/(4*3*2))+2)</f>
        <v>2025-06</v>
      </c>
      <c r="B124" t="str">
        <f>INDEX(Dim_Benefit!A:A, MOD(INT((ROW()-2)/(3*2)),4)+2)</f>
        <v>Health</v>
      </c>
      <c r="C124" t="str">
        <f>INDEX(Dim_Region!A:A,MOD(INT((ROW()-2)/2),3)+2)</f>
        <v>QC</v>
      </c>
      <c r="D124" t="str">
        <f>INDEX(Dim_Class!A:A,MOD(ROW()-2,2)+2)</f>
        <v>A</v>
      </c>
      <c r="E124">
        <f>COUNTIFS(Census!B:B,Experience_12m!C124,Census!C:C,Experience_12m!D124)</f>
        <v>62</v>
      </c>
      <c r="F124">
        <f>ROUND(E124*VLOOKUP(B124,assumptions!$A$3:$B$6,2,FALSE),0)</f>
        <v>9</v>
      </c>
      <c r="G124">
        <f>F124*VLOOKUP(B124,assumptions!$A$11:$B$14,2,FALSE)</f>
        <v>2250</v>
      </c>
    </row>
    <row r="125" spans="1:7" x14ac:dyDescent="0.45">
      <c r="A125" t="str">
        <f>INDEX(Dim_Month!A:A, INT((ROW()-2)/(4*3*2))+2)</f>
        <v>2025-06</v>
      </c>
      <c r="B125" t="str">
        <f>INDEX(Dim_Benefit!A:A, MOD(INT((ROW()-2)/(3*2)),4)+2)</f>
        <v>Health</v>
      </c>
      <c r="C125" t="str">
        <f>INDEX(Dim_Region!A:A,MOD(INT((ROW()-2)/2),3)+2)</f>
        <v>QC</v>
      </c>
      <c r="D125" t="str">
        <f>INDEX(Dim_Class!A:A,MOD(ROW()-2,2)+2)</f>
        <v>B</v>
      </c>
      <c r="E125">
        <f>COUNTIFS(Census!B:B,Experience_12m!C125,Census!C:C,Experience_12m!D125)</f>
        <v>31</v>
      </c>
      <c r="F125">
        <f>ROUND(E125*VLOOKUP(B125,assumptions!$A$3:$B$6,2,FALSE),0)</f>
        <v>5</v>
      </c>
      <c r="G125">
        <f>F125*VLOOKUP(B125,assumptions!$A$11:$B$14,2,FALSE)</f>
        <v>1250</v>
      </c>
    </row>
    <row r="126" spans="1:7" x14ac:dyDescent="0.45">
      <c r="A126" t="str">
        <f>INDEX(Dim_Month!A:A, INT((ROW()-2)/(4*3*2))+2)</f>
        <v>2025-06</v>
      </c>
      <c r="B126" t="str">
        <f>INDEX(Dim_Benefit!A:A, MOD(INT((ROW()-2)/(3*2)),4)+2)</f>
        <v>Health</v>
      </c>
      <c r="C126" t="str">
        <f>INDEX(Dim_Region!A:A,MOD(INT((ROW()-2)/2),3)+2)</f>
        <v>BC</v>
      </c>
      <c r="D126" t="str">
        <f>INDEX(Dim_Class!A:A,MOD(ROW()-2,2)+2)</f>
        <v>A</v>
      </c>
      <c r="E126">
        <f>COUNTIFS(Census!B:B,Experience_12m!C126,Census!C:C,Experience_12m!D126)</f>
        <v>72</v>
      </c>
      <c r="F126">
        <f>ROUND(E126*VLOOKUP(B126,assumptions!$A$3:$B$6,2,FALSE),0)</f>
        <v>11</v>
      </c>
      <c r="G126">
        <f>F126*VLOOKUP(B126,assumptions!$A$11:$B$14,2,FALSE)</f>
        <v>2750</v>
      </c>
    </row>
    <row r="127" spans="1:7" x14ac:dyDescent="0.45">
      <c r="A127" t="str">
        <f>INDEX(Dim_Month!A:A, INT((ROW()-2)/(4*3*2))+2)</f>
        <v>2025-06</v>
      </c>
      <c r="B127" t="str">
        <f>INDEX(Dim_Benefit!A:A, MOD(INT((ROW()-2)/(3*2)),4)+2)</f>
        <v>Health</v>
      </c>
      <c r="C127" t="str">
        <f>INDEX(Dim_Region!A:A,MOD(INT((ROW()-2)/2),3)+2)</f>
        <v>BC</v>
      </c>
      <c r="D127" t="str">
        <f>INDEX(Dim_Class!A:A,MOD(ROW()-2,2)+2)</f>
        <v>B</v>
      </c>
      <c r="E127">
        <f>COUNTIFS(Census!B:B,Experience_12m!C127,Census!C:C,Experience_12m!D127)</f>
        <v>46</v>
      </c>
      <c r="F127">
        <f>ROUND(E127*VLOOKUP(B127,assumptions!$A$3:$B$6,2,FALSE),0)</f>
        <v>7</v>
      </c>
      <c r="G127">
        <f>F127*VLOOKUP(B127,assumptions!$A$11:$B$14,2,FALSE)</f>
        <v>1750</v>
      </c>
    </row>
    <row r="128" spans="1:7" x14ac:dyDescent="0.45">
      <c r="A128" t="str">
        <f>INDEX(Dim_Month!A:A, INT((ROW()-2)/(4*3*2))+2)</f>
        <v>2025-06</v>
      </c>
      <c r="B128" t="str">
        <f>INDEX(Dim_Benefit!A:A, MOD(INT((ROW()-2)/(3*2)),4)+2)</f>
        <v>Dental</v>
      </c>
      <c r="C128" t="str">
        <f>INDEX(Dim_Region!A:A,MOD(INT((ROW()-2)/2),3)+2)</f>
        <v>ON</v>
      </c>
      <c r="D128" t="str">
        <f>INDEX(Dim_Class!A:A,MOD(ROW()-2,2)+2)</f>
        <v>A</v>
      </c>
      <c r="E128">
        <f>COUNTIFS(Census!B:B,Experience_12m!C128,Census!C:C,Experience_12m!D128)</f>
        <v>180</v>
      </c>
      <c r="F128">
        <f>ROUND(E128*VLOOKUP(B128,assumptions!$A$3:$B$6,2,FALSE),0)</f>
        <v>18</v>
      </c>
      <c r="G128">
        <f>F128*VLOOKUP(B128,assumptions!$A$11:$B$14,2,FALSE)</f>
        <v>3240</v>
      </c>
    </row>
    <row r="129" spans="1:7" x14ac:dyDescent="0.45">
      <c r="A129" t="str">
        <f>INDEX(Dim_Month!A:A, INT((ROW()-2)/(4*3*2))+2)</f>
        <v>2025-06</v>
      </c>
      <c r="B129" t="str">
        <f>INDEX(Dim_Benefit!A:A, MOD(INT((ROW()-2)/(3*2)),4)+2)</f>
        <v>Dental</v>
      </c>
      <c r="C129" t="str">
        <f>INDEX(Dim_Region!A:A,MOD(INT((ROW()-2)/2),3)+2)</f>
        <v>ON</v>
      </c>
      <c r="D129" t="str">
        <f>INDEX(Dim_Class!A:A,MOD(ROW()-2,2)+2)</f>
        <v>B</v>
      </c>
      <c r="E129">
        <f>COUNTIFS(Census!B:B,Experience_12m!C129,Census!C:C,Experience_12m!D129)</f>
        <v>109</v>
      </c>
      <c r="F129">
        <f>ROUND(E129*VLOOKUP(B129,assumptions!$A$3:$B$6,2,FALSE),0)</f>
        <v>11</v>
      </c>
      <c r="G129">
        <f>F129*VLOOKUP(B129,assumptions!$A$11:$B$14,2,FALSE)</f>
        <v>1980</v>
      </c>
    </row>
    <row r="130" spans="1:7" x14ac:dyDescent="0.45">
      <c r="A130" t="str">
        <f>INDEX(Dim_Month!A:A, INT((ROW()-2)/(4*3*2))+2)</f>
        <v>2025-06</v>
      </c>
      <c r="B130" t="str">
        <f>INDEX(Dim_Benefit!A:A, MOD(INT((ROW()-2)/(3*2)),4)+2)</f>
        <v>Dental</v>
      </c>
      <c r="C130" t="str">
        <f>INDEX(Dim_Region!A:A,MOD(INT((ROW()-2)/2),3)+2)</f>
        <v>QC</v>
      </c>
      <c r="D130" t="str">
        <f>INDEX(Dim_Class!A:A,MOD(ROW()-2,2)+2)</f>
        <v>A</v>
      </c>
      <c r="E130">
        <f>COUNTIFS(Census!B:B,Experience_12m!C130,Census!C:C,Experience_12m!D130)</f>
        <v>62</v>
      </c>
      <c r="F130">
        <f>ROUND(E130*VLOOKUP(B130,assumptions!$A$3:$B$6,2,FALSE),0)</f>
        <v>6</v>
      </c>
      <c r="G130">
        <f>F130*VLOOKUP(B130,assumptions!$A$11:$B$14,2,FALSE)</f>
        <v>1080</v>
      </c>
    </row>
    <row r="131" spans="1:7" x14ac:dyDescent="0.45">
      <c r="A131" t="str">
        <f>INDEX(Dim_Month!A:A, INT((ROW()-2)/(4*3*2))+2)</f>
        <v>2025-06</v>
      </c>
      <c r="B131" t="str">
        <f>INDEX(Dim_Benefit!A:A, MOD(INT((ROW()-2)/(3*2)),4)+2)</f>
        <v>Dental</v>
      </c>
      <c r="C131" t="str">
        <f>INDEX(Dim_Region!A:A,MOD(INT((ROW()-2)/2),3)+2)</f>
        <v>QC</v>
      </c>
      <c r="D131" t="str">
        <f>INDEX(Dim_Class!A:A,MOD(ROW()-2,2)+2)</f>
        <v>B</v>
      </c>
      <c r="E131">
        <f>COUNTIFS(Census!B:B,Experience_12m!C131,Census!C:C,Experience_12m!D131)</f>
        <v>31</v>
      </c>
      <c r="F131">
        <f>ROUND(E131*VLOOKUP(B131,assumptions!$A$3:$B$6,2,FALSE),0)</f>
        <v>3</v>
      </c>
      <c r="G131">
        <f>F131*VLOOKUP(B131,assumptions!$A$11:$B$14,2,FALSE)</f>
        <v>540</v>
      </c>
    </row>
    <row r="132" spans="1:7" x14ac:dyDescent="0.45">
      <c r="A132" t="str">
        <f>INDEX(Dim_Month!A:A, INT((ROW()-2)/(4*3*2))+2)</f>
        <v>2025-06</v>
      </c>
      <c r="B132" t="str">
        <f>INDEX(Dim_Benefit!A:A, MOD(INT((ROW()-2)/(3*2)),4)+2)</f>
        <v>Dental</v>
      </c>
      <c r="C132" t="str">
        <f>INDEX(Dim_Region!A:A,MOD(INT((ROW()-2)/2),3)+2)</f>
        <v>BC</v>
      </c>
      <c r="D132" t="str">
        <f>INDEX(Dim_Class!A:A,MOD(ROW()-2,2)+2)</f>
        <v>A</v>
      </c>
      <c r="E132">
        <f>COUNTIFS(Census!B:B,Experience_12m!C132,Census!C:C,Experience_12m!D132)</f>
        <v>72</v>
      </c>
      <c r="F132">
        <f>ROUND(E132*VLOOKUP(B132,assumptions!$A$3:$B$6,2,FALSE),0)</f>
        <v>7</v>
      </c>
      <c r="G132">
        <f>F132*VLOOKUP(B132,assumptions!$A$11:$B$14,2,FALSE)</f>
        <v>1260</v>
      </c>
    </row>
    <row r="133" spans="1:7" x14ac:dyDescent="0.45">
      <c r="A133" t="str">
        <f>INDEX(Dim_Month!A:A, INT((ROW()-2)/(4*3*2))+2)</f>
        <v>2025-06</v>
      </c>
      <c r="B133" t="str">
        <f>INDEX(Dim_Benefit!A:A, MOD(INT((ROW()-2)/(3*2)),4)+2)</f>
        <v>Dental</v>
      </c>
      <c r="C133" t="str">
        <f>INDEX(Dim_Region!A:A,MOD(INT((ROW()-2)/2),3)+2)</f>
        <v>BC</v>
      </c>
      <c r="D133" t="str">
        <f>INDEX(Dim_Class!A:A,MOD(ROW()-2,2)+2)</f>
        <v>B</v>
      </c>
      <c r="E133">
        <f>COUNTIFS(Census!B:B,Experience_12m!C133,Census!C:C,Experience_12m!D133)</f>
        <v>46</v>
      </c>
      <c r="F133">
        <f>ROUND(E133*VLOOKUP(B133,assumptions!$A$3:$B$6,2,FALSE),0)</f>
        <v>5</v>
      </c>
      <c r="G133">
        <f>F133*VLOOKUP(B133,assumptions!$A$11:$B$14,2,FALSE)</f>
        <v>900</v>
      </c>
    </row>
    <row r="134" spans="1:7" x14ac:dyDescent="0.45">
      <c r="A134" t="str">
        <f>INDEX(Dim_Month!A:A, INT((ROW()-2)/(4*3*2))+2)</f>
        <v>2025-06</v>
      </c>
      <c r="B134" t="str">
        <f>INDEX(Dim_Benefit!A:A, MOD(INT((ROW()-2)/(3*2)),4)+2)</f>
        <v>STD</v>
      </c>
      <c r="C134" t="str">
        <f>INDEX(Dim_Region!A:A,MOD(INT((ROW()-2)/2),3)+2)</f>
        <v>ON</v>
      </c>
      <c r="D134" t="str">
        <f>INDEX(Dim_Class!A:A,MOD(ROW()-2,2)+2)</f>
        <v>A</v>
      </c>
      <c r="E134">
        <f>COUNTIFS(Census!B:B,Experience_12m!C134,Census!C:C,Experience_12m!D134)</f>
        <v>180</v>
      </c>
      <c r="F134">
        <f>ROUND(E134*VLOOKUP(B134,assumptions!$A$3:$B$6,2,FALSE),0)</f>
        <v>2</v>
      </c>
      <c r="G134">
        <f>F134*VLOOKUP(B134,assumptions!$A$11:$B$14,2,FALSE)</f>
        <v>2400</v>
      </c>
    </row>
    <row r="135" spans="1:7" x14ac:dyDescent="0.45">
      <c r="A135" t="str">
        <f>INDEX(Dim_Month!A:A, INT((ROW()-2)/(4*3*2))+2)</f>
        <v>2025-06</v>
      </c>
      <c r="B135" t="str">
        <f>INDEX(Dim_Benefit!A:A, MOD(INT((ROW()-2)/(3*2)),4)+2)</f>
        <v>STD</v>
      </c>
      <c r="C135" t="str">
        <f>INDEX(Dim_Region!A:A,MOD(INT((ROW()-2)/2),3)+2)</f>
        <v>ON</v>
      </c>
      <c r="D135" t="str">
        <f>INDEX(Dim_Class!A:A,MOD(ROW()-2,2)+2)</f>
        <v>B</v>
      </c>
      <c r="E135">
        <f>COUNTIFS(Census!B:B,Experience_12m!C135,Census!C:C,Experience_12m!D135)</f>
        <v>109</v>
      </c>
      <c r="F135">
        <f>ROUND(E135*VLOOKUP(B135,assumptions!$A$3:$B$6,2,FALSE),0)</f>
        <v>1</v>
      </c>
      <c r="G135">
        <f>F135*VLOOKUP(B135,assumptions!$A$11:$B$14,2,FALSE)</f>
        <v>1200</v>
      </c>
    </row>
    <row r="136" spans="1:7" x14ac:dyDescent="0.45">
      <c r="A136" t="str">
        <f>INDEX(Dim_Month!A:A, INT((ROW()-2)/(4*3*2))+2)</f>
        <v>2025-06</v>
      </c>
      <c r="B136" t="str">
        <f>INDEX(Dim_Benefit!A:A, MOD(INT((ROW()-2)/(3*2)),4)+2)</f>
        <v>STD</v>
      </c>
      <c r="C136" t="str">
        <f>INDEX(Dim_Region!A:A,MOD(INT((ROW()-2)/2),3)+2)</f>
        <v>QC</v>
      </c>
      <c r="D136" t="str">
        <f>INDEX(Dim_Class!A:A,MOD(ROW()-2,2)+2)</f>
        <v>A</v>
      </c>
      <c r="E136">
        <f>COUNTIFS(Census!B:B,Experience_12m!C136,Census!C:C,Experience_12m!D136)</f>
        <v>62</v>
      </c>
      <c r="F136">
        <f>ROUND(E136*VLOOKUP(B136,assumptions!$A$3:$B$6,2,FALSE),0)</f>
        <v>1</v>
      </c>
      <c r="G136">
        <f>F136*VLOOKUP(B136,assumptions!$A$11:$B$14,2,FALSE)</f>
        <v>1200</v>
      </c>
    </row>
    <row r="137" spans="1:7" x14ac:dyDescent="0.45">
      <c r="A137" t="str">
        <f>INDEX(Dim_Month!A:A, INT((ROW()-2)/(4*3*2))+2)</f>
        <v>2025-06</v>
      </c>
      <c r="B137" t="str">
        <f>INDEX(Dim_Benefit!A:A, MOD(INT((ROW()-2)/(3*2)),4)+2)</f>
        <v>STD</v>
      </c>
      <c r="C137" t="str">
        <f>INDEX(Dim_Region!A:A,MOD(INT((ROW()-2)/2),3)+2)</f>
        <v>QC</v>
      </c>
      <c r="D137" t="str">
        <f>INDEX(Dim_Class!A:A,MOD(ROW()-2,2)+2)</f>
        <v>B</v>
      </c>
      <c r="E137">
        <f>COUNTIFS(Census!B:B,Experience_12m!C137,Census!C:C,Experience_12m!D137)</f>
        <v>31</v>
      </c>
      <c r="F137">
        <f>ROUND(E137*VLOOKUP(B137,assumptions!$A$3:$B$6,2,FALSE),0)</f>
        <v>0</v>
      </c>
      <c r="G137">
        <f>F137*VLOOKUP(B137,assumptions!$A$11:$B$14,2,FALSE)</f>
        <v>0</v>
      </c>
    </row>
    <row r="138" spans="1:7" x14ac:dyDescent="0.45">
      <c r="A138" t="str">
        <f>INDEX(Dim_Month!A:A, INT((ROW()-2)/(4*3*2))+2)</f>
        <v>2025-06</v>
      </c>
      <c r="B138" t="str">
        <f>INDEX(Dim_Benefit!A:A, MOD(INT((ROW()-2)/(3*2)),4)+2)</f>
        <v>STD</v>
      </c>
      <c r="C138" t="str">
        <f>INDEX(Dim_Region!A:A,MOD(INT((ROW()-2)/2),3)+2)</f>
        <v>BC</v>
      </c>
      <c r="D138" t="str">
        <f>INDEX(Dim_Class!A:A,MOD(ROW()-2,2)+2)</f>
        <v>A</v>
      </c>
      <c r="E138">
        <f>COUNTIFS(Census!B:B,Experience_12m!C138,Census!C:C,Experience_12m!D138)</f>
        <v>72</v>
      </c>
      <c r="F138">
        <f>ROUND(E138*VLOOKUP(B138,assumptions!$A$3:$B$6,2,FALSE),0)</f>
        <v>1</v>
      </c>
      <c r="G138">
        <f>F138*VLOOKUP(B138,assumptions!$A$11:$B$14,2,FALSE)</f>
        <v>1200</v>
      </c>
    </row>
    <row r="139" spans="1:7" x14ac:dyDescent="0.45">
      <c r="A139" t="str">
        <f>INDEX(Dim_Month!A:A, INT((ROW()-2)/(4*3*2))+2)</f>
        <v>2025-06</v>
      </c>
      <c r="B139" t="str">
        <f>INDEX(Dim_Benefit!A:A, MOD(INT((ROW()-2)/(3*2)),4)+2)</f>
        <v>STD</v>
      </c>
      <c r="C139" t="str">
        <f>INDEX(Dim_Region!A:A,MOD(INT((ROW()-2)/2),3)+2)</f>
        <v>BC</v>
      </c>
      <c r="D139" t="str">
        <f>INDEX(Dim_Class!A:A,MOD(ROW()-2,2)+2)</f>
        <v>B</v>
      </c>
      <c r="E139">
        <f>COUNTIFS(Census!B:B,Experience_12m!C139,Census!C:C,Experience_12m!D139)</f>
        <v>46</v>
      </c>
      <c r="F139">
        <f>ROUND(E139*VLOOKUP(B139,assumptions!$A$3:$B$6,2,FALSE),0)</f>
        <v>0</v>
      </c>
      <c r="G139">
        <f>F139*VLOOKUP(B139,assumptions!$A$11:$B$14,2,FALSE)</f>
        <v>0</v>
      </c>
    </row>
    <row r="140" spans="1:7" x14ac:dyDescent="0.45">
      <c r="A140" t="str">
        <f>INDEX(Dim_Month!A:A, INT((ROW()-2)/(4*3*2))+2)</f>
        <v>2025-06</v>
      </c>
      <c r="B140" t="str">
        <f>INDEX(Dim_Benefit!A:A, MOD(INT((ROW()-2)/(3*2)),4)+2)</f>
        <v>LTD</v>
      </c>
      <c r="C140" t="str">
        <f>INDEX(Dim_Region!A:A,MOD(INT((ROW()-2)/2),3)+2)</f>
        <v>ON</v>
      </c>
      <c r="D140" t="str">
        <f>INDEX(Dim_Class!A:A,MOD(ROW()-2,2)+2)</f>
        <v>A</v>
      </c>
      <c r="E140">
        <f>COUNTIFS(Census!B:B,Experience_12m!C140,Census!C:C,Experience_12m!D140)</f>
        <v>180</v>
      </c>
      <c r="F140">
        <f>ROUND(E140*VLOOKUP(B140,assumptions!$A$3:$B$6,2,FALSE),0)</f>
        <v>1</v>
      </c>
      <c r="G140">
        <f>F140*VLOOKUP(B140,assumptions!$A$11:$B$14,2,FALSE)</f>
        <v>6000</v>
      </c>
    </row>
    <row r="141" spans="1:7" x14ac:dyDescent="0.45">
      <c r="A141" t="str">
        <f>INDEX(Dim_Month!A:A, INT((ROW()-2)/(4*3*2))+2)</f>
        <v>2025-06</v>
      </c>
      <c r="B141" t="str">
        <f>INDEX(Dim_Benefit!A:A, MOD(INT((ROW()-2)/(3*2)),4)+2)</f>
        <v>LTD</v>
      </c>
      <c r="C141" t="str">
        <f>INDEX(Dim_Region!A:A,MOD(INT((ROW()-2)/2),3)+2)</f>
        <v>ON</v>
      </c>
      <c r="D141" t="str">
        <f>INDEX(Dim_Class!A:A,MOD(ROW()-2,2)+2)</f>
        <v>B</v>
      </c>
      <c r="E141">
        <f>COUNTIFS(Census!B:B,Experience_12m!C141,Census!C:C,Experience_12m!D141)</f>
        <v>109</v>
      </c>
      <c r="F141">
        <f>ROUND(E141*VLOOKUP(B141,assumptions!$A$3:$B$6,2,FALSE),0)</f>
        <v>0</v>
      </c>
      <c r="G141">
        <f>F141*VLOOKUP(B141,assumptions!$A$11:$B$14,2,FALSE)</f>
        <v>0</v>
      </c>
    </row>
    <row r="142" spans="1:7" x14ac:dyDescent="0.45">
      <c r="A142" t="str">
        <f>INDEX(Dim_Month!A:A, INT((ROW()-2)/(4*3*2))+2)</f>
        <v>2025-06</v>
      </c>
      <c r="B142" t="str">
        <f>INDEX(Dim_Benefit!A:A, MOD(INT((ROW()-2)/(3*2)),4)+2)</f>
        <v>LTD</v>
      </c>
      <c r="C142" t="str">
        <f>INDEX(Dim_Region!A:A,MOD(INT((ROW()-2)/2),3)+2)</f>
        <v>QC</v>
      </c>
      <c r="D142" t="str">
        <f>INDEX(Dim_Class!A:A,MOD(ROW()-2,2)+2)</f>
        <v>A</v>
      </c>
      <c r="E142">
        <f>COUNTIFS(Census!B:B,Experience_12m!C142,Census!C:C,Experience_12m!D142)</f>
        <v>62</v>
      </c>
      <c r="F142">
        <f>ROUND(E142*VLOOKUP(B142,assumptions!$A$3:$B$6,2,FALSE),0)</f>
        <v>0</v>
      </c>
      <c r="G142">
        <f>F142*VLOOKUP(B142,assumptions!$A$11:$B$14,2,FALSE)</f>
        <v>0</v>
      </c>
    </row>
    <row r="143" spans="1:7" x14ac:dyDescent="0.45">
      <c r="A143" t="str">
        <f>INDEX(Dim_Month!A:A, INT((ROW()-2)/(4*3*2))+2)</f>
        <v>2025-06</v>
      </c>
      <c r="B143" t="str">
        <f>INDEX(Dim_Benefit!A:A, MOD(INT((ROW()-2)/(3*2)),4)+2)</f>
        <v>LTD</v>
      </c>
      <c r="C143" t="str">
        <f>INDEX(Dim_Region!A:A,MOD(INT((ROW()-2)/2),3)+2)</f>
        <v>QC</v>
      </c>
      <c r="D143" t="str">
        <f>INDEX(Dim_Class!A:A,MOD(ROW()-2,2)+2)</f>
        <v>B</v>
      </c>
      <c r="E143">
        <f>COUNTIFS(Census!B:B,Experience_12m!C143,Census!C:C,Experience_12m!D143)</f>
        <v>31</v>
      </c>
      <c r="F143">
        <f>ROUND(E143*VLOOKUP(B143,assumptions!$A$3:$B$6,2,FALSE),0)</f>
        <v>0</v>
      </c>
      <c r="G143">
        <f>F143*VLOOKUP(B143,assumptions!$A$11:$B$14,2,FALSE)</f>
        <v>0</v>
      </c>
    </row>
    <row r="144" spans="1:7" x14ac:dyDescent="0.45">
      <c r="A144" t="str">
        <f>INDEX(Dim_Month!A:A, INT((ROW()-2)/(4*3*2))+2)</f>
        <v>2025-06</v>
      </c>
      <c r="B144" t="str">
        <f>INDEX(Dim_Benefit!A:A, MOD(INT((ROW()-2)/(3*2)),4)+2)</f>
        <v>LTD</v>
      </c>
      <c r="C144" t="str">
        <f>INDEX(Dim_Region!A:A,MOD(INT((ROW()-2)/2),3)+2)</f>
        <v>BC</v>
      </c>
      <c r="D144" t="str">
        <f>INDEX(Dim_Class!A:A,MOD(ROW()-2,2)+2)</f>
        <v>A</v>
      </c>
      <c r="E144">
        <f>COUNTIFS(Census!B:B,Experience_12m!C144,Census!C:C,Experience_12m!D144)</f>
        <v>72</v>
      </c>
      <c r="F144">
        <f>ROUND(E144*VLOOKUP(B144,assumptions!$A$3:$B$6,2,FALSE),0)</f>
        <v>0</v>
      </c>
      <c r="G144">
        <f>F144*VLOOKUP(B144,assumptions!$A$11:$B$14,2,FALSE)</f>
        <v>0</v>
      </c>
    </row>
    <row r="145" spans="1:7" x14ac:dyDescent="0.45">
      <c r="A145" t="str">
        <f>INDEX(Dim_Month!A:A, INT((ROW()-2)/(4*3*2))+2)</f>
        <v>2025-06</v>
      </c>
      <c r="B145" t="str">
        <f>INDEX(Dim_Benefit!A:A, MOD(INT((ROW()-2)/(3*2)),4)+2)</f>
        <v>LTD</v>
      </c>
      <c r="C145" t="str">
        <f>INDEX(Dim_Region!A:A,MOD(INT((ROW()-2)/2),3)+2)</f>
        <v>BC</v>
      </c>
      <c r="D145" t="str">
        <f>INDEX(Dim_Class!A:A,MOD(ROW()-2,2)+2)</f>
        <v>B</v>
      </c>
      <c r="E145">
        <f>COUNTIFS(Census!B:B,Experience_12m!C145,Census!C:C,Experience_12m!D145)</f>
        <v>46</v>
      </c>
      <c r="F145">
        <f>ROUND(E145*VLOOKUP(B145,assumptions!$A$3:$B$6,2,FALSE),0)</f>
        <v>0</v>
      </c>
      <c r="G145">
        <f>F145*VLOOKUP(B145,assumptions!$A$11:$B$14,2,FALSE)</f>
        <v>0</v>
      </c>
    </row>
    <row r="146" spans="1:7" x14ac:dyDescent="0.45">
      <c r="A146" t="str">
        <f>INDEX(Dim_Month!A:A, INT((ROW()-2)/(4*3*2))+2)</f>
        <v>2025-07</v>
      </c>
      <c r="B146" t="str">
        <f>INDEX(Dim_Benefit!A:A, MOD(INT((ROW()-2)/(3*2)),4)+2)</f>
        <v>Health</v>
      </c>
      <c r="C146" t="str">
        <f>INDEX(Dim_Region!A:A,MOD(INT((ROW()-2)/2),3)+2)</f>
        <v>ON</v>
      </c>
      <c r="D146" t="str">
        <f>INDEX(Dim_Class!A:A,MOD(ROW()-2,2)+2)</f>
        <v>A</v>
      </c>
      <c r="E146">
        <f>COUNTIFS(Census!B:B,Experience_12m!C146,Census!C:C,Experience_12m!D146)</f>
        <v>180</v>
      </c>
      <c r="F146">
        <f>ROUND(E146*VLOOKUP(B146,assumptions!$A$3:$B$6,2,FALSE),0)</f>
        <v>27</v>
      </c>
      <c r="G146">
        <f>F146*VLOOKUP(B146,assumptions!$A$11:$B$14,2,FALSE)</f>
        <v>6750</v>
      </c>
    </row>
    <row r="147" spans="1:7" x14ac:dyDescent="0.45">
      <c r="A147" t="str">
        <f>INDEX(Dim_Month!A:A, INT((ROW()-2)/(4*3*2))+2)</f>
        <v>2025-07</v>
      </c>
      <c r="B147" t="str">
        <f>INDEX(Dim_Benefit!A:A, MOD(INT((ROW()-2)/(3*2)),4)+2)</f>
        <v>Health</v>
      </c>
      <c r="C147" t="str">
        <f>INDEX(Dim_Region!A:A,MOD(INT((ROW()-2)/2),3)+2)</f>
        <v>ON</v>
      </c>
      <c r="D147" t="str">
        <f>INDEX(Dim_Class!A:A,MOD(ROW()-2,2)+2)</f>
        <v>B</v>
      </c>
      <c r="E147">
        <f>COUNTIFS(Census!B:B,Experience_12m!C147,Census!C:C,Experience_12m!D147)</f>
        <v>109</v>
      </c>
      <c r="F147">
        <f>ROUND(E147*VLOOKUP(B147,assumptions!$A$3:$B$6,2,FALSE),0)</f>
        <v>16</v>
      </c>
      <c r="G147">
        <f>F147*VLOOKUP(B147,assumptions!$A$11:$B$14,2,FALSE)</f>
        <v>4000</v>
      </c>
    </row>
    <row r="148" spans="1:7" x14ac:dyDescent="0.45">
      <c r="A148" t="str">
        <f>INDEX(Dim_Month!A:A, INT((ROW()-2)/(4*3*2))+2)</f>
        <v>2025-07</v>
      </c>
      <c r="B148" t="str">
        <f>INDEX(Dim_Benefit!A:A, MOD(INT((ROW()-2)/(3*2)),4)+2)</f>
        <v>Health</v>
      </c>
      <c r="C148" t="str">
        <f>INDEX(Dim_Region!A:A,MOD(INT((ROW()-2)/2),3)+2)</f>
        <v>QC</v>
      </c>
      <c r="D148" t="str">
        <f>INDEX(Dim_Class!A:A,MOD(ROW()-2,2)+2)</f>
        <v>A</v>
      </c>
      <c r="E148">
        <f>COUNTIFS(Census!B:B,Experience_12m!C148,Census!C:C,Experience_12m!D148)</f>
        <v>62</v>
      </c>
      <c r="F148">
        <f>ROUND(E148*VLOOKUP(B148,assumptions!$A$3:$B$6,2,FALSE),0)</f>
        <v>9</v>
      </c>
      <c r="G148">
        <f>F148*VLOOKUP(B148,assumptions!$A$11:$B$14,2,FALSE)</f>
        <v>2250</v>
      </c>
    </row>
    <row r="149" spans="1:7" x14ac:dyDescent="0.45">
      <c r="A149" t="str">
        <f>INDEX(Dim_Month!A:A, INT((ROW()-2)/(4*3*2))+2)</f>
        <v>2025-07</v>
      </c>
      <c r="B149" t="str">
        <f>INDEX(Dim_Benefit!A:A, MOD(INT((ROW()-2)/(3*2)),4)+2)</f>
        <v>Health</v>
      </c>
      <c r="C149" t="str">
        <f>INDEX(Dim_Region!A:A,MOD(INT((ROW()-2)/2),3)+2)</f>
        <v>QC</v>
      </c>
      <c r="D149" t="str">
        <f>INDEX(Dim_Class!A:A,MOD(ROW()-2,2)+2)</f>
        <v>B</v>
      </c>
      <c r="E149">
        <f>COUNTIFS(Census!B:B,Experience_12m!C149,Census!C:C,Experience_12m!D149)</f>
        <v>31</v>
      </c>
      <c r="F149">
        <f>ROUND(E149*VLOOKUP(B149,assumptions!$A$3:$B$6,2,FALSE),0)</f>
        <v>5</v>
      </c>
      <c r="G149">
        <f>F149*VLOOKUP(B149,assumptions!$A$11:$B$14,2,FALSE)</f>
        <v>1250</v>
      </c>
    </row>
    <row r="150" spans="1:7" x14ac:dyDescent="0.45">
      <c r="A150" t="str">
        <f>INDEX(Dim_Month!A:A, INT((ROW()-2)/(4*3*2))+2)</f>
        <v>2025-07</v>
      </c>
      <c r="B150" t="str">
        <f>INDEX(Dim_Benefit!A:A, MOD(INT((ROW()-2)/(3*2)),4)+2)</f>
        <v>Health</v>
      </c>
      <c r="C150" t="str">
        <f>INDEX(Dim_Region!A:A,MOD(INT((ROW()-2)/2),3)+2)</f>
        <v>BC</v>
      </c>
      <c r="D150" t="str">
        <f>INDEX(Dim_Class!A:A,MOD(ROW()-2,2)+2)</f>
        <v>A</v>
      </c>
      <c r="E150">
        <f>COUNTIFS(Census!B:B,Experience_12m!C150,Census!C:C,Experience_12m!D150)</f>
        <v>72</v>
      </c>
      <c r="F150">
        <f>ROUND(E150*VLOOKUP(B150,assumptions!$A$3:$B$6,2,FALSE),0)</f>
        <v>11</v>
      </c>
      <c r="G150">
        <f>F150*VLOOKUP(B150,assumptions!$A$11:$B$14,2,FALSE)</f>
        <v>2750</v>
      </c>
    </row>
    <row r="151" spans="1:7" x14ac:dyDescent="0.45">
      <c r="A151" t="str">
        <f>INDEX(Dim_Month!A:A, INT((ROW()-2)/(4*3*2))+2)</f>
        <v>2025-07</v>
      </c>
      <c r="B151" t="str">
        <f>INDEX(Dim_Benefit!A:A, MOD(INT((ROW()-2)/(3*2)),4)+2)</f>
        <v>Health</v>
      </c>
      <c r="C151" t="str">
        <f>INDEX(Dim_Region!A:A,MOD(INT((ROW()-2)/2),3)+2)</f>
        <v>BC</v>
      </c>
      <c r="D151" t="str">
        <f>INDEX(Dim_Class!A:A,MOD(ROW()-2,2)+2)</f>
        <v>B</v>
      </c>
      <c r="E151">
        <f>COUNTIFS(Census!B:B,Experience_12m!C151,Census!C:C,Experience_12m!D151)</f>
        <v>46</v>
      </c>
      <c r="F151">
        <f>ROUND(E151*VLOOKUP(B151,assumptions!$A$3:$B$6,2,FALSE),0)</f>
        <v>7</v>
      </c>
      <c r="G151">
        <f>F151*VLOOKUP(B151,assumptions!$A$11:$B$14,2,FALSE)</f>
        <v>1750</v>
      </c>
    </row>
    <row r="152" spans="1:7" x14ac:dyDescent="0.45">
      <c r="A152" t="str">
        <f>INDEX(Dim_Month!A:A, INT((ROW()-2)/(4*3*2))+2)</f>
        <v>2025-07</v>
      </c>
      <c r="B152" t="str">
        <f>INDEX(Dim_Benefit!A:A, MOD(INT((ROW()-2)/(3*2)),4)+2)</f>
        <v>Dental</v>
      </c>
      <c r="C152" t="str">
        <f>INDEX(Dim_Region!A:A,MOD(INT((ROW()-2)/2),3)+2)</f>
        <v>ON</v>
      </c>
      <c r="D152" t="str">
        <f>INDEX(Dim_Class!A:A,MOD(ROW()-2,2)+2)</f>
        <v>A</v>
      </c>
      <c r="E152">
        <f>COUNTIFS(Census!B:B,Experience_12m!C152,Census!C:C,Experience_12m!D152)</f>
        <v>180</v>
      </c>
      <c r="F152">
        <f>ROUND(E152*VLOOKUP(B152,assumptions!$A$3:$B$6,2,FALSE),0)</f>
        <v>18</v>
      </c>
      <c r="G152">
        <f>F152*VLOOKUP(B152,assumptions!$A$11:$B$14,2,FALSE)</f>
        <v>3240</v>
      </c>
    </row>
    <row r="153" spans="1:7" x14ac:dyDescent="0.45">
      <c r="A153" t="str">
        <f>INDEX(Dim_Month!A:A, INT((ROW()-2)/(4*3*2))+2)</f>
        <v>2025-07</v>
      </c>
      <c r="B153" t="str">
        <f>INDEX(Dim_Benefit!A:A, MOD(INT((ROW()-2)/(3*2)),4)+2)</f>
        <v>Dental</v>
      </c>
      <c r="C153" t="str">
        <f>INDEX(Dim_Region!A:A,MOD(INT((ROW()-2)/2),3)+2)</f>
        <v>ON</v>
      </c>
      <c r="D153" t="str">
        <f>INDEX(Dim_Class!A:A,MOD(ROW()-2,2)+2)</f>
        <v>B</v>
      </c>
      <c r="E153">
        <f>COUNTIFS(Census!B:B,Experience_12m!C153,Census!C:C,Experience_12m!D153)</f>
        <v>109</v>
      </c>
      <c r="F153">
        <f>ROUND(E153*VLOOKUP(B153,assumptions!$A$3:$B$6,2,FALSE),0)</f>
        <v>11</v>
      </c>
      <c r="G153">
        <f>F153*VLOOKUP(B153,assumptions!$A$11:$B$14,2,FALSE)</f>
        <v>1980</v>
      </c>
    </row>
    <row r="154" spans="1:7" x14ac:dyDescent="0.45">
      <c r="A154" t="str">
        <f>INDEX(Dim_Month!A:A, INT((ROW()-2)/(4*3*2))+2)</f>
        <v>2025-07</v>
      </c>
      <c r="B154" t="str">
        <f>INDEX(Dim_Benefit!A:A, MOD(INT((ROW()-2)/(3*2)),4)+2)</f>
        <v>Dental</v>
      </c>
      <c r="C154" t="str">
        <f>INDEX(Dim_Region!A:A,MOD(INT((ROW()-2)/2),3)+2)</f>
        <v>QC</v>
      </c>
      <c r="D154" t="str">
        <f>INDEX(Dim_Class!A:A,MOD(ROW()-2,2)+2)</f>
        <v>A</v>
      </c>
      <c r="E154">
        <f>COUNTIFS(Census!B:B,Experience_12m!C154,Census!C:C,Experience_12m!D154)</f>
        <v>62</v>
      </c>
      <c r="F154">
        <f>ROUND(E154*VLOOKUP(B154,assumptions!$A$3:$B$6,2,FALSE),0)</f>
        <v>6</v>
      </c>
      <c r="G154">
        <f>F154*VLOOKUP(B154,assumptions!$A$11:$B$14,2,FALSE)</f>
        <v>1080</v>
      </c>
    </row>
    <row r="155" spans="1:7" x14ac:dyDescent="0.45">
      <c r="A155" t="str">
        <f>INDEX(Dim_Month!A:A, INT((ROW()-2)/(4*3*2))+2)</f>
        <v>2025-07</v>
      </c>
      <c r="B155" t="str">
        <f>INDEX(Dim_Benefit!A:A, MOD(INT((ROW()-2)/(3*2)),4)+2)</f>
        <v>Dental</v>
      </c>
      <c r="C155" t="str">
        <f>INDEX(Dim_Region!A:A,MOD(INT((ROW()-2)/2),3)+2)</f>
        <v>QC</v>
      </c>
      <c r="D155" t="str">
        <f>INDEX(Dim_Class!A:A,MOD(ROW()-2,2)+2)</f>
        <v>B</v>
      </c>
      <c r="E155">
        <f>COUNTIFS(Census!B:B,Experience_12m!C155,Census!C:C,Experience_12m!D155)</f>
        <v>31</v>
      </c>
      <c r="F155">
        <f>ROUND(E155*VLOOKUP(B155,assumptions!$A$3:$B$6,2,FALSE),0)</f>
        <v>3</v>
      </c>
      <c r="G155">
        <f>F155*VLOOKUP(B155,assumptions!$A$11:$B$14,2,FALSE)</f>
        <v>540</v>
      </c>
    </row>
    <row r="156" spans="1:7" x14ac:dyDescent="0.45">
      <c r="A156" t="str">
        <f>INDEX(Dim_Month!A:A, INT((ROW()-2)/(4*3*2))+2)</f>
        <v>2025-07</v>
      </c>
      <c r="B156" t="str">
        <f>INDEX(Dim_Benefit!A:A, MOD(INT((ROW()-2)/(3*2)),4)+2)</f>
        <v>Dental</v>
      </c>
      <c r="C156" t="str">
        <f>INDEX(Dim_Region!A:A,MOD(INT((ROW()-2)/2),3)+2)</f>
        <v>BC</v>
      </c>
      <c r="D156" t="str">
        <f>INDEX(Dim_Class!A:A,MOD(ROW()-2,2)+2)</f>
        <v>A</v>
      </c>
      <c r="E156">
        <f>COUNTIFS(Census!B:B,Experience_12m!C156,Census!C:C,Experience_12m!D156)</f>
        <v>72</v>
      </c>
      <c r="F156">
        <f>ROUND(E156*VLOOKUP(B156,assumptions!$A$3:$B$6,2,FALSE),0)</f>
        <v>7</v>
      </c>
      <c r="G156">
        <f>F156*VLOOKUP(B156,assumptions!$A$11:$B$14,2,FALSE)</f>
        <v>1260</v>
      </c>
    </row>
    <row r="157" spans="1:7" x14ac:dyDescent="0.45">
      <c r="A157" t="str">
        <f>INDEX(Dim_Month!A:A, INT((ROW()-2)/(4*3*2))+2)</f>
        <v>2025-07</v>
      </c>
      <c r="B157" t="str">
        <f>INDEX(Dim_Benefit!A:A, MOD(INT((ROW()-2)/(3*2)),4)+2)</f>
        <v>Dental</v>
      </c>
      <c r="C157" t="str">
        <f>INDEX(Dim_Region!A:A,MOD(INT((ROW()-2)/2),3)+2)</f>
        <v>BC</v>
      </c>
      <c r="D157" t="str">
        <f>INDEX(Dim_Class!A:A,MOD(ROW()-2,2)+2)</f>
        <v>B</v>
      </c>
      <c r="E157">
        <f>COUNTIFS(Census!B:B,Experience_12m!C157,Census!C:C,Experience_12m!D157)</f>
        <v>46</v>
      </c>
      <c r="F157">
        <f>ROUND(E157*VLOOKUP(B157,assumptions!$A$3:$B$6,2,FALSE),0)</f>
        <v>5</v>
      </c>
      <c r="G157">
        <f>F157*VLOOKUP(B157,assumptions!$A$11:$B$14,2,FALSE)</f>
        <v>900</v>
      </c>
    </row>
    <row r="158" spans="1:7" x14ac:dyDescent="0.45">
      <c r="A158" t="str">
        <f>INDEX(Dim_Month!A:A, INT((ROW()-2)/(4*3*2))+2)</f>
        <v>2025-07</v>
      </c>
      <c r="B158" t="str">
        <f>INDEX(Dim_Benefit!A:A, MOD(INT((ROW()-2)/(3*2)),4)+2)</f>
        <v>STD</v>
      </c>
      <c r="C158" t="str">
        <f>INDEX(Dim_Region!A:A,MOD(INT((ROW()-2)/2),3)+2)</f>
        <v>ON</v>
      </c>
      <c r="D158" t="str">
        <f>INDEX(Dim_Class!A:A,MOD(ROW()-2,2)+2)</f>
        <v>A</v>
      </c>
      <c r="E158">
        <f>COUNTIFS(Census!B:B,Experience_12m!C158,Census!C:C,Experience_12m!D158)</f>
        <v>180</v>
      </c>
      <c r="F158">
        <f>ROUND(E158*VLOOKUP(B158,assumptions!$A$3:$B$6,2,FALSE),0)</f>
        <v>2</v>
      </c>
      <c r="G158">
        <f>F158*VLOOKUP(B158,assumptions!$A$11:$B$14,2,FALSE)</f>
        <v>2400</v>
      </c>
    </row>
    <row r="159" spans="1:7" x14ac:dyDescent="0.45">
      <c r="A159" t="str">
        <f>INDEX(Dim_Month!A:A, INT((ROW()-2)/(4*3*2))+2)</f>
        <v>2025-07</v>
      </c>
      <c r="B159" t="str">
        <f>INDEX(Dim_Benefit!A:A, MOD(INT((ROW()-2)/(3*2)),4)+2)</f>
        <v>STD</v>
      </c>
      <c r="C159" t="str">
        <f>INDEX(Dim_Region!A:A,MOD(INT((ROW()-2)/2),3)+2)</f>
        <v>ON</v>
      </c>
      <c r="D159" t="str">
        <f>INDEX(Dim_Class!A:A,MOD(ROW()-2,2)+2)</f>
        <v>B</v>
      </c>
      <c r="E159">
        <f>COUNTIFS(Census!B:B,Experience_12m!C159,Census!C:C,Experience_12m!D159)</f>
        <v>109</v>
      </c>
      <c r="F159">
        <f>ROUND(E159*VLOOKUP(B159,assumptions!$A$3:$B$6,2,FALSE),0)</f>
        <v>1</v>
      </c>
      <c r="G159">
        <f>F159*VLOOKUP(B159,assumptions!$A$11:$B$14,2,FALSE)</f>
        <v>1200</v>
      </c>
    </row>
    <row r="160" spans="1:7" x14ac:dyDescent="0.45">
      <c r="A160" t="str">
        <f>INDEX(Dim_Month!A:A, INT((ROW()-2)/(4*3*2))+2)</f>
        <v>2025-07</v>
      </c>
      <c r="B160" t="str">
        <f>INDEX(Dim_Benefit!A:A, MOD(INT((ROW()-2)/(3*2)),4)+2)</f>
        <v>STD</v>
      </c>
      <c r="C160" t="str">
        <f>INDEX(Dim_Region!A:A,MOD(INT((ROW()-2)/2),3)+2)</f>
        <v>QC</v>
      </c>
      <c r="D160" t="str">
        <f>INDEX(Dim_Class!A:A,MOD(ROW()-2,2)+2)</f>
        <v>A</v>
      </c>
      <c r="E160">
        <f>COUNTIFS(Census!B:B,Experience_12m!C160,Census!C:C,Experience_12m!D160)</f>
        <v>62</v>
      </c>
      <c r="F160">
        <f>ROUND(E160*VLOOKUP(B160,assumptions!$A$3:$B$6,2,FALSE),0)</f>
        <v>1</v>
      </c>
      <c r="G160">
        <f>F160*VLOOKUP(B160,assumptions!$A$11:$B$14,2,FALSE)</f>
        <v>1200</v>
      </c>
    </row>
    <row r="161" spans="1:7" x14ac:dyDescent="0.45">
      <c r="A161" t="str">
        <f>INDEX(Dim_Month!A:A, INT((ROW()-2)/(4*3*2))+2)</f>
        <v>2025-07</v>
      </c>
      <c r="B161" t="str">
        <f>INDEX(Dim_Benefit!A:A, MOD(INT((ROW()-2)/(3*2)),4)+2)</f>
        <v>STD</v>
      </c>
      <c r="C161" t="str">
        <f>INDEX(Dim_Region!A:A,MOD(INT((ROW()-2)/2),3)+2)</f>
        <v>QC</v>
      </c>
      <c r="D161" t="str">
        <f>INDEX(Dim_Class!A:A,MOD(ROW()-2,2)+2)</f>
        <v>B</v>
      </c>
      <c r="E161">
        <f>COUNTIFS(Census!B:B,Experience_12m!C161,Census!C:C,Experience_12m!D161)</f>
        <v>31</v>
      </c>
      <c r="F161">
        <f>ROUND(E161*VLOOKUP(B161,assumptions!$A$3:$B$6,2,FALSE),0)</f>
        <v>0</v>
      </c>
      <c r="G161">
        <f>F161*VLOOKUP(B161,assumptions!$A$11:$B$14,2,FALSE)</f>
        <v>0</v>
      </c>
    </row>
    <row r="162" spans="1:7" x14ac:dyDescent="0.45">
      <c r="A162" t="str">
        <f>INDEX(Dim_Month!A:A, INT((ROW()-2)/(4*3*2))+2)</f>
        <v>2025-07</v>
      </c>
      <c r="B162" t="str">
        <f>INDEX(Dim_Benefit!A:A, MOD(INT((ROW()-2)/(3*2)),4)+2)</f>
        <v>STD</v>
      </c>
      <c r="C162" t="str">
        <f>INDEX(Dim_Region!A:A,MOD(INT((ROW()-2)/2),3)+2)</f>
        <v>BC</v>
      </c>
      <c r="D162" t="str">
        <f>INDEX(Dim_Class!A:A,MOD(ROW()-2,2)+2)</f>
        <v>A</v>
      </c>
      <c r="E162">
        <f>COUNTIFS(Census!B:B,Experience_12m!C162,Census!C:C,Experience_12m!D162)</f>
        <v>72</v>
      </c>
      <c r="F162">
        <f>ROUND(E162*VLOOKUP(B162,assumptions!$A$3:$B$6,2,FALSE),0)</f>
        <v>1</v>
      </c>
      <c r="G162">
        <f>F162*VLOOKUP(B162,assumptions!$A$11:$B$14,2,FALSE)</f>
        <v>1200</v>
      </c>
    </row>
    <row r="163" spans="1:7" x14ac:dyDescent="0.45">
      <c r="A163" t="str">
        <f>INDEX(Dim_Month!A:A, INT((ROW()-2)/(4*3*2))+2)</f>
        <v>2025-07</v>
      </c>
      <c r="B163" t="str">
        <f>INDEX(Dim_Benefit!A:A, MOD(INT((ROW()-2)/(3*2)),4)+2)</f>
        <v>STD</v>
      </c>
      <c r="C163" t="str">
        <f>INDEX(Dim_Region!A:A,MOD(INT((ROW()-2)/2),3)+2)</f>
        <v>BC</v>
      </c>
      <c r="D163" t="str">
        <f>INDEX(Dim_Class!A:A,MOD(ROW()-2,2)+2)</f>
        <v>B</v>
      </c>
      <c r="E163">
        <f>COUNTIFS(Census!B:B,Experience_12m!C163,Census!C:C,Experience_12m!D163)</f>
        <v>46</v>
      </c>
      <c r="F163">
        <f>ROUND(E163*VLOOKUP(B163,assumptions!$A$3:$B$6,2,FALSE),0)</f>
        <v>0</v>
      </c>
      <c r="G163">
        <f>F163*VLOOKUP(B163,assumptions!$A$11:$B$14,2,FALSE)</f>
        <v>0</v>
      </c>
    </row>
    <row r="164" spans="1:7" x14ac:dyDescent="0.45">
      <c r="A164" t="str">
        <f>INDEX(Dim_Month!A:A, INT((ROW()-2)/(4*3*2))+2)</f>
        <v>2025-07</v>
      </c>
      <c r="B164" t="str">
        <f>INDEX(Dim_Benefit!A:A, MOD(INT((ROW()-2)/(3*2)),4)+2)</f>
        <v>LTD</v>
      </c>
      <c r="C164" t="str">
        <f>INDEX(Dim_Region!A:A,MOD(INT((ROW()-2)/2),3)+2)</f>
        <v>ON</v>
      </c>
      <c r="D164" t="str">
        <f>INDEX(Dim_Class!A:A,MOD(ROW()-2,2)+2)</f>
        <v>A</v>
      </c>
      <c r="E164">
        <f>COUNTIFS(Census!B:B,Experience_12m!C164,Census!C:C,Experience_12m!D164)</f>
        <v>180</v>
      </c>
      <c r="F164">
        <f>ROUND(E164*VLOOKUP(B164,assumptions!$A$3:$B$6,2,FALSE),0)</f>
        <v>1</v>
      </c>
      <c r="G164">
        <f>F164*VLOOKUP(B164,assumptions!$A$11:$B$14,2,FALSE)</f>
        <v>6000</v>
      </c>
    </row>
    <row r="165" spans="1:7" x14ac:dyDescent="0.45">
      <c r="A165" t="str">
        <f>INDEX(Dim_Month!A:A, INT((ROW()-2)/(4*3*2))+2)</f>
        <v>2025-07</v>
      </c>
      <c r="B165" t="str">
        <f>INDEX(Dim_Benefit!A:A, MOD(INT((ROW()-2)/(3*2)),4)+2)</f>
        <v>LTD</v>
      </c>
      <c r="C165" t="str">
        <f>INDEX(Dim_Region!A:A,MOD(INT((ROW()-2)/2),3)+2)</f>
        <v>ON</v>
      </c>
      <c r="D165" t="str">
        <f>INDEX(Dim_Class!A:A,MOD(ROW()-2,2)+2)</f>
        <v>B</v>
      </c>
      <c r="E165">
        <f>COUNTIFS(Census!B:B,Experience_12m!C165,Census!C:C,Experience_12m!D165)</f>
        <v>109</v>
      </c>
      <c r="F165">
        <f>ROUND(E165*VLOOKUP(B165,assumptions!$A$3:$B$6,2,FALSE),0)</f>
        <v>0</v>
      </c>
      <c r="G165">
        <f>F165*VLOOKUP(B165,assumptions!$A$11:$B$14,2,FALSE)</f>
        <v>0</v>
      </c>
    </row>
    <row r="166" spans="1:7" x14ac:dyDescent="0.45">
      <c r="A166" t="str">
        <f>INDEX(Dim_Month!A:A, INT((ROW()-2)/(4*3*2))+2)</f>
        <v>2025-07</v>
      </c>
      <c r="B166" t="str">
        <f>INDEX(Dim_Benefit!A:A, MOD(INT((ROW()-2)/(3*2)),4)+2)</f>
        <v>LTD</v>
      </c>
      <c r="C166" t="str">
        <f>INDEX(Dim_Region!A:A,MOD(INT((ROW()-2)/2),3)+2)</f>
        <v>QC</v>
      </c>
      <c r="D166" t="str">
        <f>INDEX(Dim_Class!A:A,MOD(ROW()-2,2)+2)</f>
        <v>A</v>
      </c>
      <c r="E166">
        <f>COUNTIFS(Census!B:B,Experience_12m!C166,Census!C:C,Experience_12m!D166)</f>
        <v>62</v>
      </c>
      <c r="F166">
        <f>ROUND(E166*VLOOKUP(B166,assumptions!$A$3:$B$6,2,FALSE),0)</f>
        <v>0</v>
      </c>
      <c r="G166">
        <f>F166*VLOOKUP(B166,assumptions!$A$11:$B$14,2,FALSE)</f>
        <v>0</v>
      </c>
    </row>
    <row r="167" spans="1:7" x14ac:dyDescent="0.45">
      <c r="A167" t="str">
        <f>INDEX(Dim_Month!A:A, INT((ROW()-2)/(4*3*2))+2)</f>
        <v>2025-07</v>
      </c>
      <c r="B167" t="str">
        <f>INDEX(Dim_Benefit!A:A, MOD(INT((ROW()-2)/(3*2)),4)+2)</f>
        <v>LTD</v>
      </c>
      <c r="C167" t="str">
        <f>INDEX(Dim_Region!A:A,MOD(INT((ROW()-2)/2),3)+2)</f>
        <v>QC</v>
      </c>
      <c r="D167" t="str">
        <f>INDEX(Dim_Class!A:A,MOD(ROW()-2,2)+2)</f>
        <v>B</v>
      </c>
      <c r="E167">
        <f>COUNTIFS(Census!B:B,Experience_12m!C167,Census!C:C,Experience_12m!D167)</f>
        <v>31</v>
      </c>
      <c r="F167">
        <f>ROUND(E167*VLOOKUP(B167,assumptions!$A$3:$B$6,2,FALSE),0)</f>
        <v>0</v>
      </c>
      <c r="G167">
        <f>F167*VLOOKUP(B167,assumptions!$A$11:$B$14,2,FALSE)</f>
        <v>0</v>
      </c>
    </row>
    <row r="168" spans="1:7" x14ac:dyDescent="0.45">
      <c r="A168" t="str">
        <f>INDEX(Dim_Month!A:A, INT((ROW()-2)/(4*3*2))+2)</f>
        <v>2025-07</v>
      </c>
      <c r="B168" t="str">
        <f>INDEX(Dim_Benefit!A:A, MOD(INT((ROW()-2)/(3*2)),4)+2)</f>
        <v>LTD</v>
      </c>
      <c r="C168" t="str">
        <f>INDEX(Dim_Region!A:A,MOD(INT((ROW()-2)/2),3)+2)</f>
        <v>BC</v>
      </c>
      <c r="D168" t="str">
        <f>INDEX(Dim_Class!A:A,MOD(ROW()-2,2)+2)</f>
        <v>A</v>
      </c>
      <c r="E168">
        <f>COUNTIFS(Census!B:B,Experience_12m!C168,Census!C:C,Experience_12m!D168)</f>
        <v>72</v>
      </c>
      <c r="F168">
        <f>ROUND(E168*VLOOKUP(B168,assumptions!$A$3:$B$6,2,FALSE),0)</f>
        <v>0</v>
      </c>
      <c r="G168">
        <f>F168*VLOOKUP(B168,assumptions!$A$11:$B$14,2,FALSE)</f>
        <v>0</v>
      </c>
    </row>
    <row r="169" spans="1:7" x14ac:dyDescent="0.45">
      <c r="A169" t="str">
        <f>INDEX(Dim_Month!A:A, INT((ROW()-2)/(4*3*2))+2)</f>
        <v>2025-07</v>
      </c>
      <c r="B169" t="str">
        <f>INDEX(Dim_Benefit!A:A, MOD(INT((ROW()-2)/(3*2)),4)+2)</f>
        <v>LTD</v>
      </c>
      <c r="C169" t="str">
        <f>INDEX(Dim_Region!A:A,MOD(INT((ROW()-2)/2),3)+2)</f>
        <v>BC</v>
      </c>
      <c r="D169" t="str">
        <f>INDEX(Dim_Class!A:A,MOD(ROW()-2,2)+2)</f>
        <v>B</v>
      </c>
      <c r="E169">
        <f>COUNTIFS(Census!B:B,Experience_12m!C169,Census!C:C,Experience_12m!D169)</f>
        <v>46</v>
      </c>
      <c r="F169">
        <f>ROUND(E169*VLOOKUP(B169,assumptions!$A$3:$B$6,2,FALSE),0)</f>
        <v>0</v>
      </c>
      <c r="G169">
        <f>F169*VLOOKUP(B169,assumptions!$A$11:$B$14,2,FALSE)</f>
        <v>0</v>
      </c>
    </row>
    <row r="170" spans="1:7" x14ac:dyDescent="0.45">
      <c r="A170" t="str">
        <f>INDEX(Dim_Month!A:A, INT((ROW()-2)/(4*3*2))+2)</f>
        <v>2025-08</v>
      </c>
      <c r="B170" t="str">
        <f>INDEX(Dim_Benefit!A:A, MOD(INT((ROW()-2)/(3*2)),4)+2)</f>
        <v>Health</v>
      </c>
      <c r="C170" t="str">
        <f>INDEX(Dim_Region!A:A,MOD(INT((ROW()-2)/2),3)+2)</f>
        <v>ON</v>
      </c>
      <c r="D170" t="str">
        <f>INDEX(Dim_Class!A:A,MOD(ROW()-2,2)+2)</f>
        <v>A</v>
      </c>
      <c r="E170">
        <f>COUNTIFS(Census!B:B,Experience_12m!C170,Census!C:C,Experience_12m!D170)</f>
        <v>180</v>
      </c>
      <c r="F170">
        <f>ROUND(E170*VLOOKUP(B170,assumptions!$A$3:$B$6,2,FALSE),0)</f>
        <v>27</v>
      </c>
      <c r="G170">
        <f>F170*VLOOKUP(B170,assumptions!$A$11:$B$14,2,FALSE)</f>
        <v>6750</v>
      </c>
    </row>
    <row r="171" spans="1:7" x14ac:dyDescent="0.45">
      <c r="A171" t="str">
        <f>INDEX(Dim_Month!A:A, INT((ROW()-2)/(4*3*2))+2)</f>
        <v>2025-08</v>
      </c>
      <c r="B171" t="str">
        <f>INDEX(Dim_Benefit!A:A, MOD(INT((ROW()-2)/(3*2)),4)+2)</f>
        <v>Health</v>
      </c>
      <c r="C171" t="str">
        <f>INDEX(Dim_Region!A:A,MOD(INT((ROW()-2)/2),3)+2)</f>
        <v>ON</v>
      </c>
      <c r="D171" t="str">
        <f>INDEX(Dim_Class!A:A,MOD(ROW()-2,2)+2)</f>
        <v>B</v>
      </c>
      <c r="E171">
        <f>COUNTIFS(Census!B:B,Experience_12m!C171,Census!C:C,Experience_12m!D171)</f>
        <v>109</v>
      </c>
      <c r="F171">
        <f>ROUND(E171*VLOOKUP(B171,assumptions!$A$3:$B$6,2,FALSE),0)</f>
        <v>16</v>
      </c>
      <c r="G171">
        <f>F171*VLOOKUP(B171,assumptions!$A$11:$B$14,2,FALSE)</f>
        <v>4000</v>
      </c>
    </row>
    <row r="172" spans="1:7" x14ac:dyDescent="0.45">
      <c r="A172" t="str">
        <f>INDEX(Dim_Month!A:A, INT((ROW()-2)/(4*3*2))+2)</f>
        <v>2025-08</v>
      </c>
      <c r="B172" t="str">
        <f>INDEX(Dim_Benefit!A:A, MOD(INT((ROW()-2)/(3*2)),4)+2)</f>
        <v>Health</v>
      </c>
      <c r="C172" t="str">
        <f>INDEX(Dim_Region!A:A,MOD(INT((ROW()-2)/2),3)+2)</f>
        <v>QC</v>
      </c>
      <c r="D172" t="str">
        <f>INDEX(Dim_Class!A:A,MOD(ROW()-2,2)+2)</f>
        <v>A</v>
      </c>
      <c r="E172">
        <f>COUNTIFS(Census!B:B,Experience_12m!C172,Census!C:C,Experience_12m!D172)</f>
        <v>62</v>
      </c>
      <c r="F172">
        <f>ROUND(E172*VLOOKUP(B172,assumptions!$A$3:$B$6,2,FALSE),0)</f>
        <v>9</v>
      </c>
      <c r="G172">
        <f>F172*VLOOKUP(B172,assumptions!$A$11:$B$14,2,FALSE)</f>
        <v>2250</v>
      </c>
    </row>
    <row r="173" spans="1:7" x14ac:dyDescent="0.45">
      <c r="A173" t="str">
        <f>INDEX(Dim_Month!A:A, INT((ROW()-2)/(4*3*2))+2)</f>
        <v>2025-08</v>
      </c>
      <c r="B173" t="str">
        <f>INDEX(Dim_Benefit!A:A, MOD(INT((ROW()-2)/(3*2)),4)+2)</f>
        <v>Health</v>
      </c>
      <c r="C173" t="str">
        <f>INDEX(Dim_Region!A:A,MOD(INT((ROW()-2)/2),3)+2)</f>
        <v>QC</v>
      </c>
      <c r="D173" t="str">
        <f>INDEX(Dim_Class!A:A,MOD(ROW()-2,2)+2)</f>
        <v>B</v>
      </c>
      <c r="E173">
        <f>COUNTIFS(Census!B:B,Experience_12m!C173,Census!C:C,Experience_12m!D173)</f>
        <v>31</v>
      </c>
      <c r="F173">
        <f>ROUND(E173*VLOOKUP(B173,assumptions!$A$3:$B$6,2,FALSE),0)</f>
        <v>5</v>
      </c>
      <c r="G173">
        <f>F173*VLOOKUP(B173,assumptions!$A$11:$B$14,2,FALSE)</f>
        <v>1250</v>
      </c>
    </row>
    <row r="174" spans="1:7" x14ac:dyDescent="0.45">
      <c r="A174" t="str">
        <f>INDEX(Dim_Month!A:A, INT((ROW()-2)/(4*3*2))+2)</f>
        <v>2025-08</v>
      </c>
      <c r="B174" t="str">
        <f>INDEX(Dim_Benefit!A:A, MOD(INT((ROW()-2)/(3*2)),4)+2)</f>
        <v>Health</v>
      </c>
      <c r="C174" t="str">
        <f>INDEX(Dim_Region!A:A,MOD(INT((ROW()-2)/2),3)+2)</f>
        <v>BC</v>
      </c>
      <c r="D174" t="str">
        <f>INDEX(Dim_Class!A:A,MOD(ROW()-2,2)+2)</f>
        <v>A</v>
      </c>
      <c r="E174">
        <f>COUNTIFS(Census!B:B,Experience_12m!C174,Census!C:C,Experience_12m!D174)</f>
        <v>72</v>
      </c>
      <c r="F174">
        <f>ROUND(E174*VLOOKUP(B174,assumptions!$A$3:$B$6,2,FALSE),0)</f>
        <v>11</v>
      </c>
      <c r="G174">
        <f>F174*VLOOKUP(B174,assumptions!$A$11:$B$14,2,FALSE)</f>
        <v>2750</v>
      </c>
    </row>
    <row r="175" spans="1:7" x14ac:dyDescent="0.45">
      <c r="A175" t="str">
        <f>INDEX(Dim_Month!A:A, INT((ROW()-2)/(4*3*2))+2)</f>
        <v>2025-08</v>
      </c>
      <c r="B175" t="str">
        <f>INDEX(Dim_Benefit!A:A, MOD(INT((ROW()-2)/(3*2)),4)+2)</f>
        <v>Health</v>
      </c>
      <c r="C175" t="str">
        <f>INDEX(Dim_Region!A:A,MOD(INT((ROW()-2)/2),3)+2)</f>
        <v>BC</v>
      </c>
      <c r="D175" t="str">
        <f>INDEX(Dim_Class!A:A,MOD(ROW()-2,2)+2)</f>
        <v>B</v>
      </c>
      <c r="E175">
        <f>COUNTIFS(Census!B:B,Experience_12m!C175,Census!C:C,Experience_12m!D175)</f>
        <v>46</v>
      </c>
      <c r="F175">
        <f>ROUND(E175*VLOOKUP(B175,assumptions!$A$3:$B$6,2,FALSE),0)</f>
        <v>7</v>
      </c>
      <c r="G175">
        <f>F175*VLOOKUP(B175,assumptions!$A$11:$B$14,2,FALSE)</f>
        <v>1750</v>
      </c>
    </row>
    <row r="176" spans="1:7" x14ac:dyDescent="0.45">
      <c r="A176" t="str">
        <f>INDEX(Dim_Month!A:A, INT((ROW()-2)/(4*3*2))+2)</f>
        <v>2025-08</v>
      </c>
      <c r="B176" t="str">
        <f>INDEX(Dim_Benefit!A:A, MOD(INT((ROW()-2)/(3*2)),4)+2)</f>
        <v>Dental</v>
      </c>
      <c r="C176" t="str">
        <f>INDEX(Dim_Region!A:A,MOD(INT((ROW()-2)/2),3)+2)</f>
        <v>ON</v>
      </c>
      <c r="D176" t="str">
        <f>INDEX(Dim_Class!A:A,MOD(ROW()-2,2)+2)</f>
        <v>A</v>
      </c>
      <c r="E176">
        <f>COUNTIFS(Census!B:B,Experience_12m!C176,Census!C:C,Experience_12m!D176)</f>
        <v>180</v>
      </c>
      <c r="F176">
        <f>ROUND(E176*VLOOKUP(B176,assumptions!$A$3:$B$6,2,FALSE),0)</f>
        <v>18</v>
      </c>
      <c r="G176">
        <f>F176*VLOOKUP(B176,assumptions!$A$11:$B$14,2,FALSE)</f>
        <v>3240</v>
      </c>
    </row>
    <row r="177" spans="1:7" x14ac:dyDescent="0.45">
      <c r="A177" t="str">
        <f>INDEX(Dim_Month!A:A, INT((ROW()-2)/(4*3*2))+2)</f>
        <v>2025-08</v>
      </c>
      <c r="B177" t="str">
        <f>INDEX(Dim_Benefit!A:A, MOD(INT((ROW()-2)/(3*2)),4)+2)</f>
        <v>Dental</v>
      </c>
      <c r="C177" t="str">
        <f>INDEX(Dim_Region!A:A,MOD(INT((ROW()-2)/2),3)+2)</f>
        <v>ON</v>
      </c>
      <c r="D177" t="str">
        <f>INDEX(Dim_Class!A:A,MOD(ROW()-2,2)+2)</f>
        <v>B</v>
      </c>
      <c r="E177">
        <f>COUNTIFS(Census!B:B,Experience_12m!C177,Census!C:C,Experience_12m!D177)</f>
        <v>109</v>
      </c>
      <c r="F177">
        <f>ROUND(E177*VLOOKUP(B177,assumptions!$A$3:$B$6,2,FALSE),0)</f>
        <v>11</v>
      </c>
      <c r="G177">
        <f>F177*VLOOKUP(B177,assumptions!$A$11:$B$14,2,FALSE)</f>
        <v>1980</v>
      </c>
    </row>
    <row r="178" spans="1:7" x14ac:dyDescent="0.45">
      <c r="A178" t="str">
        <f>INDEX(Dim_Month!A:A, INT((ROW()-2)/(4*3*2))+2)</f>
        <v>2025-08</v>
      </c>
      <c r="B178" t="str">
        <f>INDEX(Dim_Benefit!A:A, MOD(INT((ROW()-2)/(3*2)),4)+2)</f>
        <v>Dental</v>
      </c>
      <c r="C178" t="str">
        <f>INDEX(Dim_Region!A:A,MOD(INT((ROW()-2)/2),3)+2)</f>
        <v>QC</v>
      </c>
      <c r="D178" t="str">
        <f>INDEX(Dim_Class!A:A,MOD(ROW()-2,2)+2)</f>
        <v>A</v>
      </c>
      <c r="E178">
        <f>COUNTIFS(Census!B:B,Experience_12m!C178,Census!C:C,Experience_12m!D178)</f>
        <v>62</v>
      </c>
      <c r="F178">
        <f>ROUND(E178*VLOOKUP(B178,assumptions!$A$3:$B$6,2,FALSE),0)</f>
        <v>6</v>
      </c>
      <c r="G178">
        <f>F178*VLOOKUP(B178,assumptions!$A$11:$B$14,2,FALSE)</f>
        <v>1080</v>
      </c>
    </row>
    <row r="179" spans="1:7" x14ac:dyDescent="0.45">
      <c r="A179" t="str">
        <f>INDEX(Dim_Month!A:A, INT((ROW()-2)/(4*3*2))+2)</f>
        <v>2025-08</v>
      </c>
      <c r="B179" t="str">
        <f>INDEX(Dim_Benefit!A:A, MOD(INT((ROW()-2)/(3*2)),4)+2)</f>
        <v>Dental</v>
      </c>
      <c r="C179" t="str">
        <f>INDEX(Dim_Region!A:A,MOD(INT((ROW()-2)/2),3)+2)</f>
        <v>QC</v>
      </c>
      <c r="D179" t="str">
        <f>INDEX(Dim_Class!A:A,MOD(ROW()-2,2)+2)</f>
        <v>B</v>
      </c>
      <c r="E179">
        <f>COUNTIFS(Census!B:B,Experience_12m!C179,Census!C:C,Experience_12m!D179)</f>
        <v>31</v>
      </c>
      <c r="F179">
        <f>ROUND(E179*VLOOKUP(B179,assumptions!$A$3:$B$6,2,FALSE),0)</f>
        <v>3</v>
      </c>
      <c r="G179">
        <f>F179*VLOOKUP(B179,assumptions!$A$11:$B$14,2,FALSE)</f>
        <v>540</v>
      </c>
    </row>
    <row r="180" spans="1:7" x14ac:dyDescent="0.45">
      <c r="A180" t="str">
        <f>INDEX(Dim_Month!A:A, INT((ROW()-2)/(4*3*2))+2)</f>
        <v>2025-08</v>
      </c>
      <c r="B180" t="str">
        <f>INDEX(Dim_Benefit!A:A, MOD(INT((ROW()-2)/(3*2)),4)+2)</f>
        <v>Dental</v>
      </c>
      <c r="C180" t="str">
        <f>INDEX(Dim_Region!A:A,MOD(INT((ROW()-2)/2),3)+2)</f>
        <v>BC</v>
      </c>
      <c r="D180" t="str">
        <f>INDEX(Dim_Class!A:A,MOD(ROW()-2,2)+2)</f>
        <v>A</v>
      </c>
      <c r="E180">
        <f>COUNTIFS(Census!B:B,Experience_12m!C180,Census!C:C,Experience_12m!D180)</f>
        <v>72</v>
      </c>
      <c r="F180">
        <f>ROUND(E180*VLOOKUP(B180,assumptions!$A$3:$B$6,2,FALSE),0)</f>
        <v>7</v>
      </c>
      <c r="G180">
        <f>F180*VLOOKUP(B180,assumptions!$A$11:$B$14,2,FALSE)</f>
        <v>1260</v>
      </c>
    </row>
    <row r="181" spans="1:7" x14ac:dyDescent="0.45">
      <c r="A181" t="str">
        <f>INDEX(Dim_Month!A:A, INT((ROW()-2)/(4*3*2))+2)</f>
        <v>2025-08</v>
      </c>
      <c r="B181" t="str">
        <f>INDEX(Dim_Benefit!A:A, MOD(INT((ROW()-2)/(3*2)),4)+2)</f>
        <v>Dental</v>
      </c>
      <c r="C181" t="str">
        <f>INDEX(Dim_Region!A:A,MOD(INT((ROW()-2)/2),3)+2)</f>
        <v>BC</v>
      </c>
      <c r="D181" t="str">
        <f>INDEX(Dim_Class!A:A,MOD(ROW()-2,2)+2)</f>
        <v>B</v>
      </c>
      <c r="E181">
        <f>COUNTIFS(Census!B:B,Experience_12m!C181,Census!C:C,Experience_12m!D181)</f>
        <v>46</v>
      </c>
      <c r="F181">
        <f>ROUND(E181*VLOOKUP(B181,assumptions!$A$3:$B$6,2,FALSE),0)</f>
        <v>5</v>
      </c>
      <c r="G181">
        <f>F181*VLOOKUP(B181,assumptions!$A$11:$B$14,2,FALSE)</f>
        <v>900</v>
      </c>
    </row>
    <row r="182" spans="1:7" x14ac:dyDescent="0.45">
      <c r="A182" t="str">
        <f>INDEX(Dim_Month!A:A, INT((ROW()-2)/(4*3*2))+2)</f>
        <v>2025-08</v>
      </c>
      <c r="B182" t="str">
        <f>INDEX(Dim_Benefit!A:A, MOD(INT((ROW()-2)/(3*2)),4)+2)</f>
        <v>STD</v>
      </c>
      <c r="C182" t="str">
        <f>INDEX(Dim_Region!A:A,MOD(INT((ROW()-2)/2),3)+2)</f>
        <v>ON</v>
      </c>
      <c r="D182" t="str">
        <f>INDEX(Dim_Class!A:A,MOD(ROW()-2,2)+2)</f>
        <v>A</v>
      </c>
      <c r="E182">
        <f>COUNTIFS(Census!B:B,Experience_12m!C182,Census!C:C,Experience_12m!D182)</f>
        <v>180</v>
      </c>
      <c r="F182">
        <f>ROUND(E182*VLOOKUP(B182,assumptions!$A$3:$B$6,2,FALSE),0)</f>
        <v>2</v>
      </c>
      <c r="G182">
        <f>F182*VLOOKUP(B182,assumptions!$A$11:$B$14,2,FALSE)</f>
        <v>2400</v>
      </c>
    </row>
    <row r="183" spans="1:7" x14ac:dyDescent="0.45">
      <c r="A183" t="str">
        <f>INDEX(Dim_Month!A:A, INT((ROW()-2)/(4*3*2))+2)</f>
        <v>2025-08</v>
      </c>
      <c r="B183" t="str">
        <f>INDEX(Dim_Benefit!A:A, MOD(INT((ROW()-2)/(3*2)),4)+2)</f>
        <v>STD</v>
      </c>
      <c r="C183" t="str">
        <f>INDEX(Dim_Region!A:A,MOD(INT((ROW()-2)/2),3)+2)</f>
        <v>ON</v>
      </c>
      <c r="D183" t="str">
        <f>INDEX(Dim_Class!A:A,MOD(ROW()-2,2)+2)</f>
        <v>B</v>
      </c>
      <c r="E183">
        <f>COUNTIFS(Census!B:B,Experience_12m!C183,Census!C:C,Experience_12m!D183)</f>
        <v>109</v>
      </c>
      <c r="F183">
        <f>ROUND(E183*VLOOKUP(B183,assumptions!$A$3:$B$6,2,FALSE),0)</f>
        <v>1</v>
      </c>
      <c r="G183">
        <f>F183*VLOOKUP(B183,assumptions!$A$11:$B$14,2,FALSE)</f>
        <v>1200</v>
      </c>
    </row>
    <row r="184" spans="1:7" x14ac:dyDescent="0.45">
      <c r="A184" t="str">
        <f>INDEX(Dim_Month!A:A, INT((ROW()-2)/(4*3*2))+2)</f>
        <v>2025-08</v>
      </c>
      <c r="B184" t="str">
        <f>INDEX(Dim_Benefit!A:A, MOD(INT((ROW()-2)/(3*2)),4)+2)</f>
        <v>STD</v>
      </c>
      <c r="C184" t="str">
        <f>INDEX(Dim_Region!A:A,MOD(INT((ROW()-2)/2),3)+2)</f>
        <v>QC</v>
      </c>
      <c r="D184" t="str">
        <f>INDEX(Dim_Class!A:A,MOD(ROW()-2,2)+2)</f>
        <v>A</v>
      </c>
      <c r="E184">
        <f>COUNTIFS(Census!B:B,Experience_12m!C184,Census!C:C,Experience_12m!D184)</f>
        <v>62</v>
      </c>
      <c r="F184">
        <f>ROUND(E184*VLOOKUP(B184,assumptions!$A$3:$B$6,2,FALSE),0)</f>
        <v>1</v>
      </c>
      <c r="G184">
        <f>F184*VLOOKUP(B184,assumptions!$A$11:$B$14,2,FALSE)</f>
        <v>1200</v>
      </c>
    </row>
    <row r="185" spans="1:7" x14ac:dyDescent="0.45">
      <c r="A185" t="str">
        <f>INDEX(Dim_Month!A:A, INT((ROW()-2)/(4*3*2))+2)</f>
        <v>2025-08</v>
      </c>
      <c r="B185" t="str">
        <f>INDEX(Dim_Benefit!A:A, MOD(INT((ROW()-2)/(3*2)),4)+2)</f>
        <v>STD</v>
      </c>
      <c r="C185" t="str">
        <f>INDEX(Dim_Region!A:A,MOD(INT((ROW()-2)/2),3)+2)</f>
        <v>QC</v>
      </c>
      <c r="D185" t="str">
        <f>INDEX(Dim_Class!A:A,MOD(ROW()-2,2)+2)</f>
        <v>B</v>
      </c>
      <c r="E185">
        <f>COUNTIFS(Census!B:B,Experience_12m!C185,Census!C:C,Experience_12m!D185)</f>
        <v>31</v>
      </c>
      <c r="F185">
        <f>ROUND(E185*VLOOKUP(B185,assumptions!$A$3:$B$6,2,FALSE),0)</f>
        <v>0</v>
      </c>
      <c r="G185">
        <f>F185*VLOOKUP(B185,assumptions!$A$11:$B$14,2,FALSE)</f>
        <v>0</v>
      </c>
    </row>
    <row r="186" spans="1:7" x14ac:dyDescent="0.45">
      <c r="A186" t="str">
        <f>INDEX(Dim_Month!A:A, INT((ROW()-2)/(4*3*2))+2)</f>
        <v>2025-08</v>
      </c>
      <c r="B186" t="str">
        <f>INDEX(Dim_Benefit!A:A, MOD(INT((ROW()-2)/(3*2)),4)+2)</f>
        <v>STD</v>
      </c>
      <c r="C186" t="str">
        <f>INDEX(Dim_Region!A:A,MOD(INT((ROW()-2)/2),3)+2)</f>
        <v>BC</v>
      </c>
      <c r="D186" t="str">
        <f>INDEX(Dim_Class!A:A,MOD(ROW()-2,2)+2)</f>
        <v>A</v>
      </c>
      <c r="E186">
        <f>COUNTIFS(Census!B:B,Experience_12m!C186,Census!C:C,Experience_12m!D186)</f>
        <v>72</v>
      </c>
      <c r="F186">
        <f>ROUND(E186*VLOOKUP(B186,assumptions!$A$3:$B$6,2,FALSE),0)</f>
        <v>1</v>
      </c>
      <c r="G186">
        <f>F186*VLOOKUP(B186,assumptions!$A$11:$B$14,2,FALSE)</f>
        <v>1200</v>
      </c>
    </row>
    <row r="187" spans="1:7" x14ac:dyDescent="0.45">
      <c r="A187" t="str">
        <f>INDEX(Dim_Month!A:A, INT((ROW()-2)/(4*3*2))+2)</f>
        <v>2025-08</v>
      </c>
      <c r="B187" t="str">
        <f>INDEX(Dim_Benefit!A:A, MOD(INT((ROW()-2)/(3*2)),4)+2)</f>
        <v>STD</v>
      </c>
      <c r="C187" t="str">
        <f>INDEX(Dim_Region!A:A,MOD(INT((ROW()-2)/2),3)+2)</f>
        <v>BC</v>
      </c>
      <c r="D187" t="str">
        <f>INDEX(Dim_Class!A:A,MOD(ROW()-2,2)+2)</f>
        <v>B</v>
      </c>
      <c r="E187">
        <f>COUNTIFS(Census!B:B,Experience_12m!C187,Census!C:C,Experience_12m!D187)</f>
        <v>46</v>
      </c>
      <c r="F187">
        <f>ROUND(E187*VLOOKUP(B187,assumptions!$A$3:$B$6,2,FALSE),0)</f>
        <v>0</v>
      </c>
      <c r="G187">
        <f>F187*VLOOKUP(B187,assumptions!$A$11:$B$14,2,FALSE)</f>
        <v>0</v>
      </c>
    </row>
    <row r="188" spans="1:7" x14ac:dyDescent="0.45">
      <c r="A188" t="str">
        <f>INDEX(Dim_Month!A:A, INT((ROW()-2)/(4*3*2))+2)</f>
        <v>2025-08</v>
      </c>
      <c r="B188" t="str">
        <f>INDEX(Dim_Benefit!A:A, MOD(INT((ROW()-2)/(3*2)),4)+2)</f>
        <v>LTD</v>
      </c>
      <c r="C188" t="str">
        <f>INDEX(Dim_Region!A:A,MOD(INT((ROW()-2)/2),3)+2)</f>
        <v>ON</v>
      </c>
      <c r="D188" t="str">
        <f>INDEX(Dim_Class!A:A,MOD(ROW()-2,2)+2)</f>
        <v>A</v>
      </c>
      <c r="E188">
        <f>COUNTIFS(Census!B:B,Experience_12m!C188,Census!C:C,Experience_12m!D188)</f>
        <v>180</v>
      </c>
      <c r="F188">
        <f>ROUND(E188*VLOOKUP(B188,assumptions!$A$3:$B$6,2,FALSE),0)</f>
        <v>1</v>
      </c>
      <c r="G188">
        <f>F188*VLOOKUP(B188,assumptions!$A$11:$B$14,2,FALSE)</f>
        <v>6000</v>
      </c>
    </row>
    <row r="189" spans="1:7" x14ac:dyDescent="0.45">
      <c r="A189" t="str">
        <f>INDEX(Dim_Month!A:A, INT((ROW()-2)/(4*3*2))+2)</f>
        <v>2025-08</v>
      </c>
      <c r="B189" t="str">
        <f>INDEX(Dim_Benefit!A:A, MOD(INT((ROW()-2)/(3*2)),4)+2)</f>
        <v>LTD</v>
      </c>
      <c r="C189" t="str">
        <f>INDEX(Dim_Region!A:A,MOD(INT((ROW()-2)/2),3)+2)</f>
        <v>ON</v>
      </c>
      <c r="D189" t="str">
        <f>INDEX(Dim_Class!A:A,MOD(ROW()-2,2)+2)</f>
        <v>B</v>
      </c>
      <c r="E189">
        <f>COUNTIFS(Census!B:B,Experience_12m!C189,Census!C:C,Experience_12m!D189)</f>
        <v>109</v>
      </c>
      <c r="F189">
        <f>ROUND(E189*VLOOKUP(B189,assumptions!$A$3:$B$6,2,FALSE),0)</f>
        <v>0</v>
      </c>
      <c r="G189">
        <f>F189*VLOOKUP(B189,assumptions!$A$11:$B$14,2,FALSE)</f>
        <v>0</v>
      </c>
    </row>
    <row r="190" spans="1:7" x14ac:dyDescent="0.45">
      <c r="A190" t="str">
        <f>INDEX(Dim_Month!A:A, INT((ROW()-2)/(4*3*2))+2)</f>
        <v>2025-08</v>
      </c>
      <c r="B190" t="str">
        <f>INDEX(Dim_Benefit!A:A, MOD(INT((ROW()-2)/(3*2)),4)+2)</f>
        <v>LTD</v>
      </c>
      <c r="C190" t="str">
        <f>INDEX(Dim_Region!A:A,MOD(INT((ROW()-2)/2),3)+2)</f>
        <v>QC</v>
      </c>
      <c r="D190" t="str">
        <f>INDEX(Dim_Class!A:A,MOD(ROW()-2,2)+2)</f>
        <v>A</v>
      </c>
      <c r="E190">
        <f>COUNTIFS(Census!B:B,Experience_12m!C190,Census!C:C,Experience_12m!D190)</f>
        <v>62</v>
      </c>
      <c r="F190">
        <f>ROUND(E190*VLOOKUP(B190,assumptions!$A$3:$B$6,2,FALSE),0)</f>
        <v>0</v>
      </c>
      <c r="G190">
        <f>F190*VLOOKUP(B190,assumptions!$A$11:$B$14,2,FALSE)</f>
        <v>0</v>
      </c>
    </row>
    <row r="191" spans="1:7" x14ac:dyDescent="0.45">
      <c r="A191" t="str">
        <f>INDEX(Dim_Month!A:A, INT((ROW()-2)/(4*3*2))+2)</f>
        <v>2025-08</v>
      </c>
      <c r="B191" t="str">
        <f>INDEX(Dim_Benefit!A:A, MOD(INT((ROW()-2)/(3*2)),4)+2)</f>
        <v>LTD</v>
      </c>
      <c r="C191" t="str">
        <f>INDEX(Dim_Region!A:A,MOD(INT((ROW()-2)/2),3)+2)</f>
        <v>QC</v>
      </c>
      <c r="D191" t="str">
        <f>INDEX(Dim_Class!A:A,MOD(ROW()-2,2)+2)</f>
        <v>B</v>
      </c>
      <c r="E191">
        <f>COUNTIFS(Census!B:B,Experience_12m!C191,Census!C:C,Experience_12m!D191)</f>
        <v>31</v>
      </c>
      <c r="F191">
        <f>ROUND(E191*VLOOKUP(B191,assumptions!$A$3:$B$6,2,FALSE),0)</f>
        <v>0</v>
      </c>
      <c r="G191">
        <f>F191*VLOOKUP(B191,assumptions!$A$11:$B$14,2,FALSE)</f>
        <v>0</v>
      </c>
    </row>
    <row r="192" spans="1:7" x14ac:dyDescent="0.45">
      <c r="A192" t="str">
        <f>INDEX(Dim_Month!A:A, INT((ROW()-2)/(4*3*2))+2)</f>
        <v>2025-08</v>
      </c>
      <c r="B192" t="str">
        <f>INDEX(Dim_Benefit!A:A, MOD(INT((ROW()-2)/(3*2)),4)+2)</f>
        <v>LTD</v>
      </c>
      <c r="C192" t="str">
        <f>INDEX(Dim_Region!A:A,MOD(INT((ROW()-2)/2),3)+2)</f>
        <v>BC</v>
      </c>
      <c r="D192" t="str">
        <f>INDEX(Dim_Class!A:A,MOD(ROW()-2,2)+2)</f>
        <v>A</v>
      </c>
      <c r="E192">
        <f>COUNTIFS(Census!B:B,Experience_12m!C192,Census!C:C,Experience_12m!D192)</f>
        <v>72</v>
      </c>
      <c r="F192">
        <f>ROUND(E192*VLOOKUP(B192,assumptions!$A$3:$B$6,2,FALSE),0)</f>
        <v>0</v>
      </c>
      <c r="G192">
        <f>F192*VLOOKUP(B192,assumptions!$A$11:$B$14,2,FALSE)</f>
        <v>0</v>
      </c>
    </row>
    <row r="193" spans="1:7" x14ac:dyDescent="0.45">
      <c r="A193" t="str">
        <f>INDEX(Dim_Month!A:A, INT((ROW()-2)/(4*3*2))+2)</f>
        <v>2025-08</v>
      </c>
      <c r="B193" t="str">
        <f>INDEX(Dim_Benefit!A:A, MOD(INT((ROW()-2)/(3*2)),4)+2)</f>
        <v>LTD</v>
      </c>
      <c r="C193" t="str">
        <f>INDEX(Dim_Region!A:A,MOD(INT((ROW()-2)/2),3)+2)</f>
        <v>BC</v>
      </c>
      <c r="D193" t="str">
        <f>INDEX(Dim_Class!A:A,MOD(ROW()-2,2)+2)</f>
        <v>B</v>
      </c>
      <c r="E193">
        <f>COUNTIFS(Census!B:B,Experience_12m!C193,Census!C:C,Experience_12m!D193)</f>
        <v>46</v>
      </c>
      <c r="F193">
        <f>ROUND(E193*VLOOKUP(B193,assumptions!$A$3:$B$6,2,FALSE),0)</f>
        <v>0</v>
      </c>
      <c r="G193">
        <f>F193*VLOOKUP(B193,assumptions!$A$11:$B$14,2,FALSE)</f>
        <v>0</v>
      </c>
    </row>
    <row r="194" spans="1:7" x14ac:dyDescent="0.45">
      <c r="A194" t="str">
        <f>INDEX(Dim_Month!A:A, INT((ROW()-2)/(4*3*2))+2)</f>
        <v>2025-09</v>
      </c>
      <c r="B194" t="str">
        <f>INDEX(Dim_Benefit!A:A, MOD(INT((ROW()-2)/(3*2)),4)+2)</f>
        <v>Health</v>
      </c>
      <c r="C194" t="str">
        <f>INDEX(Dim_Region!A:A,MOD(INT((ROW()-2)/2),3)+2)</f>
        <v>ON</v>
      </c>
      <c r="D194" t="str">
        <f>INDEX(Dim_Class!A:A,MOD(ROW()-2,2)+2)</f>
        <v>A</v>
      </c>
      <c r="E194">
        <f>COUNTIFS(Census!B:B,Experience_12m!C194,Census!C:C,Experience_12m!D194)</f>
        <v>180</v>
      </c>
      <c r="F194">
        <f>ROUND(E194*VLOOKUP(B194,assumptions!$A$3:$B$6,2,FALSE),0)</f>
        <v>27</v>
      </c>
      <c r="G194">
        <f>F194*VLOOKUP(B194,assumptions!$A$11:$B$14,2,FALSE)</f>
        <v>6750</v>
      </c>
    </row>
    <row r="195" spans="1:7" x14ac:dyDescent="0.45">
      <c r="A195" t="str">
        <f>INDEX(Dim_Month!A:A, INT((ROW()-2)/(4*3*2))+2)</f>
        <v>2025-09</v>
      </c>
      <c r="B195" t="str">
        <f>INDEX(Dim_Benefit!A:A, MOD(INT((ROW()-2)/(3*2)),4)+2)</f>
        <v>Health</v>
      </c>
      <c r="C195" t="str">
        <f>INDEX(Dim_Region!A:A,MOD(INT((ROW()-2)/2),3)+2)</f>
        <v>ON</v>
      </c>
      <c r="D195" t="str">
        <f>INDEX(Dim_Class!A:A,MOD(ROW()-2,2)+2)</f>
        <v>B</v>
      </c>
      <c r="E195">
        <f>COUNTIFS(Census!B:B,Experience_12m!C195,Census!C:C,Experience_12m!D195)</f>
        <v>109</v>
      </c>
      <c r="F195">
        <f>ROUND(E195*VLOOKUP(B195,assumptions!$A$3:$B$6,2,FALSE),0)</f>
        <v>16</v>
      </c>
      <c r="G195">
        <f>F195*VLOOKUP(B195,assumptions!$A$11:$B$14,2,FALSE)</f>
        <v>4000</v>
      </c>
    </row>
    <row r="196" spans="1:7" x14ac:dyDescent="0.45">
      <c r="A196" t="str">
        <f>INDEX(Dim_Month!A:A, INT((ROW()-2)/(4*3*2))+2)</f>
        <v>2025-09</v>
      </c>
      <c r="B196" t="str">
        <f>INDEX(Dim_Benefit!A:A, MOD(INT((ROW()-2)/(3*2)),4)+2)</f>
        <v>Health</v>
      </c>
      <c r="C196" t="str">
        <f>INDEX(Dim_Region!A:A,MOD(INT((ROW()-2)/2),3)+2)</f>
        <v>QC</v>
      </c>
      <c r="D196" t="str">
        <f>INDEX(Dim_Class!A:A,MOD(ROW()-2,2)+2)</f>
        <v>A</v>
      </c>
      <c r="E196">
        <f>COUNTIFS(Census!B:B,Experience_12m!C196,Census!C:C,Experience_12m!D196)</f>
        <v>62</v>
      </c>
      <c r="F196">
        <f>ROUND(E196*VLOOKUP(B196,assumptions!$A$3:$B$6,2,FALSE),0)</f>
        <v>9</v>
      </c>
      <c r="G196">
        <f>F196*VLOOKUP(B196,assumptions!$A$11:$B$14,2,FALSE)</f>
        <v>2250</v>
      </c>
    </row>
    <row r="197" spans="1:7" x14ac:dyDescent="0.45">
      <c r="A197" t="str">
        <f>INDEX(Dim_Month!A:A, INT((ROW()-2)/(4*3*2))+2)</f>
        <v>2025-09</v>
      </c>
      <c r="B197" t="str">
        <f>INDEX(Dim_Benefit!A:A, MOD(INT((ROW()-2)/(3*2)),4)+2)</f>
        <v>Health</v>
      </c>
      <c r="C197" t="str">
        <f>INDEX(Dim_Region!A:A,MOD(INT((ROW()-2)/2),3)+2)</f>
        <v>QC</v>
      </c>
      <c r="D197" t="str">
        <f>INDEX(Dim_Class!A:A,MOD(ROW()-2,2)+2)</f>
        <v>B</v>
      </c>
      <c r="E197">
        <f>COUNTIFS(Census!B:B,Experience_12m!C197,Census!C:C,Experience_12m!D197)</f>
        <v>31</v>
      </c>
      <c r="F197">
        <f>ROUND(E197*VLOOKUP(B197,assumptions!$A$3:$B$6,2,FALSE),0)</f>
        <v>5</v>
      </c>
      <c r="G197">
        <f>F197*VLOOKUP(B197,assumptions!$A$11:$B$14,2,FALSE)</f>
        <v>1250</v>
      </c>
    </row>
    <row r="198" spans="1:7" x14ac:dyDescent="0.45">
      <c r="A198" t="str">
        <f>INDEX(Dim_Month!A:A, INT((ROW()-2)/(4*3*2))+2)</f>
        <v>2025-09</v>
      </c>
      <c r="B198" t="str">
        <f>INDEX(Dim_Benefit!A:A, MOD(INT((ROW()-2)/(3*2)),4)+2)</f>
        <v>Health</v>
      </c>
      <c r="C198" t="str">
        <f>INDEX(Dim_Region!A:A,MOD(INT((ROW()-2)/2),3)+2)</f>
        <v>BC</v>
      </c>
      <c r="D198" t="str">
        <f>INDEX(Dim_Class!A:A,MOD(ROW()-2,2)+2)</f>
        <v>A</v>
      </c>
      <c r="E198">
        <f>COUNTIFS(Census!B:B,Experience_12m!C198,Census!C:C,Experience_12m!D198)</f>
        <v>72</v>
      </c>
      <c r="F198">
        <f>ROUND(E198*VLOOKUP(B198,assumptions!$A$3:$B$6,2,FALSE),0)</f>
        <v>11</v>
      </c>
      <c r="G198">
        <f>F198*VLOOKUP(B198,assumptions!$A$11:$B$14,2,FALSE)</f>
        <v>2750</v>
      </c>
    </row>
    <row r="199" spans="1:7" x14ac:dyDescent="0.45">
      <c r="A199" t="str">
        <f>INDEX(Dim_Month!A:A, INT((ROW()-2)/(4*3*2))+2)</f>
        <v>2025-09</v>
      </c>
      <c r="B199" t="str">
        <f>INDEX(Dim_Benefit!A:A, MOD(INT((ROW()-2)/(3*2)),4)+2)</f>
        <v>Health</v>
      </c>
      <c r="C199" t="str">
        <f>INDEX(Dim_Region!A:A,MOD(INT((ROW()-2)/2),3)+2)</f>
        <v>BC</v>
      </c>
      <c r="D199" t="str">
        <f>INDEX(Dim_Class!A:A,MOD(ROW()-2,2)+2)</f>
        <v>B</v>
      </c>
      <c r="E199">
        <f>COUNTIFS(Census!B:B,Experience_12m!C199,Census!C:C,Experience_12m!D199)</f>
        <v>46</v>
      </c>
      <c r="F199">
        <f>ROUND(E199*VLOOKUP(B199,assumptions!$A$3:$B$6,2,FALSE),0)</f>
        <v>7</v>
      </c>
      <c r="G199">
        <f>F199*VLOOKUP(B199,assumptions!$A$11:$B$14,2,FALSE)</f>
        <v>1750</v>
      </c>
    </row>
    <row r="200" spans="1:7" x14ac:dyDescent="0.45">
      <c r="A200" t="str">
        <f>INDEX(Dim_Month!A:A, INT((ROW()-2)/(4*3*2))+2)</f>
        <v>2025-09</v>
      </c>
      <c r="B200" t="str">
        <f>INDEX(Dim_Benefit!A:A, MOD(INT((ROW()-2)/(3*2)),4)+2)</f>
        <v>Dental</v>
      </c>
      <c r="C200" t="str">
        <f>INDEX(Dim_Region!A:A,MOD(INT((ROW()-2)/2),3)+2)</f>
        <v>ON</v>
      </c>
      <c r="D200" t="str">
        <f>INDEX(Dim_Class!A:A,MOD(ROW()-2,2)+2)</f>
        <v>A</v>
      </c>
      <c r="E200">
        <f>COUNTIFS(Census!B:B,Experience_12m!C200,Census!C:C,Experience_12m!D200)</f>
        <v>180</v>
      </c>
      <c r="F200">
        <f>ROUND(E200*VLOOKUP(B200,assumptions!$A$3:$B$6,2,FALSE),0)</f>
        <v>18</v>
      </c>
      <c r="G200">
        <f>F200*VLOOKUP(B200,assumptions!$A$11:$B$14,2,FALSE)</f>
        <v>3240</v>
      </c>
    </row>
    <row r="201" spans="1:7" x14ac:dyDescent="0.45">
      <c r="A201" t="str">
        <f>INDEX(Dim_Month!A:A, INT((ROW()-2)/(4*3*2))+2)</f>
        <v>2025-09</v>
      </c>
      <c r="B201" t="str">
        <f>INDEX(Dim_Benefit!A:A, MOD(INT((ROW()-2)/(3*2)),4)+2)</f>
        <v>Dental</v>
      </c>
      <c r="C201" t="str">
        <f>INDEX(Dim_Region!A:A,MOD(INT((ROW()-2)/2),3)+2)</f>
        <v>ON</v>
      </c>
      <c r="D201" t="str">
        <f>INDEX(Dim_Class!A:A,MOD(ROW()-2,2)+2)</f>
        <v>B</v>
      </c>
      <c r="E201">
        <f>COUNTIFS(Census!B:B,Experience_12m!C201,Census!C:C,Experience_12m!D201)</f>
        <v>109</v>
      </c>
      <c r="F201">
        <f>ROUND(E201*VLOOKUP(B201,assumptions!$A$3:$B$6,2,FALSE),0)</f>
        <v>11</v>
      </c>
      <c r="G201">
        <f>F201*VLOOKUP(B201,assumptions!$A$11:$B$14,2,FALSE)</f>
        <v>1980</v>
      </c>
    </row>
    <row r="202" spans="1:7" x14ac:dyDescent="0.45">
      <c r="A202" t="str">
        <f>INDEX(Dim_Month!A:A, INT((ROW()-2)/(4*3*2))+2)</f>
        <v>2025-09</v>
      </c>
      <c r="B202" t="str">
        <f>INDEX(Dim_Benefit!A:A, MOD(INT((ROW()-2)/(3*2)),4)+2)</f>
        <v>Dental</v>
      </c>
      <c r="C202" t="str">
        <f>INDEX(Dim_Region!A:A,MOD(INT((ROW()-2)/2),3)+2)</f>
        <v>QC</v>
      </c>
      <c r="D202" t="str">
        <f>INDEX(Dim_Class!A:A,MOD(ROW()-2,2)+2)</f>
        <v>A</v>
      </c>
      <c r="E202">
        <f>COUNTIFS(Census!B:B,Experience_12m!C202,Census!C:C,Experience_12m!D202)</f>
        <v>62</v>
      </c>
      <c r="F202">
        <f>ROUND(E202*VLOOKUP(B202,assumptions!$A$3:$B$6,2,FALSE),0)</f>
        <v>6</v>
      </c>
      <c r="G202">
        <f>F202*VLOOKUP(B202,assumptions!$A$11:$B$14,2,FALSE)</f>
        <v>1080</v>
      </c>
    </row>
    <row r="203" spans="1:7" x14ac:dyDescent="0.45">
      <c r="A203" t="str">
        <f>INDEX(Dim_Month!A:A, INT((ROW()-2)/(4*3*2))+2)</f>
        <v>2025-09</v>
      </c>
      <c r="B203" t="str">
        <f>INDEX(Dim_Benefit!A:A, MOD(INT((ROW()-2)/(3*2)),4)+2)</f>
        <v>Dental</v>
      </c>
      <c r="C203" t="str">
        <f>INDEX(Dim_Region!A:A,MOD(INT((ROW()-2)/2),3)+2)</f>
        <v>QC</v>
      </c>
      <c r="D203" t="str">
        <f>INDEX(Dim_Class!A:A,MOD(ROW()-2,2)+2)</f>
        <v>B</v>
      </c>
      <c r="E203">
        <f>COUNTIFS(Census!B:B,Experience_12m!C203,Census!C:C,Experience_12m!D203)</f>
        <v>31</v>
      </c>
      <c r="F203">
        <f>ROUND(E203*VLOOKUP(B203,assumptions!$A$3:$B$6,2,FALSE),0)</f>
        <v>3</v>
      </c>
      <c r="G203">
        <f>F203*VLOOKUP(B203,assumptions!$A$11:$B$14,2,FALSE)</f>
        <v>540</v>
      </c>
    </row>
    <row r="204" spans="1:7" x14ac:dyDescent="0.45">
      <c r="A204" t="str">
        <f>INDEX(Dim_Month!A:A, INT((ROW()-2)/(4*3*2))+2)</f>
        <v>2025-09</v>
      </c>
      <c r="B204" t="str">
        <f>INDEX(Dim_Benefit!A:A, MOD(INT((ROW()-2)/(3*2)),4)+2)</f>
        <v>Dental</v>
      </c>
      <c r="C204" t="str">
        <f>INDEX(Dim_Region!A:A,MOD(INT((ROW()-2)/2),3)+2)</f>
        <v>BC</v>
      </c>
      <c r="D204" t="str">
        <f>INDEX(Dim_Class!A:A,MOD(ROW()-2,2)+2)</f>
        <v>A</v>
      </c>
      <c r="E204">
        <f>COUNTIFS(Census!B:B,Experience_12m!C204,Census!C:C,Experience_12m!D204)</f>
        <v>72</v>
      </c>
      <c r="F204">
        <f>ROUND(E204*VLOOKUP(B204,assumptions!$A$3:$B$6,2,FALSE),0)</f>
        <v>7</v>
      </c>
      <c r="G204">
        <f>F204*VLOOKUP(B204,assumptions!$A$11:$B$14,2,FALSE)</f>
        <v>1260</v>
      </c>
    </row>
    <row r="205" spans="1:7" x14ac:dyDescent="0.45">
      <c r="A205" t="str">
        <f>INDEX(Dim_Month!A:A, INT((ROW()-2)/(4*3*2))+2)</f>
        <v>2025-09</v>
      </c>
      <c r="B205" t="str">
        <f>INDEX(Dim_Benefit!A:A, MOD(INT((ROW()-2)/(3*2)),4)+2)</f>
        <v>Dental</v>
      </c>
      <c r="C205" t="str">
        <f>INDEX(Dim_Region!A:A,MOD(INT((ROW()-2)/2),3)+2)</f>
        <v>BC</v>
      </c>
      <c r="D205" t="str">
        <f>INDEX(Dim_Class!A:A,MOD(ROW()-2,2)+2)</f>
        <v>B</v>
      </c>
      <c r="E205">
        <f>COUNTIFS(Census!B:B,Experience_12m!C205,Census!C:C,Experience_12m!D205)</f>
        <v>46</v>
      </c>
      <c r="F205">
        <f>ROUND(E205*VLOOKUP(B205,assumptions!$A$3:$B$6,2,FALSE),0)</f>
        <v>5</v>
      </c>
      <c r="G205">
        <f>F205*VLOOKUP(B205,assumptions!$A$11:$B$14,2,FALSE)</f>
        <v>900</v>
      </c>
    </row>
    <row r="206" spans="1:7" x14ac:dyDescent="0.45">
      <c r="A206" t="str">
        <f>INDEX(Dim_Month!A:A, INT((ROW()-2)/(4*3*2))+2)</f>
        <v>2025-09</v>
      </c>
      <c r="B206" t="str">
        <f>INDEX(Dim_Benefit!A:A, MOD(INT((ROW()-2)/(3*2)),4)+2)</f>
        <v>STD</v>
      </c>
      <c r="C206" t="str">
        <f>INDEX(Dim_Region!A:A,MOD(INT((ROW()-2)/2),3)+2)</f>
        <v>ON</v>
      </c>
      <c r="D206" t="str">
        <f>INDEX(Dim_Class!A:A,MOD(ROW()-2,2)+2)</f>
        <v>A</v>
      </c>
      <c r="E206">
        <f>COUNTIFS(Census!B:B,Experience_12m!C206,Census!C:C,Experience_12m!D206)</f>
        <v>180</v>
      </c>
      <c r="F206">
        <f>ROUND(E206*VLOOKUP(B206,assumptions!$A$3:$B$6,2,FALSE),0)</f>
        <v>2</v>
      </c>
      <c r="G206">
        <f>F206*VLOOKUP(B206,assumptions!$A$11:$B$14,2,FALSE)</f>
        <v>2400</v>
      </c>
    </row>
    <row r="207" spans="1:7" x14ac:dyDescent="0.45">
      <c r="A207" t="str">
        <f>INDEX(Dim_Month!A:A, INT((ROW()-2)/(4*3*2))+2)</f>
        <v>2025-09</v>
      </c>
      <c r="B207" t="str">
        <f>INDEX(Dim_Benefit!A:A, MOD(INT((ROW()-2)/(3*2)),4)+2)</f>
        <v>STD</v>
      </c>
      <c r="C207" t="str">
        <f>INDEX(Dim_Region!A:A,MOD(INT((ROW()-2)/2),3)+2)</f>
        <v>ON</v>
      </c>
      <c r="D207" t="str">
        <f>INDEX(Dim_Class!A:A,MOD(ROW()-2,2)+2)</f>
        <v>B</v>
      </c>
      <c r="E207">
        <f>COUNTIFS(Census!B:B,Experience_12m!C207,Census!C:C,Experience_12m!D207)</f>
        <v>109</v>
      </c>
      <c r="F207">
        <f>ROUND(E207*VLOOKUP(B207,assumptions!$A$3:$B$6,2,FALSE),0)</f>
        <v>1</v>
      </c>
      <c r="G207">
        <f>F207*VLOOKUP(B207,assumptions!$A$11:$B$14,2,FALSE)</f>
        <v>1200</v>
      </c>
    </row>
    <row r="208" spans="1:7" x14ac:dyDescent="0.45">
      <c r="A208" t="str">
        <f>INDEX(Dim_Month!A:A, INT((ROW()-2)/(4*3*2))+2)</f>
        <v>2025-09</v>
      </c>
      <c r="B208" t="str">
        <f>INDEX(Dim_Benefit!A:A, MOD(INT((ROW()-2)/(3*2)),4)+2)</f>
        <v>STD</v>
      </c>
      <c r="C208" t="str">
        <f>INDEX(Dim_Region!A:A,MOD(INT((ROW()-2)/2),3)+2)</f>
        <v>QC</v>
      </c>
      <c r="D208" t="str">
        <f>INDEX(Dim_Class!A:A,MOD(ROW()-2,2)+2)</f>
        <v>A</v>
      </c>
      <c r="E208">
        <f>COUNTIFS(Census!B:B,Experience_12m!C208,Census!C:C,Experience_12m!D208)</f>
        <v>62</v>
      </c>
      <c r="F208">
        <f>ROUND(E208*VLOOKUP(B208,assumptions!$A$3:$B$6,2,FALSE),0)</f>
        <v>1</v>
      </c>
      <c r="G208">
        <f>F208*VLOOKUP(B208,assumptions!$A$11:$B$14,2,FALSE)</f>
        <v>1200</v>
      </c>
    </row>
    <row r="209" spans="1:7" x14ac:dyDescent="0.45">
      <c r="A209" t="str">
        <f>INDEX(Dim_Month!A:A, INT((ROW()-2)/(4*3*2))+2)</f>
        <v>2025-09</v>
      </c>
      <c r="B209" t="str">
        <f>INDEX(Dim_Benefit!A:A, MOD(INT((ROW()-2)/(3*2)),4)+2)</f>
        <v>STD</v>
      </c>
      <c r="C209" t="str">
        <f>INDEX(Dim_Region!A:A,MOD(INT((ROW()-2)/2),3)+2)</f>
        <v>QC</v>
      </c>
      <c r="D209" t="str">
        <f>INDEX(Dim_Class!A:A,MOD(ROW()-2,2)+2)</f>
        <v>B</v>
      </c>
      <c r="E209">
        <f>COUNTIFS(Census!B:B,Experience_12m!C209,Census!C:C,Experience_12m!D209)</f>
        <v>31</v>
      </c>
      <c r="F209">
        <f>ROUND(E209*VLOOKUP(B209,assumptions!$A$3:$B$6,2,FALSE),0)</f>
        <v>0</v>
      </c>
      <c r="G209">
        <f>F209*VLOOKUP(B209,assumptions!$A$11:$B$14,2,FALSE)</f>
        <v>0</v>
      </c>
    </row>
    <row r="210" spans="1:7" x14ac:dyDescent="0.45">
      <c r="A210" t="str">
        <f>INDEX(Dim_Month!A:A, INT((ROW()-2)/(4*3*2))+2)</f>
        <v>2025-09</v>
      </c>
      <c r="B210" t="str">
        <f>INDEX(Dim_Benefit!A:A, MOD(INT((ROW()-2)/(3*2)),4)+2)</f>
        <v>STD</v>
      </c>
      <c r="C210" t="str">
        <f>INDEX(Dim_Region!A:A,MOD(INT((ROW()-2)/2),3)+2)</f>
        <v>BC</v>
      </c>
      <c r="D210" t="str">
        <f>INDEX(Dim_Class!A:A,MOD(ROW()-2,2)+2)</f>
        <v>A</v>
      </c>
      <c r="E210">
        <f>COUNTIFS(Census!B:B,Experience_12m!C210,Census!C:C,Experience_12m!D210)</f>
        <v>72</v>
      </c>
      <c r="F210">
        <f>ROUND(E210*VLOOKUP(B210,assumptions!$A$3:$B$6,2,FALSE),0)</f>
        <v>1</v>
      </c>
      <c r="G210">
        <f>F210*VLOOKUP(B210,assumptions!$A$11:$B$14,2,FALSE)</f>
        <v>1200</v>
      </c>
    </row>
    <row r="211" spans="1:7" x14ac:dyDescent="0.45">
      <c r="A211" t="str">
        <f>INDEX(Dim_Month!A:A, INT((ROW()-2)/(4*3*2))+2)</f>
        <v>2025-09</v>
      </c>
      <c r="B211" t="str">
        <f>INDEX(Dim_Benefit!A:A, MOD(INT((ROW()-2)/(3*2)),4)+2)</f>
        <v>STD</v>
      </c>
      <c r="C211" t="str">
        <f>INDEX(Dim_Region!A:A,MOD(INT((ROW()-2)/2),3)+2)</f>
        <v>BC</v>
      </c>
      <c r="D211" t="str">
        <f>INDEX(Dim_Class!A:A,MOD(ROW()-2,2)+2)</f>
        <v>B</v>
      </c>
      <c r="E211">
        <f>COUNTIFS(Census!B:B,Experience_12m!C211,Census!C:C,Experience_12m!D211)</f>
        <v>46</v>
      </c>
      <c r="F211">
        <f>ROUND(E211*VLOOKUP(B211,assumptions!$A$3:$B$6,2,FALSE),0)</f>
        <v>0</v>
      </c>
      <c r="G211">
        <f>F211*VLOOKUP(B211,assumptions!$A$11:$B$14,2,FALSE)</f>
        <v>0</v>
      </c>
    </row>
    <row r="212" spans="1:7" x14ac:dyDescent="0.45">
      <c r="A212" t="str">
        <f>INDEX(Dim_Month!A:A, INT((ROW()-2)/(4*3*2))+2)</f>
        <v>2025-09</v>
      </c>
      <c r="B212" t="str">
        <f>INDEX(Dim_Benefit!A:A, MOD(INT((ROW()-2)/(3*2)),4)+2)</f>
        <v>LTD</v>
      </c>
      <c r="C212" t="str">
        <f>INDEX(Dim_Region!A:A,MOD(INT((ROW()-2)/2),3)+2)</f>
        <v>ON</v>
      </c>
      <c r="D212" t="str">
        <f>INDEX(Dim_Class!A:A,MOD(ROW()-2,2)+2)</f>
        <v>A</v>
      </c>
      <c r="E212">
        <f>COUNTIFS(Census!B:B,Experience_12m!C212,Census!C:C,Experience_12m!D212)</f>
        <v>180</v>
      </c>
      <c r="F212">
        <f>ROUND(E212*VLOOKUP(B212,assumptions!$A$3:$B$6,2,FALSE),0)</f>
        <v>1</v>
      </c>
      <c r="G212">
        <f>F212*VLOOKUP(B212,assumptions!$A$11:$B$14,2,FALSE)</f>
        <v>6000</v>
      </c>
    </row>
    <row r="213" spans="1:7" x14ac:dyDescent="0.45">
      <c r="A213" t="str">
        <f>INDEX(Dim_Month!A:A, INT((ROW()-2)/(4*3*2))+2)</f>
        <v>2025-09</v>
      </c>
      <c r="B213" t="str">
        <f>INDEX(Dim_Benefit!A:A, MOD(INT((ROW()-2)/(3*2)),4)+2)</f>
        <v>LTD</v>
      </c>
      <c r="C213" t="str">
        <f>INDEX(Dim_Region!A:A,MOD(INT((ROW()-2)/2),3)+2)</f>
        <v>ON</v>
      </c>
      <c r="D213" t="str">
        <f>INDEX(Dim_Class!A:A,MOD(ROW()-2,2)+2)</f>
        <v>B</v>
      </c>
      <c r="E213">
        <f>COUNTIFS(Census!B:B,Experience_12m!C213,Census!C:C,Experience_12m!D213)</f>
        <v>109</v>
      </c>
      <c r="F213">
        <f>ROUND(E213*VLOOKUP(B213,assumptions!$A$3:$B$6,2,FALSE),0)</f>
        <v>0</v>
      </c>
      <c r="G213">
        <f>F213*VLOOKUP(B213,assumptions!$A$11:$B$14,2,FALSE)</f>
        <v>0</v>
      </c>
    </row>
    <row r="214" spans="1:7" x14ac:dyDescent="0.45">
      <c r="A214" t="str">
        <f>INDEX(Dim_Month!A:A, INT((ROW()-2)/(4*3*2))+2)</f>
        <v>2025-09</v>
      </c>
      <c r="B214" t="str">
        <f>INDEX(Dim_Benefit!A:A, MOD(INT((ROW()-2)/(3*2)),4)+2)</f>
        <v>LTD</v>
      </c>
      <c r="C214" t="str">
        <f>INDEX(Dim_Region!A:A,MOD(INT((ROW()-2)/2),3)+2)</f>
        <v>QC</v>
      </c>
      <c r="D214" t="str">
        <f>INDEX(Dim_Class!A:A,MOD(ROW()-2,2)+2)</f>
        <v>A</v>
      </c>
      <c r="E214">
        <f>COUNTIFS(Census!B:B,Experience_12m!C214,Census!C:C,Experience_12m!D214)</f>
        <v>62</v>
      </c>
      <c r="F214">
        <f>ROUND(E214*VLOOKUP(B214,assumptions!$A$3:$B$6,2,FALSE),0)</f>
        <v>0</v>
      </c>
      <c r="G214">
        <f>F214*VLOOKUP(B214,assumptions!$A$11:$B$14,2,FALSE)</f>
        <v>0</v>
      </c>
    </row>
    <row r="215" spans="1:7" x14ac:dyDescent="0.45">
      <c r="A215" t="str">
        <f>INDEX(Dim_Month!A:A, INT((ROW()-2)/(4*3*2))+2)</f>
        <v>2025-09</v>
      </c>
      <c r="B215" t="str">
        <f>INDEX(Dim_Benefit!A:A, MOD(INT((ROW()-2)/(3*2)),4)+2)</f>
        <v>LTD</v>
      </c>
      <c r="C215" t="str">
        <f>INDEX(Dim_Region!A:A,MOD(INT((ROW()-2)/2),3)+2)</f>
        <v>QC</v>
      </c>
      <c r="D215" t="str">
        <f>INDEX(Dim_Class!A:A,MOD(ROW()-2,2)+2)</f>
        <v>B</v>
      </c>
      <c r="E215">
        <f>COUNTIFS(Census!B:B,Experience_12m!C215,Census!C:C,Experience_12m!D215)</f>
        <v>31</v>
      </c>
      <c r="F215">
        <f>ROUND(E215*VLOOKUP(B215,assumptions!$A$3:$B$6,2,FALSE),0)</f>
        <v>0</v>
      </c>
      <c r="G215">
        <f>F215*VLOOKUP(B215,assumptions!$A$11:$B$14,2,FALSE)</f>
        <v>0</v>
      </c>
    </row>
    <row r="216" spans="1:7" x14ac:dyDescent="0.45">
      <c r="A216" t="str">
        <f>INDEX(Dim_Month!A:A, INT((ROW()-2)/(4*3*2))+2)</f>
        <v>2025-09</v>
      </c>
      <c r="B216" t="str">
        <f>INDEX(Dim_Benefit!A:A, MOD(INT((ROW()-2)/(3*2)),4)+2)</f>
        <v>LTD</v>
      </c>
      <c r="C216" t="str">
        <f>INDEX(Dim_Region!A:A,MOD(INT((ROW()-2)/2),3)+2)</f>
        <v>BC</v>
      </c>
      <c r="D216" t="str">
        <f>INDEX(Dim_Class!A:A,MOD(ROW()-2,2)+2)</f>
        <v>A</v>
      </c>
      <c r="E216">
        <f>COUNTIFS(Census!B:B,Experience_12m!C216,Census!C:C,Experience_12m!D216)</f>
        <v>72</v>
      </c>
      <c r="F216">
        <f>ROUND(E216*VLOOKUP(B216,assumptions!$A$3:$B$6,2,FALSE),0)</f>
        <v>0</v>
      </c>
      <c r="G216">
        <f>F216*VLOOKUP(B216,assumptions!$A$11:$B$14,2,FALSE)</f>
        <v>0</v>
      </c>
    </row>
    <row r="217" spans="1:7" x14ac:dyDescent="0.45">
      <c r="A217" t="str">
        <f>INDEX(Dim_Month!A:A, INT((ROW()-2)/(4*3*2))+2)</f>
        <v>2025-09</v>
      </c>
      <c r="B217" t="str">
        <f>INDEX(Dim_Benefit!A:A, MOD(INT((ROW()-2)/(3*2)),4)+2)</f>
        <v>LTD</v>
      </c>
      <c r="C217" t="str">
        <f>INDEX(Dim_Region!A:A,MOD(INT((ROW()-2)/2),3)+2)</f>
        <v>BC</v>
      </c>
      <c r="D217" t="str">
        <f>INDEX(Dim_Class!A:A,MOD(ROW()-2,2)+2)</f>
        <v>B</v>
      </c>
      <c r="E217">
        <f>COUNTIFS(Census!B:B,Experience_12m!C217,Census!C:C,Experience_12m!D217)</f>
        <v>46</v>
      </c>
      <c r="F217">
        <f>ROUND(E217*VLOOKUP(B217,assumptions!$A$3:$B$6,2,FALSE),0)</f>
        <v>0</v>
      </c>
      <c r="G217">
        <f>F217*VLOOKUP(B217,assumptions!$A$11:$B$14,2,FALSE)</f>
        <v>0</v>
      </c>
    </row>
    <row r="218" spans="1:7" x14ac:dyDescent="0.45">
      <c r="A218" t="str">
        <f>INDEX(Dim_Month!A:A, INT((ROW()-2)/(4*3*2))+2)</f>
        <v>2025-10</v>
      </c>
      <c r="B218" t="str">
        <f>INDEX(Dim_Benefit!A:A, MOD(INT((ROW()-2)/(3*2)),4)+2)</f>
        <v>Health</v>
      </c>
      <c r="C218" t="str">
        <f>INDEX(Dim_Region!A:A,MOD(INT((ROW()-2)/2),3)+2)</f>
        <v>ON</v>
      </c>
      <c r="D218" t="str">
        <f>INDEX(Dim_Class!A:A,MOD(ROW()-2,2)+2)</f>
        <v>A</v>
      </c>
      <c r="E218">
        <f>COUNTIFS(Census!B:B,Experience_12m!C218,Census!C:C,Experience_12m!D218)</f>
        <v>180</v>
      </c>
      <c r="F218">
        <f>ROUND(E218*VLOOKUP(B218,assumptions!$A$3:$B$6,2,FALSE),0)</f>
        <v>27</v>
      </c>
      <c r="G218">
        <f>F218*VLOOKUP(B218,assumptions!$A$11:$B$14,2,FALSE)</f>
        <v>6750</v>
      </c>
    </row>
    <row r="219" spans="1:7" x14ac:dyDescent="0.45">
      <c r="A219" t="str">
        <f>INDEX(Dim_Month!A:A, INT((ROW()-2)/(4*3*2))+2)</f>
        <v>2025-10</v>
      </c>
      <c r="B219" t="str">
        <f>INDEX(Dim_Benefit!A:A, MOD(INT((ROW()-2)/(3*2)),4)+2)</f>
        <v>Health</v>
      </c>
      <c r="C219" t="str">
        <f>INDEX(Dim_Region!A:A,MOD(INT((ROW()-2)/2),3)+2)</f>
        <v>ON</v>
      </c>
      <c r="D219" t="str">
        <f>INDEX(Dim_Class!A:A,MOD(ROW()-2,2)+2)</f>
        <v>B</v>
      </c>
      <c r="E219">
        <f>COUNTIFS(Census!B:B,Experience_12m!C219,Census!C:C,Experience_12m!D219)</f>
        <v>109</v>
      </c>
      <c r="F219">
        <f>ROUND(E219*VLOOKUP(B219,assumptions!$A$3:$B$6,2,FALSE),0)</f>
        <v>16</v>
      </c>
      <c r="G219">
        <f>F219*VLOOKUP(B219,assumptions!$A$11:$B$14,2,FALSE)</f>
        <v>4000</v>
      </c>
    </row>
    <row r="220" spans="1:7" x14ac:dyDescent="0.45">
      <c r="A220" t="str">
        <f>INDEX(Dim_Month!A:A, INT((ROW()-2)/(4*3*2))+2)</f>
        <v>2025-10</v>
      </c>
      <c r="B220" t="str">
        <f>INDEX(Dim_Benefit!A:A, MOD(INT((ROW()-2)/(3*2)),4)+2)</f>
        <v>Health</v>
      </c>
      <c r="C220" t="str">
        <f>INDEX(Dim_Region!A:A,MOD(INT((ROW()-2)/2),3)+2)</f>
        <v>QC</v>
      </c>
      <c r="D220" t="str">
        <f>INDEX(Dim_Class!A:A,MOD(ROW()-2,2)+2)</f>
        <v>A</v>
      </c>
      <c r="E220">
        <f>COUNTIFS(Census!B:B,Experience_12m!C220,Census!C:C,Experience_12m!D220)</f>
        <v>62</v>
      </c>
      <c r="F220">
        <f>ROUND(E220*VLOOKUP(B220,assumptions!$A$3:$B$6,2,FALSE),0)</f>
        <v>9</v>
      </c>
      <c r="G220">
        <f>F220*VLOOKUP(B220,assumptions!$A$11:$B$14,2,FALSE)</f>
        <v>2250</v>
      </c>
    </row>
    <row r="221" spans="1:7" x14ac:dyDescent="0.45">
      <c r="A221" t="str">
        <f>INDEX(Dim_Month!A:A, INT((ROW()-2)/(4*3*2))+2)</f>
        <v>2025-10</v>
      </c>
      <c r="B221" t="str">
        <f>INDEX(Dim_Benefit!A:A, MOD(INT((ROW()-2)/(3*2)),4)+2)</f>
        <v>Health</v>
      </c>
      <c r="C221" t="str">
        <f>INDEX(Dim_Region!A:A,MOD(INT((ROW()-2)/2),3)+2)</f>
        <v>QC</v>
      </c>
      <c r="D221" t="str">
        <f>INDEX(Dim_Class!A:A,MOD(ROW()-2,2)+2)</f>
        <v>B</v>
      </c>
      <c r="E221">
        <f>COUNTIFS(Census!B:B,Experience_12m!C221,Census!C:C,Experience_12m!D221)</f>
        <v>31</v>
      </c>
      <c r="F221">
        <f>ROUND(E221*VLOOKUP(B221,assumptions!$A$3:$B$6,2,FALSE),0)</f>
        <v>5</v>
      </c>
      <c r="G221">
        <f>F221*VLOOKUP(B221,assumptions!$A$11:$B$14,2,FALSE)</f>
        <v>1250</v>
      </c>
    </row>
    <row r="222" spans="1:7" x14ac:dyDescent="0.45">
      <c r="A222" t="str">
        <f>INDEX(Dim_Month!A:A, INT((ROW()-2)/(4*3*2))+2)</f>
        <v>2025-10</v>
      </c>
      <c r="B222" t="str">
        <f>INDEX(Dim_Benefit!A:A, MOD(INT((ROW()-2)/(3*2)),4)+2)</f>
        <v>Health</v>
      </c>
      <c r="C222" t="str">
        <f>INDEX(Dim_Region!A:A,MOD(INT((ROW()-2)/2),3)+2)</f>
        <v>BC</v>
      </c>
      <c r="D222" t="str">
        <f>INDEX(Dim_Class!A:A,MOD(ROW()-2,2)+2)</f>
        <v>A</v>
      </c>
      <c r="E222">
        <f>COUNTIFS(Census!B:B,Experience_12m!C222,Census!C:C,Experience_12m!D222)</f>
        <v>72</v>
      </c>
      <c r="F222">
        <f>ROUND(E222*VLOOKUP(B222,assumptions!$A$3:$B$6,2,FALSE),0)</f>
        <v>11</v>
      </c>
      <c r="G222">
        <f>F222*VLOOKUP(B222,assumptions!$A$11:$B$14,2,FALSE)</f>
        <v>2750</v>
      </c>
    </row>
    <row r="223" spans="1:7" x14ac:dyDescent="0.45">
      <c r="A223" t="str">
        <f>INDEX(Dim_Month!A:A, INT((ROW()-2)/(4*3*2))+2)</f>
        <v>2025-10</v>
      </c>
      <c r="B223" t="str">
        <f>INDEX(Dim_Benefit!A:A, MOD(INT((ROW()-2)/(3*2)),4)+2)</f>
        <v>Health</v>
      </c>
      <c r="C223" t="str">
        <f>INDEX(Dim_Region!A:A,MOD(INT((ROW()-2)/2),3)+2)</f>
        <v>BC</v>
      </c>
      <c r="D223" t="str">
        <f>INDEX(Dim_Class!A:A,MOD(ROW()-2,2)+2)</f>
        <v>B</v>
      </c>
      <c r="E223">
        <f>COUNTIFS(Census!B:B,Experience_12m!C223,Census!C:C,Experience_12m!D223)</f>
        <v>46</v>
      </c>
      <c r="F223">
        <f>ROUND(E223*VLOOKUP(B223,assumptions!$A$3:$B$6,2,FALSE),0)</f>
        <v>7</v>
      </c>
      <c r="G223">
        <f>F223*VLOOKUP(B223,assumptions!$A$11:$B$14,2,FALSE)</f>
        <v>1750</v>
      </c>
    </row>
    <row r="224" spans="1:7" x14ac:dyDescent="0.45">
      <c r="A224" t="str">
        <f>INDEX(Dim_Month!A:A, INT((ROW()-2)/(4*3*2))+2)</f>
        <v>2025-10</v>
      </c>
      <c r="B224" t="str">
        <f>INDEX(Dim_Benefit!A:A, MOD(INT((ROW()-2)/(3*2)),4)+2)</f>
        <v>Dental</v>
      </c>
      <c r="C224" t="str">
        <f>INDEX(Dim_Region!A:A,MOD(INT((ROW()-2)/2),3)+2)</f>
        <v>ON</v>
      </c>
      <c r="D224" t="str">
        <f>INDEX(Dim_Class!A:A,MOD(ROW()-2,2)+2)</f>
        <v>A</v>
      </c>
      <c r="E224">
        <f>COUNTIFS(Census!B:B,Experience_12m!C224,Census!C:C,Experience_12m!D224)</f>
        <v>180</v>
      </c>
      <c r="F224">
        <f>ROUND(E224*VLOOKUP(B224,assumptions!$A$3:$B$6,2,FALSE),0)</f>
        <v>18</v>
      </c>
      <c r="G224">
        <f>F224*VLOOKUP(B224,assumptions!$A$11:$B$14,2,FALSE)</f>
        <v>3240</v>
      </c>
    </row>
    <row r="225" spans="1:7" x14ac:dyDescent="0.45">
      <c r="A225" t="str">
        <f>INDEX(Dim_Month!A:A, INT((ROW()-2)/(4*3*2))+2)</f>
        <v>2025-10</v>
      </c>
      <c r="B225" t="str">
        <f>INDEX(Dim_Benefit!A:A, MOD(INT((ROW()-2)/(3*2)),4)+2)</f>
        <v>Dental</v>
      </c>
      <c r="C225" t="str">
        <f>INDEX(Dim_Region!A:A,MOD(INT((ROW()-2)/2),3)+2)</f>
        <v>ON</v>
      </c>
      <c r="D225" t="str">
        <f>INDEX(Dim_Class!A:A,MOD(ROW()-2,2)+2)</f>
        <v>B</v>
      </c>
      <c r="E225">
        <f>COUNTIFS(Census!B:B,Experience_12m!C225,Census!C:C,Experience_12m!D225)</f>
        <v>109</v>
      </c>
      <c r="F225">
        <f>ROUND(E225*VLOOKUP(B225,assumptions!$A$3:$B$6,2,FALSE),0)</f>
        <v>11</v>
      </c>
      <c r="G225">
        <f>F225*VLOOKUP(B225,assumptions!$A$11:$B$14,2,FALSE)</f>
        <v>1980</v>
      </c>
    </row>
    <row r="226" spans="1:7" x14ac:dyDescent="0.45">
      <c r="A226" t="str">
        <f>INDEX(Dim_Month!A:A, INT((ROW()-2)/(4*3*2))+2)</f>
        <v>2025-10</v>
      </c>
      <c r="B226" t="str">
        <f>INDEX(Dim_Benefit!A:A, MOD(INT((ROW()-2)/(3*2)),4)+2)</f>
        <v>Dental</v>
      </c>
      <c r="C226" t="str">
        <f>INDEX(Dim_Region!A:A,MOD(INT((ROW()-2)/2),3)+2)</f>
        <v>QC</v>
      </c>
      <c r="D226" t="str">
        <f>INDEX(Dim_Class!A:A,MOD(ROW()-2,2)+2)</f>
        <v>A</v>
      </c>
      <c r="E226">
        <f>COUNTIFS(Census!B:B,Experience_12m!C226,Census!C:C,Experience_12m!D226)</f>
        <v>62</v>
      </c>
      <c r="F226">
        <f>ROUND(E226*VLOOKUP(B226,assumptions!$A$3:$B$6,2,FALSE),0)</f>
        <v>6</v>
      </c>
      <c r="G226">
        <f>F226*VLOOKUP(B226,assumptions!$A$11:$B$14,2,FALSE)</f>
        <v>1080</v>
      </c>
    </row>
    <row r="227" spans="1:7" x14ac:dyDescent="0.45">
      <c r="A227" t="str">
        <f>INDEX(Dim_Month!A:A, INT((ROW()-2)/(4*3*2))+2)</f>
        <v>2025-10</v>
      </c>
      <c r="B227" t="str">
        <f>INDEX(Dim_Benefit!A:A, MOD(INT((ROW()-2)/(3*2)),4)+2)</f>
        <v>Dental</v>
      </c>
      <c r="C227" t="str">
        <f>INDEX(Dim_Region!A:A,MOD(INT((ROW()-2)/2),3)+2)</f>
        <v>QC</v>
      </c>
      <c r="D227" t="str">
        <f>INDEX(Dim_Class!A:A,MOD(ROW()-2,2)+2)</f>
        <v>B</v>
      </c>
      <c r="E227">
        <f>COUNTIFS(Census!B:B,Experience_12m!C227,Census!C:C,Experience_12m!D227)</f>
        <v>31</v>
      </c>
      <c r="F227">
        <f>ROUND(E227*VLOOKUP(B227,assumptions!$A$3:$B$6,2,FALSE),0)</f>
        <v>3</v>
      </c>
      <c r="G227">
        <f>F227*VLOOKUP(B227,assumptions!$A$11:$B$14,2,FALSE)</f>
        <v>540</v>
      </c>
    </row>
    <row r="228" spans="1:7" x14ac:dyDescent="0.45">
      <c r="A228" t="str">
        <f>INDEX(Dim_Month!A:A, INT((ROW()-2)/(4*3*2))+2)</f>
        <v>2025-10</v>
      </c>
      <c r="B228" t="str">
        <f>INDEX(Dim_Benefit!A:A, MOD(INT((ROW()-2)/(3*2)),4)+2)</f>
        <v>Dental</v>
      </c>
      <c r="C228" t="str">
        <f>INDEX(Dim_Region!A:A,MOD(INT((ROW()-2)/2),3)+2)</f>
        <v>BC</v>
      </c>
      <c r="D228" t="str">
        <f>INDEX(Dim_Class!A:A,MOD(ROW()-2,2)+2)</f>
        <v>A</v>
      </c>
      <c r="E228">
        <f>COUNTIFS(Census!B:B,Experience_12m!C228,Census!C:C,Experience_12m!D228)</f>
        <v>72</v>
      </c>
      <c r="F228">
        <f>ROUND(E228*VLOOKUP(B228,assumptions!$A$3:$B$6,2,FALSE),0)</f>
        <v>7</v>
      </c>
      <c r="G228">
        <f>F228*VLOOKUP(B228,assumptions!$A$11:$B$14,2,FALSE)</f>
        <v>1260</v>
      </c>
    </row>
    <row r="229" spans="1:7" x14ac:dyDescent="0.45">
      <c r="A229" t="str">
        <f>INDEX(Dim_Month!A:A, INT((ROW()-2)/(4*3*2))+2)</f>
        <v>2025-10</v>
      </c>
      <c r="B229" t="str">
        <f>INDEX(Dim_Benefit!A:A, MOD(INT((ROW()-2)/(3*2)),4)+2)</f>
        <v>Dental</v>
      </c>
      <c r="C229" t="str">
        <f>INDEX(Dim_Region!A:A,MOD(INT((ROW()-2)/2),3)+2)</f>
        <v>BC</v>
      </c>
      <c r="D229" t="str">
        <f>INDEX(Dim_Class!A:A,MOD(ROW()-2,2)+2)</f>
        <v>B</v>
      </c>
      <c r="E229">
        <f>COUNTIFS(Census!B:B,Experience_12m!C229,Census!C:C,Experience_12m!D229)</f>
        <v>46</v>
      </c>
      <c r="F229">
        <f>ROUND(E229*VLOOKUP(B229,assumptions!$A$3:$B$6,2,FALSE),0)</f>
        <v>5</v>
      </c>
      <c r="G229">
        <f>F229*VLOOKUP(B229,assumptions!$A$11:$B$14,2,FALSE)</f>
        <v>900</v>
      </c>
    </row>
    <row r="230" spans="1:7" x14ac:dyDescent="0.45">
      <c r="A230" t="str">
        <f>INDEX(Dim_Month!A:A, INT((ROW()-2)/(4*3*2))+2)</f>
        <v>2025-10</v>
      </c>
      <c r="B230" t="str">
        <f>INDEX(Dim_Benefit!A:A, MOD(INT((ROW()-2)/(3*2)),4)+2)</f>
        <v>STD</v>
      </c>
      <c r="C230" t="str">
        <f>INDEX(Dim_Region!A:A,MOD(INT((ROW()-2)/2),3)+2)</f>
        <v>ON</v>
      </c>
      <c r="D230" t="str">
        <f>INDEX(Dim_Class!A:A,MOD(ROW()-2,2)+2)</f>
        <v>A</v>
      </c>
      <c r="E230">
        <f>COUNTIFS(Census!B:B,Experience_12m!C230,Census!C:C,Experience_12m!D230)</f>
        <v>180</v>
      </c>
      <c r="F230">
        <f>ROUND(E230*VLOOKUP(B230,assumptions!$A$3:$B$6,2,FALSE),0)</f>
        <v>2</v>
      </c>
      <c r="G230">
        <f>F230*VLOOKUP(B230,assumptions!$A$11:$B$14,2,FALSE)</f>
        <v>2400</v>
      </c>
    </row>
    <row r="231" spans="1:7" x14ac:dyDescent="0.45">
      <c r="A231" t="str">
        <f>INDEX(Dim_Month!A:A, INT((ROW()-2)/(4*3*2))+2)</f>
        <v>2025-10</v>
      </c>
      <c r="B231" t="str">
        <f>INDEX(Dim_Benefit!A:A, MOD(INT((ROW()-2)/(3*2)),4)+2)</f>
        <v>STD</v>
      </c>
      <c r="C231" t="str">
        <f>INDEX(Dim_Region!A:A,MOD(INT((ROW()-2)/2),3)+2)</f>
        <v>ON</v>
      </c>
      <c r="D231" t="str">
        <f>INDEX(Dim_Class!A:A,MOD(ROW()-2,2)+2)</f>
        <v>B</v>
      </c>
      <c r="E231">
        <f>COUNTIFS(Census!B:B,Experience_12m!C231,Census!C:C,Experience_12m!D231)</f>
        <v>109</v>
      </c>
      <c r="F231">
        <f>ROUND(E231*VLOOKUP(B231,assumptions!$A$3:$B$6,2,FALSE),0)</f>
        <v>1</v>
      </c>
      <c r="G231">
        <f>F231*VLOOKUP(B231,assumptions!$A$11:$B$14,2,FALSE)</f>
        <v>1200</v>
      </c>
    </row>
    <row r="232" spans="1:7" x14ac:dyDescent="0.45">
      <c r="A232" t="str">
        <f>INDEX(Dim_Month!A:A, INT((ROW()-2)/(4*3*2))+2)</f>
        <v>2025-10</v>
      </c>
      <c r="B232" t="str">
        <f>INDEX(Dim_Benefit!A:A, MOD(INT((ROW()-2)/(3*2)),4)+2)</f>
        <v>STD</v>
      </c>
      <c r="C232" t="str">
        <f>INDEX(Dim_Region!A:A,MOD(INT((ROW()-2)/2),3)+2)</f>
        <v>QC</v>
      </c>
      <c r="D232" t="str">
        <f>INDEX(Dim_Class!A:A,MOD(ROW()-2,2)+2)</f>
        <v>A</v>
      </c>
      <c r="E232">
        <f>COUNTIFS(Census!B:B,Experience_12m!C232,Census!C:C,Experience_12m!D232)</f>
        <v>62</v>
      </c>
      <c r="F232">
        <f>ROUND(E232*VLOOKUP(B232,assumptions!$A$3:$B$6,2,FALSE),0)</f>
        <v>1</v>
      </c>
      <c r="G232">
        <f>F232*VLOOKUP(B232,assumptions!$A$11:$B$14,2,FALSE)</f>
        <v>1200</v>
      </c>
    </row>
    <row r="233" spans="1:7" x14ac:dyDescent="0.45">
      <c r="A233" t="str">
        <f>INDEX(Dim_Month!A:A, INT((ROW()-2)/(4*3*2))+2)</f>
        <v>2025-10</v>
      </c>
      <c r="B233" t="str">
        <f>INDEX(Dim_Benefit!A:A, MOD(INT((ROW()-2)/(3*2)),4)+2)</f>
        <v>STD</v>
      </c>
      <c r="C233" t="str">
        <f>INDEX(Dim_Region!A:A,MOD(INT((ROW()-2)/2),3)+2)</f>
        <v>QC</v>
      </c>
      <c r="D233" t="str">
        <f>INDEX(Dim_Class!A:A,MOD(ROW()-2,2)+2)</f>
        <v>B</v>
      </c>
      <c r="E233">
        <f>COUNTIFS(Census!B:B,Experience_12m!C233,Census!C:C,Experience_12m!D233)</f>
        <v>31</v>
      </c>
      <c r="F233">
        <f>ROUND(E233*VLOOKUP(B233,assumptions!$A$3:$B$6,2,FALSE),0)</f>
        <v>0</v>
      </c>
      <c r="G233">
        <f>F233*VLOOKUP(B233,assumptions!$A$11:$B$14,2,FALSE)</f>
        <v>0</v>
      </c>
    </row>
    <row r="234" spans="1:7" x14ac:dyDescent="0.45">
      <c r="A234" t="str">
        <f>INDEX(Dim_Month!A:A, INT((ROW()-2)/(4*3*2))+2)</f>
        <v>2025-10</v>
      </c>
      <c r="B234" t="str">
        <f>INDEX(Dim_Benefit!A:A, MOD(INT((ROW()-2)/(3*2)),4)+2)</f>
        <v>STD</v>
      </c>
      <c r="C234" t="str">
        <f>INDEX(Dim_Region!A:A,MOD(INT((ROW()-2)/2),3)+2)</f>
        <v>BC</v>
      </c>
      <c r="D234" t="str">
        <f>INDEX(Dim_Class!A:A,MOD(ROW()-2,2)+2)</f>
        <v>A</v>
      </c>
      <c r="E234">
        <f>COUNTIFS(Census!B:B,Experience_12m!C234,Census!C:C,Experience_12m!D234)</f>
        <v>72</v>
      </c>
      <c r="F234">
        <f>ROUND(E234*VLOOKUP(B234,assumptions!$A$3:$B$6,2,FALSE),0)</f>
        <v>1</v>
      </c>
      <c r="G234">
        <f>F234*VLOOKUP(B234,assumptions!$A$11:$B$14,2,FALSE)</f>
        <v>1200</v>
      </c>
    </row>
    <row r="235" spans="1:7" x14ac:dyDescent="0.45">
      <c r="A235" t="str">
        <f>INDEX(Dim_Month!A:A, INT((ROW()-2)/(4*3*2))+2)</f>
        <v>2025-10</v>
      </c>
      <c r="B235" t="str">
        <f>INDEX(Dim_Benefit!A:A, MOD(INT((ROW()-2)/(3*2)),4)+2)</f>
        <v>STD</v>
      </c>
      <c r="C235" t="str">
        <f>INDEX(Dim_Region!A:A,MOD(INT((ROW()-2)/2),3)+2)</f>
        <v>BC</v>
      </c>
      <c r="D235" t="str">
        <f>INDEX(Dim_Class!A:A,MOD(ROW()-2,2)+2)</f>
        <v>B</v>
      </c>
      <c r="E235">
        <f>COUNTIFS(Census!B:B,Experience_12m!C235,Census!C:C,Experience_12m!D235)</f>
        <v>46</v>
      </c>
      <c r="F235">
        <f>ROUND(E235*VLOOKUP(B235,assumptions!$A$3:$B$6,2,FALSE),0)</f>
        <v>0</v>
      </c>
      <c r="G235">
        <f>F235*VLOOKUP(B235,assumptions!$A$11:$B$14,2,FALSE)</f>
        <v>0</v>
      </c>
    </row>
    <row r="236" spans="1:7" x14ac:dyDescent="0.45">
      <c r="A236" t="str">
        <f>INDEX(Dim_Month!A:A, INT((ROW()-2)/(4*3*2))+2)</f>
        <v>2025-10</v>
      </c>
      <c r="B236" t="str">
        <f>INDEX(Dim_Benefit!A:A, MOD(INT((ROW()-2)/(3*2)),4)+2)</f>
        <v>LTD</v>
      </c>
      <c r="C236" t="str">
        <f>INDEX(Dim_Region!A:A,MOD(INT((ROW()-2)/2),3)+2)</f>
        <v>ON</v>
      </c>
      <c r="D236" t="str">
        <f>INDEX(Dim_Class!A:A,MOD(ROW()-2,2)+2)</f>
        <v>A</v>
      </c>
      <c r="E236">
        <f>COUNTIFS(Census!B:B,Experience_12m!C236,Census!C:C,Experience_12m!D236)</f>
        <v>180</v>
      </c>
      <c r="F236">
        <f>ROUND(E236*VLOOKUP(B236,assumptions!$A$3:$B$6,2,FALSE),0)</f>
        <v>1</v>
      </c>
      <c r="G236">
        <f>F236*VLOOKUP(B236,assumptions!$A$11:$B$14,2,FALSE)</f>
        <v>6000</v>
      </c>
    </row>
    <row r="237" spans="1:7" x14ac:dyDescent="0.45">
      <c r="A237" t="str">
        <f>INDEX(Dim_Month!A:A, INT((ROW()-2)/(4*3*2))+2)</f>
        <v>2025-10</v>
      </c>
      <c r="B237" t="str">
        <f>INDEX(Dim_Benefit!A:A, MOD(INT((ROW()-2)/(3*2)),4)+2)</f>
        <v>LTD</v>
      </c>
      <c r="C237" t="str">
        <f>INDEX(Dim_Region!A:A,MOD(INT((ROW()-2)/2),3)+2)</f>
        <v>ON</v>
      </c>
      <c r="D237" t="str">
        <f>INDEX(Dim_Class!A:A,MOD(ROW()-2,2)+2)</f>
        <v>B</v>
      </c>
      <c r="E237">
        <f>COUNTIFS(Census!B:B,Experience_12m!C237,Census!C:C,Experience_12m!D237)</f>
        <v>109</v>
      </c>
      <c r="F237">
        <f>ROUND(E237*VLOOKUP(B237,assumptions!$A$3:$B$6,2,FALSE),0)</f>
        <v>0</v>
      </c>
      <c r="G237">
        <f>F237*VLOOKUP(B237,assumptions!$A$11:$B$14,2,FALSE)</f>
        <v>0</v>
      </c>
    </row>
    <row r="238" spans="1:7" x14ac:dyDescent="0.45">
      <c r="A238" t="str">
        <f>INDEX(Dim_Month!A:A, INT((ROW()-2)/(4*3*2))+2)</f>
        <v>2025-10</v>
      </c>
      <c r="B238" t="str">
        <f>INDEX(Dim_Benefit!A:A, MOD(INT((ROW()-2)/(3*2)),4)+2)</f>
        <v>LTD</v>
      </c>
      <c r="C238" t="str">
        <f>INDEX(Dim_Region!A:A,MOD(INT((ROW()-2)/2),3)+2)</f>
        <v>QC</v>
      </c>
      <c r="D238" t="str">
        <f>INDEX(Dim_Class!A:A,MOD(ROW()-2,2)+2)</f>
        <v>A</v>
      </c>
      <c r="E238">
        <f>COUNTIFS(Census!B:B,Experience_12m!C238,Census!C:C,Experience_12m!D238)</f>
        <v>62</v>
      </c>
      <c r="F238">
        <f>ROUND(E238*VLOOKUP(B238,assumptions!$A$3:$B$6,2,FALSE),0)</f>
        <v>0</v>
      </c>
      <c r="G238">
        <f>F238*VLOOKUP(B238,assumptions!$A$11:$B$14,2,FALSE)</f>
        <v>0</v>
      </c>
    </row>
    <row r="239" spans="1:7" x14ac:dyDescent="0.45">
      <c r="A239" t="str">
        <f>INDEX(Dim_Month!A:A, INT((ROW()-2)/(4*3*2))+2)</f>
        <v>2025-10</v>
      </c>
      <c r="B239" t="str">
        <f>INDEX(Dim_Benefit!A:A, MOD(INT((ROW()-2)/(3*2)),4)+2)</f>
        <v>LTD</v>
      </c>
      <c r="C239" t="str">
        <f>INDEX(Dim_Region!A:A,MOD(INT((ROW()-2)/2),3)+2)</f>
        <v>QC</v>
      </c>
      <c r="D239" t="str">
        <f>INDEX(Dim_Class!A:A,MOD(ROW()-2,2)+2)</f>
        <v>B</v>
      </c>
      <c r="E239">
        <f>COUNTIFS(Census!B:B,Experience_12m!C239,Census!C:C,Experience_12m!D239)</f>
        <v>31</v>
      </c>
      <c r="F239">
        <f>ROUND(E239*VLOOKUP(B239,assumptions!$A$3:$B$6,2,FALSE),0)</f>
        <v>0</v>
      </c>
      <c r="G239">
        <f>F239*VLOOKUP(B239,assumptions!$A$11:$B$14,2,FALSE)</f>
        <v>0</v>
      </c>
    </row>
    <row r="240" spans="1:7" x14ac:dyDescent="0.45">
      <c r="A240" t="str">
        <f>INDEX(Dim_Month!A:A, INT((ROW()-2)/(4*3*2))+2)</f>
        <v>2025-10</v>
      </c>
      <c r="B240" t="str">
        <f>INDEX(Dim_Benefit!A:A, MOD(INT((ROW()-2)/(3*2)),4)+2)</f>
        <v>LTD</v>
      </c>
      <c r="C240" t="str">
        <f>INDEX(Dim_Region!A:A,MOD(INT((ROW()-2)/2),3)+2)</f>
        <v>BC</v>
      </c>
      <c r="D240" t="str">
        <f>INDEX(Dim_Class!A:A,MOD(ROW()-2,2)+2)</f>
        <v>A</v>
      </c>
      <c r="E240">
        <f>COUNTIFS(Census!B:B,Experience_12m!C240,Census!C:C,Experience_12m!D240)</f>
        <v>72</v>
      </c>
      <c r="F240">
        <f>ROUND(E240*VLOOKUP(B240,assumptions!$A$3:$B$6,2,FALSE),0)</f>
        <v>0</v>
      </c>
      <c r="G240">
        <f>F240*VLOOKUP(B240,assumptions!$A$11:$B$14,2,FALSE)</f>
        <v>0</v>
      </c>
    </row>
    <row r="241" spans="1:7" x14ac:dyDescent="0.45">
      <c r="A241" t="str">
        <f>INDEX(Dim_Month!A:A, INT((ROW()-2)/(4*3*2))+2)</f>
        <v>2025-10</v>
      </c>
      <c r="B241" t="str">
        <f>INDEX(Dim_Benefit!A:A, MOD(INT((ROW()-2)/(3*2)),4)+2)</f>
        <v>LTD</v>
      </c>
      <c r="C241" t="str">
        <f>INDEX(Dim_Region!A:A,MOD(INT((ROW()-2)/2),3)+2)</f>
        <v>BC</v>
      </c>
      <c r="D241" t="str">
        <f>INDEX(Dim_Class!A:A,MOD(ROW()-2,2)+2)</f>
        <v>B</v>
      </c>
      <c r="E241">
        <f>COUNTIFS(Census!B:B,Experience_12m!C241,Census!C:C,Experience_12m!D241)</f>
        <v>46</v>
      </c>
      <c r="F241">
        <f>ROUND(E241*VLOOKUP(B241,assumptions!$A$3:$B$6,2,FALSE),0)</f>
        <v>0</v>
      </c>
      <c r="G241">
        <f>F241*VLOOKUP(B241,assumptions!$A$11:$B$14,2,FALSE)</f>
        <v>0</v>
      </c>
    </row>
    <row r="242" spans="1:7" x14ac:dyDescent="0.45">
      <c r="A242" t="str">
        <f>INDEX(Dim_Month!A:A, INT((ROW()-2)/(4*3*2))+2)</f>
        <v>2025-11</v>
      </c>
      <c r="B242" t="str">
        <f>INDEX(Dim_Benefit!A:A, MOD(INT((ROW()-2)/(3*2)),4)+2)</f>
        <v>Health</v>
      </c>
      <c r="C242" t="str">
        <f>INDEX(Dim_Region!A:A,MOD(INT((ROW()-2)/2),3)+2)</f>
        <v>ON</v>
      </c>
      <c r="D242" t="str">
        <f>INDEX(Dim_Class!A:A,MOD(ROW()-2,2)+2)</f>
        <v>A</v>
      </c>
      <c r="E242">
        <f>COUNTIFS(Census!B:B,Experience_12m!C242,Census!C:C,Experience_12m!D242)</f>
        <v>180</v>
      </c>
      <c r="F242">
        <f>ROUND(E242*VLOOKUP(B242,assumptions!$A$3:$B$6,2,FALSE),0)</f>
        <v>27</v>
      </c>
      <c r="G242">
        <f>F242*VLOOKUP(B242,assumptions!$A$11:$B$14,2,FALSE)</f>
        <v>6750</v>
      </c>
    </row>
    <row r="243" spans="1:7" x14ac:dyDescent="0.45">
      <c r="A243" t="str">
        <f>INDEX(Dim_Month!A:A, INT((ROW()-2)/(4*3*2))+2)</f>
        <v>2025-11</v>
      </c>
      <c r="B243" t="str">
        <f>INDEX(Dim_Benefit!A:A, MOD(INT((ROW()-2)/(3*2)),4)+2)</f>
        <v>Health</v>
      </c>
      <c r="C243" t="str">
        <f>INDEX(Dim_Region!A:A,MOD(INT((ROW()-2)/2),3)+2)</f>
        <v>ON</v>
      </c>
      <c r="D243" t="str">
        <f>INDEX(Dim_Class!A:A,MOD(ROW()-2,2)+2)</f>
        <v>B</v>
      </c>
      <c r="E243">
        <f>COUNTIFS(Census!B:B,Experience_12m!C243,Census!C:C,Experience_12m!D243)</f>
        <v>109</v>
      </c>
      <c r="F243">
        <f>ROUND(E243*VLOOKUP(B243,assumptions!$A$3:$B$6,2,FALSE),0)</f>
        <v>16</v>
      </c>
      <c r="G243">
        <f>F243*VLOOKUP(B243,assumptions!$A$11:$B$14,2,FALSE)</f>
        <v>4000</v>
      </c>
    </row>
    <row r="244" spans="1:7" x14ac:dyDescent="0.45">
      <c r="A244" t="str">
        <f>INDEX(Dim_Month!A:A, INT((ROW()-2)/(4*3*2))+2)</f>
        <v>2025-11</v>
      </c>
      <c r="B244" t="str">
        <f>INDEX(Dim_Benefit!A:A, MOD(INT((ROW()-2)/(3*2)),4)+2)</f>
        <v>Health</v>
      </c>
      <c r="C244" t="str">
        <f>INDEX(Dim_Region!A:A,MOD(INT((ROW()-2)/2),3)+2)</f>
        <v>QC</v>
      </c>
      <c r="D244" t="str">
        <f>INDEX(Dim_Class!A:A,MOD(ROW()-2,2)+2)</f>
        <v>A</v>
      </c>
      <c r="E244">
        <f>COUNTIFS(Census!B:B,Experience_12m!C244,Census!C:C,Experience_12m!D244)</f>
        <v>62</v>
      </c>
      <c r="F244">
        <f>ROUND(E244*VLOOKUP(B244,assumptions!$A$3:$B$6,2,FALSE),0)</f>
        <v>9</v>
      </c>
      <c r="G244">
        <f>F244*VLOOKUP(B244,assumptions!$A$11:$B$14,2,FALSE)</f>
        <v>2250</v>
      </c>
    </row>
    <row r="245" spans="1:7" x14ac:dyDescent="0.45">
      <c r="A245" t="str">
        <f>INDEX(Dim_Month!A:A, INT((ROW()-2)/(4*3*2))+2)</f>
        <v>2025-11</v>
      </c>
      <c r="B245" t="str">
        <f>INDEX(Dim_Benefit!A:A, MOD(INT((ROW()-2)/(3*2)),4)+2)</f>
        <v>Health</v>
      </c>
      <c r="C245" t="str">
        <f>INDEX(Dim_Region!A:A,MOD(INT((ROW()-2)/2),3)+2)</f>
        <v>QC</v>
      </c>
      <c r="D245" t="str">
        <f>INDEX(Dim_Class!A:A,MOD(ROW()-2,2)+2)</f>
        <v>B</v>
      </c>
      <c r="E245">
        <f>COUNTIFS(Census!B:B,Experience_12m!C245,Census!C:C,Experience_12m!D245)</f>
        <v>31</v>
      </c>
      <c r="F245">
        <f>ROUND(E245*VLOOKUP(B245,assumptions!$A$3:$B$6,2,FALSE),0)</f>
        <v>5</v>
      </c>
      <c r="G245">
        <f>F245*VLOOKUP(B245,assumptions!$A$11:$B$14,2,FALSE)</f>
        <v>1250</v>
      </c>
    </row>
    <row r="246" spans="1:7" x14ac:dyDescent="0.45">
      <c r="A246" t="str">
        <f>INDEX(Dim_Month!A:A, INT((ROW()-2)/(4*3*2))+2)</f>
        <v>2025-11</v>
      </c>
      <c r="B246" t="str">
        <f>INDEX(Dim_Benefit!A:A, MOD(INT((ROW()-2)/(3*2)),4)+2)</f>
        <v>Health</v>
      </c>
      <c r="C246" t="str">
        <f>INDEX(Dim_Region!A:A,MOD(INT((ROW()-2)/2),3)+2)</f>
        <v>BC</v>
      </c>
      <c r="D246" t="str">
        <f>INDEX(Dim_Class!A:A,MOD(ROW()-2,2)+2)</f>
        <v>A</v>
      </c>
      <c r="E246">
        <f>COUNTIFS(Census!B:B,Experience_12m!C246,Census!C:C,Experience_12m!D246)</f>
        <v>72</v>
      </c>
      <c r="F246">
        <f>ROUND(E246*VLOOKUP(B246,assumptions!$A$3:$B$6,2,FALSE),0)</f>
        <v>11</v>
      </c>
      <c r="G246">
        <f>F246*VLOOKUP(B246,assumptions!$A$11:$B$14,2,FALSE)</f>
        <v>2750</v>
      </c>
    </row>
    <row r="247" spans="1:7" x14ac:dyDescent="0.45">
      <c r="A247" t="str">
        <f>INDEX(Dim_Month!A:A, INT((ROW()-2)/(4*3*2))+2)</f>
        <v>2025-11</v>
      </c>
      <c r="B247" t="str">
        <f>INDEX(Dim_Benefit!A:A, MOD(INT((ROW()-2)/(3*2)),4)+2)</f>
        <v>Health</v>
      </c>
      <c r="C247" t="str">
        <f>INDEX(Dim_Region!A:A,MOD(INT((ROW()-2)/2),3)+2)</f>
        <v>BC</v>
      </c>
      <c r="D247" t="str">
        <f>INDEX(Dim_Class!A:A,MOD(ROW()-2,2)+2)</f>
        <v>B</v>
      </c>
      <c r="E247">
        <f>COUNTIFS(Census!B:B,Experience_12m!C247,Census!C:C,Experience_12m!D247)</f>
        <v>46</v>
      </c>
      <c r="F247">
        <f>ROUND(E247*VLOOKUP(B247,assumptions!$A$3:$B$6,2,FALSE),0)</f>
        <v>7</v>
      </c>
      <c r="G247">
        <f>F247*VLOOKUP(B247,assumptions!$A$11:$B$14,2,FALSE)</f>
        <v>1750</v>
      </c>
    </row>
    <row r="248" spans="1:7" x14ac:dyDescent="0.45">
      <c r="A248" t="str">
        <f>INDEX(Dim_Month!A:A, INT((ROW()-2)/(4*3*2))+2)</f>
        <v>2025-11</v>
      </c>
      <c r="B248" t="str">
        <f>INDEX(Dim_Benefit!A:A, MOD(INT((ROW()-2)/(3*2)),4)+2)</f>
        <v>Dental</v>
      </c>
      <c r="C248" t="str">
        <f>INDEX(Dim_Region!A:A,MOD(INT((ROW()-2)/2),3)+2)</f>
        <v>ON</v>
      </c>
      <c r="D248" t="str">
        <f>INDEX(Dim_Class!A:A,MOD(ROW()-2,2)+2)</f>
        <v>A</v>
      </c>
      <c r="E248">
        <f>COUNTIFS(Census!B:B,Experience_12m!C248,Census!C:C,Experience_12m!D248)</f>
        <v>180</v>
      </c>
      <c r="F248">
        <f>ROUND(E248*VLOOKUP(B248,assumptions!$A$3:$B$6,2,FALSE),0)</f>
        <v>18</v>
      </c>
      <c r="G248">
        <f>F248*VLOOKUP(B248,assumptions!$A$11:$B$14,2,FALSE)</f>
        <v>3240</v>
      </c>
    </row>
    <row r="249" spans="1:7" x14ac:dyDescent="0.45">
      <c r="A249" t="str">
        <f>INDEX(Dim_Month!A:A, INT((ROW()-2)/(4*3*2))+2)</f>
        <v>2025-11</v>
      </c>
      <c r="B249" t="str">
        <f>INDEX(Dim_Benefit!A:A, MOD(INT((ROW()-2)/(3*2)),4)+2)</f>
        <v>Dental</v>
      </c>
      <c r="C249" t="str">
        <f>INDEX(Dim_Region!A:A,MOD(INT((ROW()-2)/2),3)+2)</f>
        <v>ON</v>
      </c>
      <c r="D249" t="str">
        <f>INDEX(Dim_Class!A:A,MOD(ROW()-2,2)+2)</f>
        <v>B</v>
      </c>
      <c r="E249">
        <f>COUNTIFS(Census!B:B,Experience_12m!C249,Census!C:C,Experience_12m!D249)</f>
        <v>109</v>
      </c>
      <c r="F249">
        <f>ROUND(E249*VLOOKUP(B249,assumptions!$A$3:$B$6,2,FALSE),0)</f>
        <v>11</v>
      </c>
      <c r="G249">
        <f>F249*VLOOKUP(B249,assumptions!$A$11:$B$14,2,FALSE)</f>
        <v>1980</v>
      </c>
    </row>
    <row r="250" spans="1:7" x14ac:dyDescent="0.45">
      <c r="A250" t="str">
        <f>INDEX(Dim_Month!A:A, INT((ROW()-2)/(4*3*2))+2)</f>
        <v>2025-11</v>
      </c>
      <c r="B250" t="str">
        <f>INDEX(Dim_Benefit!A:A, MOD(INT((ROW()-2)/(3*2)),4)+2)</f>
        <v>Dental</v>
      </c>
      <c r="C250" t="str">
        <f>INDEX(Dim_Region!A:A,MOD(INT((ROW()-2)/2),3)+2)</f>
        <v>QC</v>
      </c>
      <c r="D250" t="str">
        <f>INDEX(Dim_Class!A:A,MOD(ROW()-2,2)+2)</f>
        <v>A</v>
      </c>
      <c r="E250">
        <f>COUNTIFS(Census!B:B,Experience_12m!C250,Census!C:C,Experience_12m!D250)</f>
        <v>62</v>
      </c>
      <c r="F250">
        <f>ROUND(E250*VLOOKUP(B250,assumptions!$A$3:$B$6,2,FALSE),0)</f>
        <v>6</v>
      </c>
      <c r="G250">
        <f>F250*VLOOKUP(B250,assumptions!$A$11:$B$14,2,FALSE)</f>
        <v>1080</v>
      </c>
    </row>
    <row r="251" spans="1:7" x14ac:dyDescent="0.45">
      <c r="A251" t="str">
        <f>INDEX(Dim_Month!A:A, INT((ROW()-2)/(4*3*2))+2)</f>
        <v>2025-11</v>
      </c>
      <c r="B251" t="str">
        <f>INDEX(Dim_Benefit!A:A, MOD(INT((ROW()-2)/(3*2)),4)+2)</f>
        <v>Dental</v>
      </c>
      <c r="C251" t="str">
        <f>INDEX(Dim_Region!A:A,MOD(INT((ROW()-2)/2),3)+2)</f>
        <v>QC</v>
      </c>
      <c r="D251" t="str">
        <f>INDEX(Dim_Class!A:A,MOD(ROW()-2,2)+2)</f>
        <v>B</v>
      </c>
      <c r="E251">
        <f>COUNTIFS(Census!B:B,Experience_12m!C251,Census!C:C,Experience_12m!D251)</f>
        <v>31</v>
      </c>
      <c r="F251">
        <f>ROUND(E251*VLOOKUP(B251,assumptions!$A$3:$B$6,2,FALSE),0)</f>
        <v>3</v>
      </c>
      <c r="G251">
        <f>F251*VLOOKUP(B251,assumptions!$A$11:$B$14,2,FALSE)</f>
        <v>540</v>
      </c>
    </row>
    <row r="252" spans="1:7" x14ac:dyDescent="0.45">
      <c r="A252" t="str">
        <f>INDEX(Dim_Month!A:A, INT((ROW()-2)/(4*3*2))+2)</f>
        <v>2025-11</v>
      </c>
      <c r="B252" t="str">
        <f>INDEX(Dim_Benefit!A:A, MOD(INT((ROW()-2)/(3*2)),4)+2)</f>
        <v>Dental</v>
      </c>
      <c r="C252" t="str">
        <f>INDEX(Dim_Region!A:A,MOD(INT((ROW()-2)/2),3)+2)</f>
        <v>BC</v>
      </c>
      <c r="D252" t="str">
        <f>INDEX(Dim_Class!A:A,MOD(ROW()-2,2)+2)</f>
        <v>A</v>
      </c>
      <c r="E252">
        <f>COUNTIFS(Census!B:B,Experience_12m!C252,Census!C:C,Experience_12m!D252)</f>
        <v>72</v>
      </c>
      <c r="F252">
        <f>ROUND(E252*VLOOKUP(B252,assumptions!$A$3:$B$6,2,FALSE),0)</f>
        <v>7</v>
      </c>
      <c r="G252">
        <f>F252*VLOOKUP(B252,assumptions!$A$11:$B$14,2,FALSE)</f>
        <v>1260</v>
      </c>
    </row>
    <row r="253" spans="1:7" x14ac:dyDescent="0.45">
      <c r="A253" t="str">
        <f>INDEX(Dim_Month!A:A, INT((ROW()-2)/(4*3*2))+2)</f>
        <v>2025-11</v>
      </c>
      <c r="B253" t="str">
        <f>INDEX(Dim_Benefit!A:A, MOD(INT((ROW()-2)/(3*2)),4)+2)</f>
        <v>Dental</v>
      </c>
      <c r="C253" t="str">
        <f>INDEX(Dim_Region!A:A,MOD(INT((ROW()-2)/2),3)+2)</f>
        <v>BC</v>
      </c>
      <c r="D253" t="str">
        <f>INDEX(Dim_Class!A:A,MOD(ROW()-2,2)+2)</f>
        <v>B</v>
      </c>
      <c r="E253">
        <f>COUNTIFS(Census!B:B,Experience_12m!C253,Census!C:C,Experience_12m!D253)</f>
        <v>46</v>
      </c>
      <c r="F253">
        <f>ROUND(E253*VLOOKUP(B253,assumptions!$A$3:$B$6,2,FALSE),0)</f>
        <v>5</v>
      </c>
      <c r="G253">
        <f>F253*VLOOKUP(B253,assumptions!$A$11:$B$14,2,FALSE)</f>
        <v>900</v>
      </c>
    </row>
    <row r="254" spans="1:7" x14ac:dyDescent="0.45">
      <c r="A254" t="str">
        <f>INDEX(Dim_Month!A:A, INT((ROW()-2)/(4*3*2))+2)</f>
        <v>2025-11</v>
      </c>
      <c r="B254" t="str">
        <f>INDEX(Dim_Benefit!A:A, MOD(INT((ROW()-2)/(3*2)),4)+2)</f>
        <v>STD</v>
      </c>
      <c r="C254" t="str">
        <f>INDEX(Dim_Region!A:A,MOD(INT((ROW()-2)/2),3)+2)</f>
        <v>ON</v>
      </c>
      <c r="D254" t="str">
        <f>INDEX(Dim_Class!A:A,MOD(ROW()-2,2)+2)</f>
        <v>A</v>
      </c>
      <c r="E254">
        <f>COUNTIFS(Census!B:B,Experience_12m!C254,Census!C:C,Experience_12m!D254)</f>
        <v>180</v>
      </c>
      <c r="F254">
        <f>ROUND(E254*VLOOKUP(B254,assumptions!$A$3:$B$6,2,FALSE),0)</f>
        <v>2</v>
      </c>
      <c r="G254">
        <f>F254*VLOOKUP(B254,assumptions!$A$11:$B$14,2,FALSE)</f>
        <v>2400</v>
      </c>
    </row>
    <row r="255" spans="1:7" x14ac:dyDescent="0.45">
      <c r="A255" t="str">
        <f>INDEX(Dim_Month!A:A, INT((ROW()-2)/(4*3*2))+2)</f>
        <v>2025-11</v>
      </c>
      <c r="B255" t="str">
        <f>INDEX(Dim_Benefit!A:A, MOD(INT((ROW()-2)/(3*2)),4)+2)</f>
        <v>STD</v>
      </c>
      <c r="C255" t="str">
        <f>INDEX(Dim_Region!A:A,MOD(INT((ROW()-2)/2),3)+2)</f>
        <v>ON</v>
      </c>
      <c r="D255" t="str">
        <f>INDEX(Dim_Class!A:A,MOD(ROW()-2,2)+2)</f>
        <v>B</v>
      </c>
      <c r="E255">
        <f>COUNTIFS(Census!B:B,Experience_12m!C255,Census!C:C,Experience_12m!D255)</f>
        <v>109</v>
      </c>
      <c r="F255">
        <f>ROUND(E255*VLOOKUP(B255,assumptions!$A$3:$B$6,2,FALSE),0)</f>
        <v>1</v>
      </c>
      <c r="G255">
        <f>F255*VLOOKUP(B255,assumptions!$A$11:$B$14,2,FALSE)</f>
        <v>1200</v>
      </c>
    </row>
    <row r="256" spans="1:7" x14ac:dyDescent="0.45">
      <c r="A256" t="str">
        <f>INDEX(Dim_Month!A:A, INT((ROW()-2)/(4*3*2))+2)</f>
        <v>2025-11</v>
      </c>
      <c r="B256" t="str">
        <f>INDEX(Dim_Benefit!A:A, MOD(INT((ROW()-2)/(3*2)),4)+2)</f>
        <v>STD</v>
      </c>
      <c r="C256" t="str">
        <f>INDEX(Dim_Region!A:A,MOD(INT((ROW()-2)/2),3)+2)</f>
        <v>QC</v>
      </c>
      <c r="D256" t="str">
        <f>INDEX(Dim_Class!A:A,MOD(ROW()-2,2)+2)</f>
        <v>A</v>
      </c>
      <c r="E256">
        <f>COUNTIFS(Census!B:B,Experience_12m!C256,Census!C:C,Experience_12m!D256)</f>
        <v>62</v>
      </c>
      <c r="F256">
        <f>ROUND(E256*VLOOKUP(B256,assumptions!$A$3:$B$6,2,FALSE),0)</f>
        <v>1</v>
      </c>
      <c r="G256">
        <f>F256*VLOOKUP(B256,assumptions!$A$11:$B$14,2,FALSE)</f>
        <v>1200</v>
      </c>
    </row>
    <row r="257" spans="1:7" x14ac:dyDescent="0.45">
      <c r="A257" t="str">
        <f>INDEX(Dim_Month!A:A, INT((ROW()-2)/(4*3*2))+2)</f>
        <v>2025-11</v>
      </c>
      <c r="B257" t="str">
        <f>INDEX(Dim_Benefit!A:A, MOD(INT((ROW()-2)/(3*2)),4)+2)</f>
        <v>STD</v>
      </c>
      <c r="C257" t="str">
        <f>INDEX(Dim_Region!A:A,MOD(INT((ROW()-2)/2),3)+2)</f>
        <v>QC</v>
      </c>
      <c r="D257" t="str">
        <f>INDEX(Dim_Class!A:A,MOD(ROW()-2,2)+2)</f>
        <v>B</v>
      </c>
      <c r="E257">
        <f>COUNTIFS(Census!B:B,Experience_12m!C257,Census!C:C,Experience_12m!D257)</f>
        <v>31</v>
      </c>
      <c r="F257">
        <f>ROUND(E257*VLOOKUP(B257,assumptions!$A$3:$B$6,2,FALSE),0)</f>
        <v>0</v>
      </c>
      <c r="G257">
        <f>F257*VLOOKUP(B257,assumptions!$A$11:$B$14,2,FALSE)</f>
        <v>0</v>
      </c>
    </row>
    <row r="258" spans="1:7" x14ac:dyDescent="0.45">
      <c r="A258" t="str">
        <f>INDEX(Dim_Month!A:A, INT((ROW()-2)/(4*3*2))+2)</f>
        <v>2025-11</v>
      </c>
      <c r="B258" t="str">
        <f>INDEX(Dim_Benefit!A:A, MOD(INT((ROW()-2)/(3*2)),4)+2)</f>
        <v>STD</v>
      </c>
      <c r="C258" t="str">
        <f>INDEX(Dim_Region!A:A,MOD(INT((ROW()-2)/2),3)+2)</f>
        <v>BC</v>
      </c>
      <c r="D258" t="str">
        <f>INDEX(Dim_Class!A:A,MOD(ROW()-2,2)+2)</f>
        <v>A</v>
      </c>
      <c r="E258">
        <f>COUNTIFS(Census!B:B,Experience_12m!C258,Census!C:C,Experience_12m!D258)</f>
        <v>72</v>
      </c>
      <c r="F258">
        <f>ROUND(E258*VLOOKUP(B258,assumptions!$A$3:$B$6,2,FALSE),0)</f>
        <v>1</v>
      </c>
      <c r="G258">
        <f>F258*VLOOKUP(B258,assumptions!$A$11:$B$14,2,FALSE)</f>
        <v>1200</v>
      </c>
    </row>
    <row r="259" spans="1:7" x14ac:dyDescent="0.45">
      <c r="A259" t="str">
        <f>INDEX(Dim_Month!A:A, INT((ROW()-2)/(4*3*2))+2)</f>
        <v>2025-11</v>
      </c>
      <c r="B259" t="str">
        <f>INDEX(Dim_Benefit!A:A, MOD(INT((ROW()-2)/(3*2)),4)+2)</f>
        <v>STD</v>
      </c>
      <c r="C259" t="str">
        <f>INDEX(Dim_Region!A:A,MOD(INT((ROW()-2)/2),3)+2)</f>
        <v>BC</v>
      </c>
      <c r="D259" t="str">
        <f>INDEX(Dim_Class!A:A,MOD(ROW()-2,2)+2)</f>
        <v>B</v>
      </c>
      <c r="E259">
        <f>COUNTIFS(Census!B:B,Experience_12m!C259,Census!C:C,Experience_12m!D259)</f>
        <v>46</v>
      </c>
      <c r="F259">
        <f>ROUND(E259*VLOOKUP(B259,assumptions!$A$3:$B$6,2,FALSE),0)</f>
        <v>0</v>
      </c>
      <c r="G259">
        <f>F259*VLOOKUP(B259,assumptions!$A$11:$B$14,2,FALSE)</f>
        <v>0</v>
      </c>
    </row>
    <row r="260" spans="1:7" x14ac:dyDescent="0.45">
      <c r="A260" t="str">
        <f>INDEX(Dim_Month!A:A, INT((ROW()-2)/(4*3*2))+2)</f>
        <v>2025-11</v>
      </c>
      <c r="B260" t="str">
        <f>INDEX(Dim_Benefit!A:A, MOD(INT((ROW()-2)/(3*2)),4)+2)</f>
        <v>LTD</v>
      </c>
      <c r="C260" t="str">
        <f>INDEX(Dim_Region!A:A,MOD(INT((ROW()-2)/2),3)+2)</f>
        <v>ON</v>
      </c>
      <c r="D260" t="str">
        <f>INDEX(Dim_Class!A:A,MOD(ROW()-2,2)+2)</f>
        <v>A</v>
      </c>
      <c r="E260">
        <f>COUNTIFS(Census!B:B,Experience_12m!C260,Census!C:C,Experience_12m!D260)</f>
        <v>180</v>
      </c>
      <c r="F260">
        <f>ROUND(E260*VLOOKUP(B260,assumptions!$A$3:$B$6,2,FALSE),0)</f>
        <v>1</v>
      </c>
      <c r="G260">
        <f>F260*VLOOKUP(B260,assumptions!$A$11:$B$14,2,FALSE)</f>
        <v>6000</v>
      </c>
    </row>
    <row r="261" spans="1:7" x14ac:dyDescent="0.45">
      <c r="A261" t="str">
        <f>INDEX(Dim_Month!A:A, INT((ROW()-2)/(4*3*2))+2)</f>
        <v>2025-11</v>
      </c>
      <c r="B261" t="str">
        <f>INDEX(Dim_Benefit!A:A, MOD(INT((ROW()-2)/(3*2)),4)+2)</f>
        <v>LTD</v>
      </c>
      <c r="C261" t="str">
        <f>INDEX(Dim_Region!A:A,MOD(INT((ROW()-2)/2),3)+2)</f>
        <v>ON</v>
      </c>
      <c r="D261" t="str">
        <f>INDEX(Dim_Class!A:A,MOD(ROW()-2,2)+2)</f>
        <v>B</v>
      </c>
      <c r="E261">
        <f>COUNTIFS(Census!B:B,Experience_12m!C261,Census!C:C,Experience_12m!D261)</f>
        <v>109</v>
      </c>
      <c r="F261">
        <f>ROUND(E261*VLOOKUP(B261,assumptions!$A$3:$B$6,2,FALSE),0)</f>
        <v>0</v>
      </c>
      <c r="G261">
        <f>F261*VLOOKUP(B261,assumptions!$A$11:$B$14,2,FALSE)</f>
        <v>0</v>
      </c>
    </row>
    <row r="262" spans="1:7" x14ac:dyDescent="0.45">
      <c r="A262" t="str">
        <f>INDEX(Dim_Month!A:A, INT((ROW()-2)/(4*3*2))+2)</f>
        <v>2025-11</v>
      </c>
      <c r="B262" t="str">
        <f>INDEX(Dim_Benefit!A:A, MOD(INT((ROW()-2)/(3*2)),4)+2)</f>
        <v>LTD</v>
      </c>
      <c r="C262" t="str">
        <f>INDEX(Dim_Region!A:A,MOD(INT((ROW()-2)/2),3)+2)</f>
        <v>QC</v>
      </c>
      <c r="D262" t="str">
        <f>INDEX(Dim_Class!A:A,MOD(ROW()-2,2)+2)</f>
        <v>A</v>
      </c>
      <c r="E262">
        <f>COUNTIFS(Census!B:B,Experience_12m!C262,Census!C:C,Experience_12m!D262)</f>
        <v>62</v>
      </c>
      <c r="F262">
        <f>ROUND(E262*VLOOKUP(B262,assumptions!$A$3:$B$6,2,FALSE),0)</f>
        <v>0</v>
      </c>
      <c r="G262">
        <f>F262*VLOOKUP(B262,assumptions!$A$11:$B$14,2,FALSE)</f>
        <v>0</v>
      </c>
    </row>
    <row r="263" spans="1:7" x14ac:dyDescent="0.45">
      <c r="A263" t="str">
        <f>INDEX(Dim_Month!A:A, INT((ROW()-2)/(4*3*2))+2)</f>
        <v>2025-11</v>
      </c>
      <c r="B263" t="str">
        <f>INDEX(Dim_Benefit!A:A, MOD(INT((ROW()-2)/(3*2)),4)+2)</f>
        <v>LTD</v>
      </c>
      <c r="C263" t="str">
        <f>INDEX(Dim_Region!A:A,MOD(INT((ROW()-2)/2),3)+2)</f>
        <v>QC</v>
      </c>
      <c r="D263" t="str">
        <f>INDEX(Dim_Class!A:A,MOD(ROW()-2,2)+2)</f>
        <v>B</v>
      </c>
      <c r="E263">
        <f>COUNTIFS(Census!B:B,Experience_12m!C263,Census!C:C,Experience_12m!D263)</f>
        <v>31</v>
      </c>
      <c r="F263">
        <f>ROUND(E263*VLOOKUP(B263,assumptions!$A$3:$B$6,2,FALSE),0)</f>
        <v>0</v>
      </c>
      <c r="G263">
        <f>F263*VLOOKUP(B263,assumptions!$A$11:$B$14,2,FALSE)</f>
        <v>0</v>
      </c>
    </row>
    <row r="264" spans="1:7" x14ac:dyDescent="0.45">
      <c r="A264" t="str">
        <f>INDEX(Dim_Month!A:A, INT((ROW()-2)/(4*3*2))+2)</f>
        <v>2025-11</v>
      </c>
      <c r="B264" t="str">
        <f>INDEX(Dim_Benefit!A:A, MOD(INT((ROW()-2)/(3*2)),4)+2)</f>
        <v>LTD</v>
      </c>
      <c r="C264" t="str">
        <f>INDEX(Dim_Region!A:A,MOD(INT((ROW()-2)/2),3)+2)</f>
        <v>BC</v>
      </c>
      <c r="D264" t="str">
        <f>INDEX(Dim_Class!A:A,MOD(ROW()-2,2)+2)</f>
        <v>A</v>
      </c>
      <c r="E264">
        <f>COUNTIFS(Census!B:B,Experience_12m!C264,Census!C:C,Experience_12m!D264)</f>
        <v>72</v>
      </c>
      <c r="F264">
        <f>ROUND(E264*VLOOKUP(B264,assumptions!$A$3:$B$6,2,FALSE),0)</f>
        <v>0</v>
      </c>
      <c r="G264">
        <f>F264*VLOOKUP(B264,assumptions!$A$11:$B$14,2,FALSE)</f>
        <v>0</v>
      </c>
    </row>
    <row r="265" spans="1:7" x14ac:dyDescent="0.45">
      <c r="A265" t="str">
        <f>INDEX(Dim_Month!A:A, INT((ROW()-2)/(4*3*2))+2)</f>
        <v>2025-11</v>
      </c>
      <c r="B265" t="str">
        <f>INDEX(Dim_Benefit!A:A, MOD(INT((ROW()-2)/(3*2)),4)+2)</f>
        <v>LTD</v>
      </c>
      <c r="C265" t="str">
        <f>INDEX(Dim_Region!A:A,MOD(INT((ROW()-2)/2),3)+2)</f>
        <v>BC</v>
      </c>
      <c r="D265" t="str">
        <f>INDEX(Dim_Class!A:A,MOD(ROW()-2,2)+2)</f>
        <v>B</v>
      </c>
      <c r="E265">
        <f>COUNTIFS(Census!B:B,Experience_12m!C265,Census!C:C,Experience_12m!D265)</f>
        <v>46</v>
      </c>
      <c r="F265">
        <f>ROUND(E265*VLOOKUP(B265,assumptions!$A$3:$B$6,2,FALSE),0)</f>
        <v>0</v>
      </c>
      <c r="G265">
        <f>F265*VLOOKUP(B265,assumptions!$A$11:$B$14,2,FALSE)</f>
        <v>0</v>
      </c>
    </row>
    <row r="266" spans="1:7" x14ac:dyDescent="0.45">
      <c r="A266" t="str">
        <f>INDEX(Dim_Month!A:A, INT((ROW()-2)/(4*3*2))+2)</f>
        <v>2025-12</v>
      </c>
      <c r="B266" t="str">
        <f>INDEX(Dim_Benefit!A:A, MOD(INT((ROW()-2)/(3*2)),4)+2)</f>
        <v>Health</v>
      </c>
      <c r="C266" t="str">
        <f>INDEX(Dim_Region!A:A,MOD(INT((ROW()-2)/2),3)+2)</f>
        <v>ON</v>
      </c>
      <c r="D266" t="str">
        <f>INDEX(Dim_Class!A:A,MOD(ROW()-2,2)+2)</f>
        <v>A</v>
      </c>
      <c r="E266">
        <f>COUNTIFS(Census!B:B,Experience_12m!C266,Census!C:C,Experience_12m!D266)</f>
        <v>180</v>
      </c>
      <c r="F266">
        <f>ROUND(E266*VLOOKUP(B266,assumptions!$A$3:$B$6,2,FALSE),0)</f>
        <v>27</v>
      </c>
      <c r="G266">
        <f>F266*VLOOKUP(B266,assumptions!$A$11:$B$14,2,FALSE)</f>
        <v>6750</v>
      </c>
    </row>
    <row r="267" spans="1:7" x14ac:dyDescent="0.45">
      <c r="A267" t="str">
        <f>INDEX(Dim_Month!A:A, INT((ROW()-2)/(4*3*2))+2)</f>
        <v>2025-12</v>
      </c>
      <c r="B267" t="str">
        <f>INDEX(Dim_Benefit!A:A, MOD(INT((ROW()-2)/(3*2)),4)+2)</f>
        <v>Health</v>
      </c>
      <c r="C267" t="str">
        <f>INDEX(Dim_Region!A:A,MOD(INT((ROW()-2)/2),3)+2)</f>
        <v>ON</v>
      </c>
      <c r="D267" t="str">
        <f>INDEX(Dim_Class!A:A,MOD(ROW()-2,2)+2)</f>
        <v>B</v>
      </c>
      <c r="E267">
        <f>COUNTIFS(Census!B:B,Experience_12m!C267,Census!C:C,Experience_12m!D267)</f>
        <v>109</v>
      </c>
      <c r="F267">
        <f>ROUND(E267*VLOOKUP(B267,assumptions!$A$3:$B$6,2,FALSE),0)</f>
        <v>16</v>
      </c>
      <c r="G267">
        <f>F267*VLOOKUP(B267,assumptions!$A$11:$B$14,2,FALSE)</f>
        <v>4000</v>
      </c>
    </row>
    <row r="268" spans="1:7" x14ac:dyDescent="0.45">
      <c r="A268" t="str">
        <f>INDEX(Dim_Month!A:A, INT((ROW()-2)/(4*3*2))+2)</f>
        <v>2025-12</v>
      </c>
      <c r="B268" t="str">
        <f>INDEX(Dim_Benefit!A:A, MOD(INT((ROW()-2)/(3*2)),4)+2)</f>
        <v>Health</v>
      </c>
      <c r="C268" t="str">
        <f>INDEX(Dim_Region!A:A,MOD(INT((ROW()-2)/2),3)+2)</f>
        <v>QC</v>
      </c>
      <c r="D268" t="str">
        <f>INDEX(Dim_Class!A:A,MOD(ROW()-2,2)+2)</f>
        <v>A</v>
      </c>
      <c r="E268">
        <f>COUNTIFS(Census!B:B,Experience_12m!C268,Census!C:C,Experience_12m!D268)</f>
        <v>62</v>
      </c>
      <c r="F268">
        <f>ROUND(E268*VLOOKUP(B268,assumptions!$A$3:$B$6,2,FALSE),0)</f>
        <v>9</v>
      </c>
      <c r="G268">
        <f>F268*VLOOKUP(B268,assumptions!$A$11:$B$14,2,FALSE)</f>
        <v>2250</v>
      </c>
    </row>
    <row r="269" spans="1:7" x14ac:dyDescent="0.45">
      <c r="A269" t="str">
        <f>INDEX(Dim_Month!A:A, INT((ROW()-2)/(4*3*2))+2)</f>
        <v>2025-12</v>
      </c>
      <c r="B269" t="str">
        <f>INDEX(Dim_Benefit!A:A, MOD(INT((ROW()-2)/(3*2)),4)+2)</f>
        <v>Health</v>
      </c>
      <c r="C269" t="str">
        <f>INDEX(Dim_Region!A:A,MOD(INT((ROW()-2)/2),3)+2)</f>
        <v>QC</v>
      </c>
      <c r="D269" t="str">
        <f>INDEX(Dim_Class!A:A,MOD(ROW()-2,2)+2)</f>
        <v>B</v>
      </c>
      <c r="E269">
        <f>COUNTIFS(Census!B:B,Experience_12m!C269,Census!C:C,Experience_12m!D269)</f>
        <v>31</v>
      </c>
      <c r="F269">
        <f>ROUND(E269*VLOOKUP(B269,assumptions!$A$3:$B$6,2,FALSE),0)</f>
        <v>5</v>
      </c>
      <c r="G269">
        <f>F269*VLOOKUP(B269,assumptions!$A$11:$B$14,2,FALSE)</f>
        <v>1250</v>
      </c>
    </row>
    <row r="270" spans="1:7" x14ac:dyDescent="0.45">
      <c r="A270" t="str">
        <f>INDEX(Dim_Month!A:A, INT((ROW()-2)/(4*3*2))+2)</f>
        <v>2025-12</v>
      </c>
      <c r="B270" t="str">
        <f>INDEX(Dim_Benefit!A:A, MOD(INT((ROW()-2)/(3*2)),4)+2)</f>
        <v>Health</v>
      </c>
      <c r="C270" t="str">
        <f>INDEX(Dim_Region!A:A,MOD(INT((ROW()-2)/2),3)+2)</f>
        <v>BC</v>
      </c>
      <c r="D270" t="str">
        <f>INDEX(Dim_Class!A:A,MOD(ROW()-2,2)+2)</f>
        <v>A</v>
      </c>
      <c r="E270">
        <f>COUNTIFS(Census!B:B,Experience_12m!C270,Census!C:C,Experience_12m!D270)</f>
        <v>72</v>
      </c>
      <c r="F270">
        <f>ROUND(E270*VLOOKUP(B270,assumptions!$A$3:$B$6,2,FALSE),0)</f>
        <v>11</v>
      </c>
      <c r="G270">
        <f>F270*VLOOKUP(B270,assumptions!$A$11:$B$14,2,FALSE)</f>
        <v>2750</v>
      </c>
    </row>
    <row r="271" spans="1:7" x14ac:dyDescent="0.45">
      <c r="A271" t="str">
        <f>INDEX(Dim_Month!A:A, INT((ROW()-2)/(4*3*2))+2)</f>
        <v>2025-12</v>
      </c>
      <c r="B271" t="str">
        <f>INDEX(Dim_Benefit!A:A, MOD(INT((ROW()-2)/(3*2)),4)+2)</f>
        <v>Health</v>
      </c>
      <c r="C271" t="str">
        <f>INDEX(Dim_Region!A:A,MOD(INT((ROW()-2)/2),3)+2)</f>
        <v>BC</v>
      </c>
      <c r="D271" t="str">
        <f>INDEX(Dim_Class!A:A,MOD(ROW()-2,2)+2)</f>
        <v>B</v>
      </c>
      <c r="E271">
        <f>COUNTIFS(Census!B:B,Experience_12m!C271,Census!C:C,Experience_12m!D271)</f>
        <v>46</v>
      </c>
      <c r="F271">
        <f>ROUND(E271*VLOOKUP(B271,assumptions!$A$3:$B$6,2,FALSE),0)</f>
        <v>7</v>
      </c>
      <c r="G271">
        <f>F271*VLOOKUP(B271,assumptions!$A$11:$B$14,2,FALSE)</f>
        <v>1750</v>
      </c>
    </row>
    <row r="272" spans="1:7" x14ac:dyDescent="0.45">
      <c r="A272" t="str">
        <f>INDEX(Dim_Month!A:A, INT((ROW()-2)/(4*3*2))+2)</f>
        <v>2025-12</v>
      </c>
      <c r="B272" t="str">
        <f>INDEX(Dim_Benefit!A:A, MOD(INT((ROW()-2)/(3*2)),4)+2)</f>
        <v>Dental</v>
      </c>
      <c r="C272" t="str">
        <f>INDEX(Dim_Region!A:A,MOD(INT((ROW()-2)/2),3)+2)</f>
        <v>ON</v>
      </c>
      <c r="D272" t="str">
        <f>INDEX(Dim_Class!A:A,MOD(ROW()-2,2)+2)</f>
        <v>A</v>
      </c>
      <c r="E272">
        <f>COUNTIFS(Census!B:B,Experience_12m!C272,Census!C:C,Experience_12m!D272)</f>
        <v>180</v>
      </c>
      <c r="F272">
        <f>ROUND(E272*VLOOKUP(B272,assumptions!$A$3:$B$6,2,FALSE),0)</f>
        <v>18</v>
      </c>
      <c r="G272">
        <f>F272*VLOOKUP(B272,assumptions!$A$11:$B$14,2,FALSE)</f>
        <v>3240</v>
      </c>
    </row>
    <row r="273" spans="1:7" x14ac:dyDescent="0.45">
      <c r="A273" t="str">
        <f>INDEX(Dim_Month!A:A, INT((ROW()-2)/(4*3*2))+2)</f>
        <v>2025-12</v>
      </c>
      <c r="B273" t="str">
        <f>INDEX(Dim_Benefit!A:A, MOD(INT((ROW()-2)/(3*2)),4)+2)</f>
        <v>Dental</v>
      </c>
      <c r="C273" t="str">
        <f>INDEX(Dim_Region!A:A,MOD(INT((ROW()-2)/2),3)+2)</f>
        <v>ON</v>
      </c>
      <c r="D273" t="str">
        <f>INDEX(Dim_Class!A:A,MOD(ROW()-2,2)+2)</f>
        <v>B</v>
      </c>
      <c r="E273">
        <f>COUNTIFS(Census!B:B,Experience_12m!C273,Census!C:C,Experience_12m!D273)</f>
        <v>109</v>
      </c>
      <c r="F273">
        <f>ROUND(E273*VLOOKUP(B273,assumptions!$A$3:$B$6,2,FALSE),0)</f>
        <v>11</v>
      </c>
      <c r="G273">
        <f>F273*VLOOKUP(B273,assumptions!$A$11:$B$14,2,FALSE)</f>
        <v>1980</v>
      </c>
    </row>
    <row r="274" spans="1:7" x14ac:dyDescent="0.45">
      <c r="A274" t="str">
        <f>INDEX(Dim_Month!A:A, INT((ROW()-2)/(4*3*2))+2)</f>
        <v>2025-12</v>
      </c>
      <c r="B274" t="str">
        <f>INDEX(Dim_Benefit!A:A, MOD(INT((ROW()-2)/(3*2)),4)+2)</f>
        <v>Dental</v>
      </c>
      <c r="C274" t="str">
        <f>INDEX(Dim_Region!A:A,MOD(INT((ROW()-2)/2),3)+2)</f>
        <v>QC</v>
      </c>
      <c r="D274" t="str">
        <f>INDEX(Dim_Class!A:A,MOD(ROW()-2,2)+2)</f>
        <v>A</v>
      </c>
      <c r="E274">
        <f>COUNTIFS(Census!B:B,Experience_12m!C274,Census!C:C,Experience_12m!D274)</f>
        <v>62</v>
      </c>
      <c r="F274">
        <f>ROUND(E274*VLOOKUP(B274,assumptions!$A$3:$B$6,2,FALSE),0)</f>
        <v>6</v>
      </c>
      <c r="G274">
        <f>F274*VLOOKUP(B274,assumptions!$A$11:$B$14,2,FALSE)</f>
        <v>1080</v>
      </c>
    </row>
    <row r="275" spans="1:7" x14ac:dyDescent="0.45">
      <c r="A275" t="str">
        <f>INDEX(Dim_Month!A:A, INT((ROW()-2)/(4*3*2))+2)</f>
        <v>2025-12</v>
      </c>
      <c r="B275" t="str">
        <f>INDEX(Dim_Benefit!A:A, MOD(INT((ROW()-2)/(3*2)),4)+2)</f>
        <v>Dental</v>
      </c>
      <c r="C275" t="str">
        <f>INDEX(Dim_Region!A:A,MOD(INT((ROW()-2)/2),3)+2)</f>
        <v>QC</v>
      </c>
      <c r="D275" t="str">
        <f>INDEX(Dim_Class!A:A,MOD(ROW()-2,2)+2)</f>
        <v>B</v>
      </c>
      <c r="E275">
        <f>COUNTIFS(Census!B:B,Experience_12m!C275,Census!C:C,Experience_12m!D275)</f>
        <v>31</v>
      </c>
      <c r="F275">
        <f>ROUND(E275*VLOOKUP(B275,assumptions!$A$3:$B$6,2,FALSE),0)</f>
        <v>3</v>
      </c>
      <c r="G275">
        <f>F275*VLOOKUP(B275,assumptions!$A$11:$B$14,2,FALSE)</f>
        <v>540</v>
      </c>
    </row>
    <row r="276" spans="1:7" x14ac:dyDescent="0.45">
      <c r="A276" t="str">
        <f>INDEX(Dim_Month!A:A, INT((ROW()-2)/(4*3*2))+2)</f>
        <v>2025-12</v>
      </c>
      <c r="B276" t="str">
        <f>INDEX(Dim_Benefit!A:A, MOD(INT((ROW()-2)/(3*2)),4)+2)</f>
        <v>Dental</v>
      </c>
      <c r="C276" t="str">
        <f>INDEX(Dim_Region!A:A,MOD(INT((ROW()-2)/2),3)+2)</f>
        <v>BC</v>
      </c>
      <c r="D276" t="str">
        <f>INDEX(Dim_Class!A:A,MOD(ROW()-2,2)+2)</f>
        <v>A</v>
      </c>
      <c r="E276">
        <f>COUNTIFS(Census!B:B,Experience_12m!C276,Census!C:C,Experience_12m!D276)</f>
        <v>72</v>
      </c>
      <c r="F276">
        <f>ROUND(E276*VLOOKUP(B276,assumptions!$A$3:$B$6,2,FALSE),0)</f>
        <v>7</v>
      </c>
      <c r="G276">
        <f>F276*VLOOKUP(B276,assumptions!$A$11:$B$14,2,FALSE)</f>
        <v>1260</v>
      </c>
    </row>
    <row r="277" spans="1:7" x14ac:dyDescent="0.45">
      <c r="A277" t="str">
        <f>INDEX(Dim_Month!A:A, INT((ROW()-2)/(4*3*2))+2)</f>
        <v>2025-12</v>
      </c>
      <c r="B277" t="str">
        <f>INDEX(Dim_Benefit!A:A, MOD(INT((ROW()-2)/(3*2)),4)+2)</f>
        <v>Dental</v>
      </c>
      <c r="C277" t="str">
        <f>INDEX(Dim_Region!A:A,MOD(INT((ROW()-2)/2),3)+2)</f>
        <v>BC</v>
      </c>
      <c r="D277" t="str">
        <f>INDEX(Dim_Class!A:A,MOD(ROW()-2,2)+2)</f>
        <v>B</v>
      </c>
      <c r="E277">
        <f>COUNTIFS(Census!B:B,Experience_12m!C277,Census!C:C,Experience_12m!D277)</f>
        <v>46</v>
      </c>
      <c r="F277">
        <f>ROUND(E277*VLOOKUP(B277,assumptions!$A$3:$B$6,2,FALSE),0)</f>
        <v>5</v>
      </c>
      <c r="G277">
        <f>F277*VLOOKUP(B277,assumptions!$A$11:$B$14,2,FALSE)</f>
        <v>900</v>
      </c>
    </row>
    <row r="278" spans="1:7" x14ac:dyDescent="0.45">
      <c r="A278" t="str">
        <f>INDEX(Dim_Month!A:A, INT((ROW()-2)/(4*3*2))+2)</f>
        <v>2025-12</v>
      </c>
      <c r="B278" t="str">
        <f>INDEX(Dim_Benefit!A:A, MOD(INT((ROW()-2)/(3*2)),4)+2)</f>
        <v>STD</v>
      </c>
      <c r="C278" t="str">
        <f>INDEX(Dim_Region!A:A,MOD(INT((ROW()-2)/2),3)+2)</f>
        <v>ON</v>
      </c>
      <c r="D278" t="str">
        <f>INDEX(Dim_Class!A:A,MOD(ROW()-2,2)+2)</f>
        <v>A</v>
      </c>
      <c r="E278">
        <f>COUNTIFS(Census!B:B,Experience_12m!C278,Census!C:C,Experience_12m!D278)</f>
        <v>180</v>
      </c>
      <c r="F278">
        <f>ROUND(E278*VLOOKUP(B278,assumptions!$A$3:$B$6,2,FALSE),0)</f>
        <v>2</v>
      </c>
      <c r="G278">
        <f>F278*VLOOKUP(B278,assumptions!$A$11:$B$14,2,FALSE)</f>
        <v>2400</v>
      </c>
    </row>
    <row r="279" spans="1:7" x14ac:dyDescent="0.45">
      <c r="A279" t="str">
        <f>INDEX(Dim_Month!A:A, INT((ROW()-2)/(4*3*2))+2)</f>
        <v>2025-12</v>
      </c>
      <c r="B279" t="str">
        <f>INDEX(Dim_Benefit!A:A, MOD(INT((ROW()-2)/(3*2)),4)+2)</f>
        <v>STD</v>
      </c>
      <c r="C279" t="str">
        <f>INDEX(Dim_Region!A:A,MOD(INT((ROW()-2)/2),3)+2)</f>
        <v>ON</v>
      </c>
      <c r="D279" t="str">
        <f>INDEX(Dim_Class!A:A,MOD(ROW()-2,2)+2)</f>
        <v>B</v>
      </c>
      <c r="E279">
        <f>COUNTIFS(Census!B:B,Experience_12m!C279,Census!C:C,Experience_12m!D279)</f>
        <v>109</v>
      </c>
      <c r="F279">
        <f>ROUND(E279*VLOOKUP(B279,assumptions!$A$3:$B$6,2,FALSE),0)</f>
        <v>1</v>
      </c>
      <c r="G279">
        <f>F279*VLOOKUP(B279,assumptions!$A$11:$B$14,2,FALSE)</f>
        <v>1200</v>
      </c>
    </row>
    <row r="280" spans="1:7" x14ac:dyDescent="0.45">
      <c r="A280" t="str">
        <f>INDEX(Dim_Month!A:A, INT((ROW()-2)/(4*3*2))+2)</f>
        <v>2025-12</v>
      </c>
      <c r="B280" t="str">
        <f>INDEX(Dim_Benefit!A:A, MOD(INT((ROW()-2)/(3*2)),4)+2)</f>
        <v>STD</v>
      </c>
      <c r="C280" t="str">
        <f>INDEX(Dim_Region!A:A,MOD(INT((ROW()-2)/2),3)+2)</f>
        <v>QC</v>
      </c>
      <c r="D280" t="str">
        <f>INDEX(Dim_Class!A:A,MOD(ROW()-2,2)+2)</f>
        <v>A</v>
      </c>
      <c r="E280">
        <f>COUNTIFS(Census!B:B,Experience_12m!C280,Census!C:C,Experience_12m!D280)</f>
        <v>62</v>
      </c>
      <c r="F280">
        <f>ROUND(E280*VLOOKUP(B280,assumptions!$A$3:$B$6,2,FALSE),0)</f>
        <v>1</v>
      </c>
      <c r="G280">
        <f>F280*VLOOKUP(B280,assumptions!$A$11:$B$14,2,FALSE)</f>
        <v>1200</v>
      </c>
    </row>
    <row r="281" spans="1:7" x14ac:dyDescent="0.45">
      <c r="A281" t="str">
        <f>INDEX(Dim_Month!A:A, INT((ROW()-2)/(4*3*2))+2)</f>
        <v>2025-12</v>
      </c>
      <c r="B281" t="str">
        <f>INDEX(Dim_Benefit!A:A, MOD(INT((ROW()-2)/(3*2)),4)+2)</f>
        <v>STD</v>
      </c>
      <c r="C281" t="str">
        <f>INDEX(Dim_Region!A:A,MOD(INT((ROW()-2)/2),3)+2)</f>
        <v>QC</v>
      </c>
      <c r="D281" t="str">
        <f>INDEX(Dim_Class!A:A,MOD(ROW()-2,2)+2)</f>
        <v>B</v>
      </c>
      <c r="E281">
        <f>COUNTIFS(Census!B:B,Experience_12m!C281,Census!C:C,Experience_12m!D281)</f>
        <v>31</v>
      </c>
      <c r="F281">
        <f>ROUND(E281*VLOOKUP(B281,assumptions!$A$3:$B$6,2,FALSE),0)</f>
        <v>0</v>
      </c>
      <c r="G281">
        <f>F281*VLOOKUP(B281,assumptions!$A$11:$B$14,2,FALSE)</f>
        <v>0</v>
      </c>
    </row>
    <row r="282" spans="1:7" x14ac:dyDescent="0.45">
      <c r="A282" t="str">
        <f>INDEX(Dim_Month!A:A, INT((ROW()-2)/(4*3*2))+2)</f>
        <v>2025-12</v>
      </c>
      <c r="B282" t="str">
        <f>INDEX(Dim_Benefit!A:A, MOD(INT((ROW()-2)/(3*2)),4)+2)</f>
        <v>STD</v>
      </c>
      <c r="C282" t="str">
        <f>INDEX(Dim_Region!A:A,MOD(INT((ROW()-2)/2),3)+2)</f>
        <v>BC</v>
      </c>
      <c r="D282" t="str">
        <f>INDEX(Dim_Class!A:A,MOD(ROW()-2,2)+2)</f>
        <v>A</v>
      </c>
      <c r="E282">
        <f>COUNTIFS(Census!B:B,Experience_12m!C282,Census!C:C,Experience_12m!D282)</f>
        <v>72</v>
      </c>
      <c r="F282">
        <f>ROUND(E282*VLOOKUP(B282,assumptions!$A$3:$B$6,2,FALSE),0)</f>
        <v>1</v>
      </c>
      <c r="G282">
        <f>F282*VLOOKUP(B282,assumptions!$A$11:$B$14,2,FALSE)</f>
        <v>1200</v>
      </c>
    </row>
    <row r="283" spans="1:7" x14ac:dyDescent="0.45">
      <c r="A283" t="str">
        <f>INDEX(Dim_Month!A:A, INT((ROW()-2)/(4*3*2))+2)</f>
        <v>2025-12</v>
      </c>
      <c r="B283" t="str">
        <f>INDEX(Dim_Benefit!A:A, MOD(INT((ROW()-2)/(3*2)),4)+2)</f>
        <v>STD</v>
      </c>
      <c r="C283" t="str">
        <f>INDEX(Dim_Region!A:A,MOD(INT((ROW()-2)/2),3)+2)</f>
        <v>BC</v>
      </c>
      <c r="D283" t="str">
        <f>INDEX(Dim_Class!A:A,MOD(ROW()-2,2)+2)</f>
        <v>B</v>
      </c>
      <c r="E283">
        <f>COUNTIFS(Census!B:B,Experience_12m!C283,Census!C:C,Experience_12m!D283)</f>
        <v>46</v>
      </c>
      <c r="F283">
        <f>ROUND(E283*VLOOKUP(B283,assumptions!$A$3:$B$6,2,FALSE),0)</f>
        <v>0</v>
      </c>
      <c r="G283">
        <f>F283*VLOOKUP(B283,assumptions!$A$11:$B$14,2,FALSE)</f>
        <v>0</v>
      </c>
    </row>
    <row r="284" spans="1:7" x14ac:dyDescent="0.45">
      <c r="A284" t="str">
        <f>INDEX(Dim_Month!A:A, INT((ROW()-2)/(4*3*2))+2)</f>
        <v>2025-12</v>
      </c>
      <c r="B284" t="str">
        <f>INDEX(Dim_Benefit!A:A, MOD(INT((ROW()-2)/(3*2)),4)+2)</f>
        <v>LTD</v>
      </c>
      <c r="C284" t="str">
        <f>INDEX(Dim_Region!A:A,MOD(INT((ROW()-2)/2),3)+2)</f>
        <v>ON</v>
      </c>
      <c r="D284" t="str">
        <f>INDEX(Dim_Class!A:A,MOD(ROW()-2,2)+2)</f>
        <v>A</v>
      </c>
      <c r="E284">
        <f>COUNTIFS(Census!B:B,Experience_12m!C284,Census!C:C,Experience_12m!D284)</f>
        <v>180</v>
      </c>
      <c r="F284">
        <f>ROUND(E284*VLOOKUP(B284,assumptions!$A$3:$B$6,2,FALSE),0)</f>
        <v>1</v>
      </c>
      <c r="G284">
        <f>F284*VLOOKUP(B284,assumptions!$A$11:$B$14,2,FALSE)</f>
        <v>6000</v>
      </c>
    </row>
    <row r="285" spans="1:7" x14ac:dyDescent="0.45">
      <c r="A285" t="str">
        <f>INDEX(Dim_Month!A:A, INT((ROW()-2)/(4*3*2))+2)</f>
        <v>2025-12</v>
      </c>
      <c r="B285" t="str">
        <f>INDEX(Dim_Benefit!A:A, MOD(INT((ROW()-2)/(3*2)),4)+2)</f>
        <v>LTD</v>
      </c>
      <c r="C285" t="str">
        <f>INDEX(Dim_Region!A:A,MOD(INT((ROW()-2)/2),3)+2)</f>
        <v>ON</v>
      </c>
      <c r="D285" t="str">
        <f>INDEX(Dim_Class!A:A,MOD(ROW()-2,2)+2)</f>
        <v>B</v>
      </c>
      <c r="E285">
        <f>COUNTIFS(Census!B:B,Experience_12m!C285,Census!C:C,Experience_12m!D285)</f>
        <v>109</v>
      </c>
      <c r="F285">
        <f>ROUND(E285*VLOOKUP(B285,assumptions!$A$3:$B$6,2,FALSE),0)</f>
        <v>0</v>
      </c>
      <c r="G285">
        <f>F285*VLOOKUP(B285,assumptions!$A$11:$B$14,2,FALSE)</f>
        <v>0</v>
      </c>
    </row>
    <row r="286" spans="1:7" x14ac:dyDescent="0.45">
      <c r="A286" t="str">
        <f>INDEX(Dim_Month!A:A, INT((ROW()-2)/(4*3*2))+2)</f>
        <v>2025-12</v>
      </c>
      <c r="B286" t="str">
        <f>INDEX(Dim_Benefit!A:A, MOD(INT((ROW()-2)/(3*2)),4)+2)</f>
        <v>LTD</v>
      </c>
      <c r="C286" t="str">
        <f>INDEX(Dim_Region!A:A,MOD(INT((ROW()-2)/2),3)+2)</f>
        <v>QC</v>
      </c>
      <c r="D286" t="str">
        <f>INDEX(Dim_Class!A:A,MOD(ROW()-2,2)+2)</f>
        <v>A</v>
      </c>
      <c r="E286">
        <f>COUNTIFS(Census!B:B,Experience_12m!C286,Census!C:C,Experience_12m!D286)</f>
        <v>62</v>
      </c>
      <c r="F286">
        <f>ROUND(E286*VLOOKUP(B286,assumptions!$A$3:$B$6,2,FALSE),0)</f>
        <v>0</v>
      </c>
      <c r="G286">
        <f>F286*VLOOKUP(B286,assumptions!$A$11:$B$14,2,FALSE)</f>
        <v>0</v>
      </c>
    </row>
    <row r="287" spans="1:7" x14ac:dyDescent="0.45">
      <c r="A287" t="str">
        <f>INDEX(Dim_Month!A:A, INT((ROW()-2)/(4*3*2))+2)</f>
        <v>2025-12</v>
      </c>
      <c r="B287" t="str">
        <f>INDEX(Dim_Benefit!A:A, MOD(INT((ROW()-2)/(3*2)),4)+2)</f>
        <v>LTD</v>
      </c>
      <c r="C287" t="str">
        <f>INDEX(Dim_Region!A:A,MOD(INT((ROW()-2)/2),3)+2)</f>
        <v>QC</v>
      </c>
      <c r="D287" t="str">
        <f>INDEX(Dim_Class!A:A,MOD(ROW()-2,2)+2)</f>
        <v>B</v>
      </c>
      <c r="E287">
        <f>COUNTIFS(Census!B:B,Experience_12m!C287,Census!C:C,Experience_12m!D287)</f>
        <v>31</v>
      </c>
      <c r="F287">
        <f>ROUND(E287*VLOOKUP(B287,assumptions!$A$3:$B$6,2,FALSE),0)</f>
        <v>0</v>
      </c>
      <c r="G287">
        <f>F287*VLOOKUP(B287,assumptions!$A$11:$B$14,2,FALSE)</f>
        <v>0</v>
      </c>
    </row>
    <row r="288" spans="1:7" x14ac:dyDescent="0.45">
      <c r="A288" t="str">
        <f>INDEX(Dim_Month!A:A, INT((ROW()-2)/(4*3*2))+2)</f>
        <v>2025-12</v>
      </c>
      <c r="B288" t="str">
        <f>INDEX(Dim_Benefit!A:A, MOD(INT((ROW()-2)/(3*2)),4)+2)</f>
        <v>LTD</v>
      </c>
      <c r="C288" t="str">
        <f>INDEX(Dim_Region!A:A,MOD(INT((ROW()-2)/2),3)+2)</f>
        <v>BC</v>
      </c>
      <c r="D288" t="str">
        <f>INDEX(Dim_Class!A:A,MOD(ROW()-2,2)+2)</f>
        <v>A</v>
      </c>
      <c r="E288">
        <f>COUNTIFS(Census!B:B,Experience_12m!C288,Census!C:C,Experience_12m!D288)</f>
        <v>72</v>
      </c>
      <c r="F288">
        <f>ROUND(E288*VLOOKUP(B288,assumptions!$A$3:$B$6,2,FALSE),0)</f>
        <v>0</v>
      </c>
      <c r="G288">
        <f>F288*VLOOKUP(B288,assumptions!$A$11:$B$14,2,FALSE)</f>
        <v>0</v>
      </c>
    </row>
    <row r="289" spans="1:7" x14ac:dyDescent="0.45">
      <c r="A289" t="str">
        <f>INDEX(Dim_Month!A:A, INT((ROW()-2)/(4*3*2))+2)</f>
        <v>2025-12</v>
      </c>
      <c r="B289" t="str">
        <f>INDEX(Dim_Benefit!A:A, MOD(INT((ROW()-2)/(3*2)),4)+2)</f>
        <v>LTD</v>
      </c>
      <c r="C289" t="str">
        <f>INDEX(Dim_Region!A:A,MOD(INT((ROW()-2)/2),3)+2)</f>
        <v>BC</v>
      </c>
      <c r="D289" t="str">
        <f>INDEX(Dim_Class!A:A,MOD(ROW()-2,2)+2)</f>
        <v>B</v>
      </c>
      <c r="E289">
        <f>COUNTIFS(Census!B:B,Experience_12m!C289,Census!C:C,Experience_12m!D289)</f>
        <v>46</v>
      </c>
      <c r="F289">
        <f>ROUND(E289*VLOOKUP(B289,assumptions!$A$3:$B$6,2,FALSE),0)</f>
        <v>0</v>
      </c>
      <c r="G289">
        <f>F289*VLOOKUP(B289,assumptions!$A$11:$B$14,2,FALSE)</f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915F-DD66-4D67-B3DD-F60E9564BC9F}">
  <dimension ref="A1:N501"/>
  <sheetViews>
    <sheetView zoomScale="92" workbookViewId="0">
      <selection activeCell="F1" sqref="F1"/>
    </sheetView>
  </sheetViews>
  <sheetFormatPr defaultRowHeight="14.25" x14ac:dyDescent="0.45"/>
  <cols>
    <col min="6" max="6" width="10.46484375" customWidth="1"/>
    <col min="7" max="7" width="11.33203125" customWidth="1"/>
    <col min="10" max="10" width="10.9296875" customWidth="1"/>
    <col min="11" max="11" width="11.06640625" customWidth="1"/>
    <col min="12" max="12" width="10.06640625" customWidth="1"/>
  </cols>
  <sheetData>
    <row r="1" spans="1:14" ht="28.5" x14ac:dyDescent="0.45">
      <c r="A1" s="6" t="s">
        <v>27</v>
      </c>
      <c r="B1" s="6" t="s">
        <v>3</v>
      </c>
      <c r="C1" s="6" t="s">
        <v>7</v>
      </c>
      <c r="D1" s="6" t="s">
        <v>10</v>
      </c>
      <c r="E1" s="6" t="s">
        <v>33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9" t="s">
        <v>69</v>
      </c>
    </row>
    <row r="2" spans="1:14" x14ac:dyDescent="0.45">
      <c r="A2">
        <v>1</v>
      </c>
      <c r="B2" t="s">
        <v>6</v>
      </c>
      <c r="C2" t="s">
        <v>8</v>
      </c>
      <c r="D2" t="s">
        <v>36</v>
      </c>
      <c r="E2">
        <v>118126</v>
      </c>
      <c r="F2">
        <f>VLOOKUP(C2&amp;"|"&amp;B2,rate_tables!$A$3:$B$8,2,FALSE)</f>
        <v>88</v>
      </c>
      <c r="G2">
        <f>VLOOKUP(C2&amp;"|"&amp;B2,rate_tables!$A$12:$B$17,2,FALSE)</f>
        <v>36</v>
      </c>
      <c r="H2">
        <f>VLOOKUP(C2&amp;"|"&amp;D2,rate_tables!$A$21:$B$28,2,FALSE)</f>
        <v>1E-3</v>
      </c>
      <c r="I2">
        <f>VLOOKUP(C2&amp;"|"&amp;D2,rate_tables!$A$32:$B$39,2,FALSE)</f>
        <v>2E-3</v>
      </c>
      <c r="J2">
        <f>F2</f>
        <v>88</v>
      </c>
      <c r="K2">
        <f>G2</f>
        <v>36</v>
      </c>
      <c r="L2">
        <f>H2*E2/12</f>
        <v>9.8438333333333343</v>
      </c>
      <c r="M2">
        <f>I2*E2/12</f>
        <v>19.687666666666669</v>
      </c>
      <c r="N2">
        <f>SUM(J2:M2)</f>
        <v>153.53149999999999</v>
      </c>
    </row>
    <row r="3" spans="1:14" x14ac:dyDescent="0.45">
      <c r="A3">
        <v>2</v>
      </c>
      <c r="B3" t="s">
        <v>5</v>
      </c>
      <c r="C3" t="s">
        <v>9</v>
      </c>
      <c r="D3" t="s">
        <v>36</v>
      </c>
      <c r="E3">
        <v>55747</v>
      </c>
      <c r="F3">
        <f>VLOOKUP(C3&amp;"|"&amp;B3,rate_tables!$A$3:$B$8,2,FALSE)</f>
        <v>100</v>
      </c>
      <c r="G3">
        <f>VLOOKUP(C3&amp;"|"&amp;B3,rate_tables!$A$12:$B$17,2,FALSE)</f>
        <v>42</v>
      </c>
      <c r="H3">
        <f>VLOOKUP(C3&amp;"|"&amp;D3,rate_tables!$A$21:$B$28,2,FALSE)</f>
        <v>1.2999999999999999E-3</v>
      </c>
      <c r="I3">
        <f>VLOOKUP(C3&amp;"|"&amp;D3,rate_tables!$A$32:$B$39,2,FALSE)</f>
        <v>2.5999999999999999E-3</v>
      </c>
      <c r="J3">
        <f t="shared" ref="J3:J66" si="0">F3</f>
        <v>100</v>
      </c>
      <c r="K3">
        <f t="shared" ref="K3:K66" si="1">G3</f>
        <v>42</v>
      </c>
      <c r="L3">
        <f t="shared" ref="L3:L66" si="2">H3*E3/12</f>
        <v>6.0392583333333327</v>
      </c>
      <c r="M3">
        <f t="shared" ref="M3:M66" si="3">I3*E3/12</f>
        <v>12.078516666666665</v>
      </c>
      <c r="N3">
        <f t="shared" ref="N3:N66" si="4">SUM(J3:M3)</f>
        <v>160.11777499999999</v>
      </c>
    </row>
    <row r="4" spans="1:14" x14ac:dyDescent="0.45">
      <c r="A4">
        <v>3</v>
      </c>
      <c r="B4" t="s">
        <v>4</v>
      </c>
      <c r="C4" t="s">
        <v>8</v>
      </c>
      <c r="D4" t="s">
        <v>37</v>
      </c>
      <c r="E4">
        <v>52606</v>
      </c>
      <c r="F4">
        <f>VLOOKUP(C4&amp;"|"&amp;B4,rate_tables!$A$3:$B$8,2,FALSE)</f>
        <v>85</v>
      </c>
      <c r="G4">
        <f>VLOOKUP(C4&amp;"|"&amp;B4,rate_tables!$A$12:$B$17,2,FALSE)</f>
        <v>35</v>
      </c>
      <c r="H4">
        <f>VLOOKUP(C4&amp;"|"&amp;D4,rate_tables!$A$21:$B$28,2,FALSE)</f>
        <v>1.4E-3</v>
      </c>
      <c r="I4">
        <f>VLOOKUP(C4&amp;"|"&amp;D4,rate_tables!$A$32:$B$39,2,FALSE)</f>
        <v>3.0000000000000001E-3</v>
      </c>
      <c r="J4">
        <f t="shared" si="0"/>
        <v>85</v>
      </c>
      <c r="K4">
        <f t="shared" si="1"/>
        <v>35</v>
      </c>
      <c r="L4">
        <f t="shared" si="2"/>
        <v>6.137366666666666</v>
      </c>
      <c r="M4">
        <f t="shared" si="3"/>
        <v>13.1515</v>
      </c>
      <c r="N4">
        <f t="shared" si="4"/>
        <v>139.28886666666668</v>
      </c>
    </row>
    <row r="5" spans="1:14" x14ac:dyDescent="0.45">
      <c r="A5">
        <v>4</v>
      </c>
      <c r="B5" t="s">
        <v>4</v>
      </c>
      <c r="C5" t="s">
        <v>8</v>
      </c>
      <c r="D5" t="s">
        <v>35</v>
      </c>
      <c r="E5">
        <v>86427</v>
      </c>
      <c r="F5">
        <f>VLOOKUP(C5&amp;"|"&amp;B5,rate_tables!$A$3:$B$8,2,FALSE)</f>
        <v>85</v>
      </c>
      <c r="G5">
        <f>VLOOKUP(C5&amp;"|"&amp;B5,rate_tables!$A$12:$B$17,2,FALSE)</f>
        <v>35</v>
      </c>
      <c r="H5">
        <f>VLOOKUP(C5&amp;"|"&amp;D5,rate_tables!$A$21:$B$28,2,FALSE)</f>
        <v>8.0000000000000004E-4</v>
      </c>
      <c r="I5">
        <f>VLOOKUP(C5&amp;"|"&amp;D5,rate_tables!$A$32:$B$39,2,FALSE)</f>
        <v>1.6000000000000001E-3</v>
      </c>
      <c r="J5">
        <f t="shared" si="0"/>
        <v>85</v>
      </c>
      <c r="K5">
        <f t="shared" si="1"/>
        <v>35</v>
      </c>
      <c r="L5">
        <f t="shared" si="2"/>
        <v>5.7618</v>
      </c>
      <c r="M5">
        <f t="shared" si="3"/>
        <v>11.5236</v>
      </c>
      <c r="N5">
        <f t="shared" si="4"/>
        <v>137.28539999999998</v>
      </c>
    </row>
    <row r="6" spans="1:14" x14ac:dyDescent="0.45">
      <c r="A6">
        <v>5</v>
      </c>
      <c r="B6" t="s">
        <v>4</v>
      </c>
      <c r="C6" t="s">
        <v>9</v>
      </c>
      <c r="D6" t="s">
        <v>37</v>
      </c>
      <c r="E6">
        <v>55232</v>
      </c>
      <c r="F6">
        <f>VLOOKUP(C6&amp;"|"&amp;B6,rate_tables!$A$3:$B$8,2,FALSE)</f>
        <v>95</v>
      </c>
      <c r="G6">
        <f>VLOOKUP(C6&amp;"|"&amp;B6,rate_tables!$A$12:$B$17,2,FALSE)</f>
        <v>40</v>
      </c>
      <c r="H6">
        <f>VLOOKUP(C6&amp;"|"&amp;D6,rate_tables!$A$21:$B$28,2,FALSE)</f>
        <v>1.8E-3</v>
      </c>
      <c r="I6">
        <f>VLOOKUP(C6&amp;"|"&amp;D6,rate_tables!$A$32:$B$39,2,FALSE)</f>
        <v>3.8E-3</v>
      </c>
      <c r="J6">
        <f t="shared" si="0"/>
        <v>95</v>
      </c>
      <c r="K6">
        <f t="shared" si="1"/>
        <v>40</v>
      </c>
      <c r="L6">
        <f t="shared" si="2"/>
        <v>8.2847999999999988</v>
      </c>
      <c r="M6">
        <f t="shared" si="3"/>
        <v>17.490133333333333</v>
      </c>
      <c r="N6">
        <f t="shared" si="4"/>
        <v>160.77493333333331</v>
      </c>
    </row>
    <row r="7" spans="1:14" x14ac:dyDescent="0.45">
      <c r="A7">
        <v>6</v>
      </c>
      <c r="B7" t="s">
        <v>6</v>
      </c>
      <c r="C7" t="s">
        <v>8</v>
      </c>
      <c r="D7" t="s">
        <v>38</v>
      </c>
      <c r="E7">
        <v>102198</v>
      </c>
      <c r="F7">
        <f>VLOOKUP(C7&amp;"|"&amp;B7,rate_tables!$A$3:$B$8,2,FALSE)</f>
        <v>88</v>
      </c>
      <c r="G7">
        <f>VLOOKUP(C7&amp;"|"&amp;B7,rate_tables!$A$12:$B$17,2,FALSE)</f>
        <v>36</v>
      </c>
      <c r="H7">
        <f>VLOOKUP(C7&amp;"|"&amp;D7,rate_tables!$A$21:$B$28,2,FALSE)</f>
        <v>2E-3</v>
      </c>
      <c r="I7">
        <f>VLOOKUP(C7&amp;"|"&amp;D7,rate_tables!$A$32:$B$39,2,FALSE)</f>
        <v>4.4000000000000003E-3</v>
      </c>
      <c r="J7">
        <f t="shared" si="0"/>
        <v>88</v>
      </c>
      <c r="K7">
        <f t="shared" si="1"/>
        <v>36</v>
      </c>
      <c r="L7">
        <f t="shared" si="2"/>
        <v>17.033000000000001</v>
      </c>
      <c r="M7">
        <f t="shared" si="3"/>
        <v>37.4726</v>
      </c>
      <c r="N7">
        <f t="shared" si="4"/>
        <v>178.50560000000002</v>
      </c>
    </row>
    <row r="8" spans="1:14" x14ac:dyDescent="0.45">
      <c r="A8">
        <v>7</v>
      </c>
      <c r="B8" t="s">
        <v>6</v>
      </c>
      <c r="C8" t="s">
        <v>8</v>
      </c>
      <c r="D8" t="s">
        <v>38</v>
      </c>
      <c r="E8">
        <v>113160</v>
      </c>
      <c r="F8">
        <f>VLOOKUP(C8&amp;"|"&amp;B8,rate_tables!$A$3:$B$8,2,FALSE)</f>
        <v>88</v>
      </c>
      <c r="G8">
        <f>VLOOKUP(C8&amp;"|"&amp;B8,rate_tables!$A$12:$B$17,2,FALSE)</f>
        <v>36</v>
      </c>
      <c r="H8">
        <f>VLOOKUP(C8&amp;"|"&amp;D8,rate_tables!$A$21:$B$28,2,FALSE)</f>
        <v>2E-3</v>
      </c>
      <c r="I8">
        <f>VLOOKUP(C8&amp;"|"&amp;D8,rate_tables!$A$32:$B$39,2,FALSE)</f>
        <v>4.4000000000000003E-3</v>
      </c>
      <c r="J8">
        <f t="shared" si="0"/>
        <v>88</v>
      </c>
      <c r="K8">
        <f t="shared" si="1"/>
        <v>36</v>
      </c>
      <c r="L8">
        <f t="shared" si="2"/>
        <v>18.86</v>
      </c>
      <c r="M8">
        <f t="shared" si="3"/>
        <v>41.492000000000004</v>
      </c>
      <c r="N8">
        <f t="shared" si="4"/>
        <v>184.35200000000003</v>
      </c>
    </row>
    <row r="9" spans="1:14" x14ac:dyDescent="0.45">
      <c r="A9">
        <v>8</v>
      </c>
      <c r="B9" t="s">
        <v>4</v>
      </c>
      <c r="C9" t="s">
        <v>8</v>
      </c>
      <c r="D9" t="s">
        <v>37</v>
      </c>
      <c r="E9">
        <v>88114</v>
      </c>
      <c r="F9">
        <f>VLOOKUP(C9&amp;"|"&amp;B9,rate_tables!$A$3:$B$8,2,FALSE)</f>
        <v>85</v>
      </c>
      <c r="G9">
        <f>VLOOKUP(C9&amp;"|"&amp;B9,rate_tables!$A$12:$B$17,2,FALSE)</f>
        <v>35</v>
      </c>
      <c r="H9">
        <f>VLOOKUP(C9&amp;"|"&amp;D9,rate_tables!$A$21:$B$28,2,FALSE)</f>
        <v>1.4E-3</v>
      </c>
      <c r="I9">
        <f>VLOOKUP(C9&amp;"|"&amp;D9,rate_tables!$A$32:$B$39,2,FALSE)</f>
        <v>3.0000000000000001E-3</v>
      </c>
      <c r="J9">
        <f t="shared" si="0"/>
        <v>85</v>
      </c>
      <c r="K9">
        <f t="shared" si="1"/>
        <v>35</v>
      </c>
      <c r="L9">
        <f t="shared" si="2"/>
        <v>10.279966666666667</v>
      </c>
      <c r="M9">
        <f t="shared" si="3"/>
        <v>22.028499999999998</v>
      </c>
      <c r="N9">
        <f t="shared" si="4"/>
        <v>152.30846666666667</v>
      </c>
    </row>
    <row r="10" spans="1:14" x14ac:dyDescent="0.45">
      <c r="A10">
        <v>9</v>
      </c>
      <c r="B10" t="s">
        <v>4</v>
      </c>
      <c r="C10" t="s">
        <v>8</v>
      </c>
      <c r="D10" t="s">
        <v>38</v>
      </c>
      <c r="E10">
        <v>118087</v>
      </c>
      <c r="F10">
        <f>VLOOKUP(C10&amp;"|"&amp;B10,rate_tables!$A$3:$B$8,2,FALSE)</f>
        <v>85</v>
      </c>
      <c r="G10">
        <f>VLOOKUP(C10&amp;"|"&amp;B10,rate_tables!$A$12:$B$17,2,FALSE)</f>
        <v>35</v>
      </c>
      <c r="H10">
        <f>VLOOKUP(C10&amp;"|"&amp;D10,rate_tables!$A$21:$B$28,2,FALSE)</f>
        <v>2E-3</v>
      </c>
      <c r="I10">
        <f>VLOOKUP(C10&amp;"|"&amp;D10,rate_tables!$A$32:$B$39,2,FALSE)</f>
        <v>4.4000000000000003E-3</v>
      </c>
      <c r="J10">
        <f t="shared" si="0"/>
        <v>85</v>
      </c>
      <c r="K10">
        <f t="shared" si="1"/>
        <v>35</v>
      </c>
      <c r="L10">
        <f t="shared" si="2"/>
        <v>19.681166666666666</v>
      </c>
      <c r="M10">
        <f t="shared" si="3"/>
        <v>43.298566666666666</v>
      </c>
      <c r="N10">
        <f t="shared" si="4"/>
        <v>182.97973333333331</v>
      </c>
    </row>
    <row r="11" spans="1:14" x14ac:dyDescent="0.45">
      <c r="A11">
        <v>10</v>
      </c>
      <c r="B11" t="s">
        <v>4</v>
      </c>
      <c r="C11" t="s">
        <v>9</v>
      </c>
      <c r="D11" t="s">
        <v>36</v>
      </c>
      <c r="E11">
        <v>67714</v>
      </c>
      <c r="F11">
        <f>VLOOKUP(C11&amp;"|"&amp;B11,rate_tables!$A$3:$B$8,2,FALSE)</f>
        <v>95</v>
      </c>
      <c r="G11">
        <f>VLOOKUP(C11&amp;"|"&amp;B11,rate_tables!$A$12:$B$17,2,FALSE)</f>
        <v>40</v>
      </c>
      <c r="H11">
        <f>VLOOKUP(C11&amp;"|"&amp;D11,rate_tables!$A$21:$B$28,2,FALSE)</f>
        <v>1.2999999999999999E-3</v>
      </c>
      <c r="I11">
        <f>VLOOKUP(C11&amp;"|"&amp;D11,rate_tables!$A$32:$B$39,2,FALSE)</f>
        <v>2.5999999999999999E-3</v>
      </c>
      <c r="J11">
        <f t="shared" si="0"/>
        <v>95</v>
      </c>
      <c r="K11">
        <f t="shared" si="1"/>
        <v>40</v>
      </c>
      <c r="L11">
        <f t="shared" si="2"/>
        <v>7.3356833333333329</v>
      </c>
      <c r="M11">
        <f t="shared" si="3"/>
        <v>14.671366666666666</v>
      </c>
      <c r="N11">
        <f t="shared" si="4"/>
        <v>157.00704999999999</v>
      </c>
    </row>
    <row r="12" spans="1:14" x14ac:dyDescent="0.45">
      <c r="A12">
        <v>11</v>
      </c>
      <c r="B12" t="s">
        <v>4</v>
      </c>
      <c r="C12" t="s">
        <v>8</v>
      </c>
      <c r="D12" t="s">
        <v>35</v>
      </c>
      <c r="E12">
        <v>71709</v>
      </c>
      <c r="F12">
        <f>VLOOKUP(C12&amp;"|"&amp;B12,rate_tables!$A$3:$B$8,2,FALSE)</f>
        <v>85</v>
      </c>
      <c r="G12">
        <f>VLOOKUP(C12&amp;"|"&amp;B12,rate_tables!$A$12:$B$17,2,FALSE)</f>
        <v>35</v>
      </c>
      <c r="H12">
        <f>VLOOKUP(C12&amp;"|"&amp;D12,rate_tables!$A$21:$B$28,2,FALSE)</f>
        <v>8.0000000000000004E-4</v>
      </c>
      <c r="I12">
        <f>VLOOKUP(C12&amp;"|"&amp;D12,rate_tables!$A$32:$B$39,2,FALSE)</f>
        <v>1.6000000000000001E-3</v>
      </c>
      <c r="J12">
        <f t="shared" si="0"/>
        <v>85</v>
      </c>
      <c r="K12">
        <f t="shared" si="1"/>
        <v>35</v>
      </c>
      <c r="L12">
        <f t="shared" si="2"/>
        <v>4.7806000000000006</v>
      </c>
      <c r="M12">
        <f t="shared" si="3"/>
        <v>9.5612000000000013</v>
      </c>
      <c r="N12">
        <f t="shared" si="4"/>
        <v>134.34180000000001</v>
      </c>
    </row>
    <row r="13" spans="1:14" x14ac:dyDescent="0.45">
      <c r="A13">
        <v>12</v>
      </c>
      <c r="B13" t="s">
        <v>4</v>
      </c>
      <c r="C13" t="s">
        <v>9</v>
      </c>
      <c r="D13" t="s">
        <v>37</v>
      </c>
      <c r="E13">
        <v>71212</v>
      </c>
      <c r="F13">
        <f>VLOOKUP(C13&amp;"|"&amp;B13,rate_tables!$A$3:$B$8,2,FALSE)</f>
        <v>95</v>
      </c>
      <c r="G13">
        <f>VLOOKUP(C13&amp;"|"&amp;B13,rate_tables!$A$12:$B$17,2,FALSE)</f>
        <v>40</v>
      </c>
      <c r="H13">
        <f>VLOOKUP(C13&amp;"|"&amp;D13,rate_tables!$A$21:$B$28,2,FALSE)</f>
        <v>1.8E-3</v>
      </c>
      <c r="I13">
        <f>VLOOKUP(C13&amp;"|"&amp;D13,rate_tables!$A$32:$B$39,2,FALSE)</f>
        <v>3.8E-3</v>
      </c>
      <c r="J13">
        <f t="shared" si="0"/>
        <v>95</v>
      </c>
      <c r="K13">
        <f t="shared" si="1"/>
        <v>40</v>
      </c>
      <c r="L13">
        <f t="shared" si="2"/>
        <v>10.681800000000001</v>
      </c>
      <c r="M13">
        <f t="shared" si="3"/>
        <v>22.550466666666665</v>
      </c>
      <c r="N13">
        <f t="shared" si="4"/>
        <v>168.23226666666667</v>
      </c>
    </row>
    <row r="14" spans="1:14" x14ac:dyDescent="0.45">
      <c r="A14">
        <v>13</v>
      </c>
      <c r="B14" t="s">
        <v>4</v>
      </c>
      <c r="C14" t="s">
        <v>8</v>
      </c>
      <c r="D14" t="s">
        <v>36</v>
      </c>
      <c r="E14">
        <v>104305</v>
      </c>
      <c r="F14">
        <f>VLOOKUP(C14&amp;"|"&amp;B14,rate_tables!$A$3:$B$8,2,FALSE)</f>
        <v>85</v>
      </c>
      <c r="G14">
        <f>VLOOKUP(C14&amp;"|"&amp;B14,rate_tables!$A$12:$B$17,2,FALSE)</f>
        <v>35</v>
      </c>
      <c r="H14">
        <f>VLOOKUP(C14&amp;"|"&amp;D14,rate_tables!$A$21:$B$28,2,FALSE)</f>
        <v>1E-3</v>
      </c>
      <c r="I14">
        <f>VLOOKUP(C14&amp;"|"&amp;D14,rate_tables!$A$32:$B$39,2,FALSE)</f>
        <v>2E-3</v>
      </c>
      <c r="J14">
        <f t="shared" si="0"/>
        <v>85</v>
      </c>
      <c r="K14">
        <f t="shared" si="1"/>
        <v>35</v>
      </c>
      <c r="L14">
        <f t="shared" si="2"/>
        <v>8.6920833333333345</v>
      </c>
      <c r="M14">
        <f t="shared" si="3"/>
        <v>17.384166666666669</v>
      </c>
      <c r="N14">
        <f t="shared" si="4"/>
        <v>146.07624999999999</v>
      </c>
    </row>
    <row r="15" spans="1:14" x14ac:dyDescent="0.45">
      <c r="A15">
        <v>14</v>
      </c>
      <c r="B15" t="s">
        <v>4</v>
      </c>
      <c r="C15" t="s">
        <v>8</v>
      </c>
      <c r="D15" t="s">
        <v>36</v>
      </c>
      <c r="E15">
        <v>55240</v>
      </c>
      <c r="F15">
        <f>VLOOKUP(C15&amp;"|"&amp;B15,rate_tables!$A$3:$B$8,2,FALSE)</f>
        <v>85</v>
      </c>
      <c r="G15">
        <f>VLOOKUP(C15&amp;"|"&amp;B15,rate_tables!$A$12:$B$17,2,FALSE)</f>
        <v>35</v>
      </c>
      <c r="H15">
        <f>VLOOKUP(C15&amp;"|"&amp;D15,rate_tables!$A$21:$B$28,2,FALSE)</f>
        <v>1E-3</v>
      </c>
      <c r="I15">
        <f>VLOOKUP(C15&amp;"|"&amp;D15,rate_tables!$A$32:$B$39,2,FALSE)</f>
        <v>2E-3</v>
      </c>
      <c r="J15">
        <f t="shared" si="0"/>
        <v>85</v>
      </c>
      <c r="K15">
        <f t="shared" si="1"/>
        <v>35</v>
      </c>
      <c r="L15">
        <f t="shared" si="2"/>
        <v>4.6033333333333335</v>
      </c>
      <c r="M15">
        <f t="shared" si="3"/>
        <v>9.206666666666667</v>
      </c>
      <c r="N15">
        <f t="shared" si="4"/>
        <v>133.81</v>
      </c>
    </row>
    <row r="16" spans="1:14" x14ac:dyDescent="0.45">
      <c r="A16">
        <v>15</v>
      </c>
      <c r="B16" t="s">
        <v>4</v>
      </c>
      <c r="C16" t="s">
        <v>8</v>
      </c>
      <c r="D16" t="s">
        <v>35</v>
      </c>
      <c r="E16">
        <v>88755</v>
      </c>
      <c r="F16">
        <f>VLOOKUP(C16&amp;"|"&amp;B16,rate_tables!$A$3:$B$8,2,FALSE)</f>
        <v>85</v>
      </c>
      <c r="G16">
        <f>VLOOKUP(C16&amp;"|"&amp;B16,rate_tables!$A$12:$B$17,2,FALSE)</f>
        <v>35</v>
      </c>
      <c r="H16">
        <f>VLOOKUP(C16&amp;"|"&amp;D16,rate_tables!$A$21:$B$28,2,FALSE)</f>
        <v>8.0000000000000004E-4</v>
      </c>
      <c r="I16">
        <f>VLOOKUP(C16&amp;"|"&amp;D16,rate_tables!$A$32:$B$39,2,FALSE)</f>
        <v>1.6000000000000001E-3</v>
      </c>
      <c r="J16">
        <f t="shared" si="0"/>
        <v>85</v>
      </c>
      <c r="K16">
        <f t="shared" si="1"/>
        <v>35</v>
      </c>
      <c r="L16">
        <f t="shared" si="2"/>
        <v>5.9170000000000007</v>
      </c>
      <c r="M16">
        <f t="shared" si="3"/>
        <v>11.834000000000001</v>
      </c>
      <c r="N16">
        <f t="shared" si="4"/>
        <v>137.751</v>
      </c>
    </row>
    <row r="17" spans="1:14" x14ac:dyDescent="0.45">
      <c r="A17">
        <v>16</v>
      </c>
      <c r="B17" t="s">
        <v>6</v>
      </c>
      <c r="C17" t="s">
        <v>8</v>
      </c>
      <c r="D17" t="s">
        <v>37</v>
      </c>
      <c r="E17">
        <v>50714</v>
      </c>
      <c r="F17">
        <f>VLOOKUP(C17&amp;"|"&amp;B17,rate_tables!$A$3:$B$8,2,FALSE)</f>
        <v>88</v>
      </c>
      <c r="G17">
        <f>VLOOKUP(C17&amp;"|"&amp;B17,rate_tables!$A$12:$B$17,2,FALSE)</f>
        <v>36</v>
      </c>
      <c r="H17">
        <f>VLOOKUP(C17&amp;"|"&amp;D17,rate_tables!$A$21:$B$28,2,FALSE)</f>
        <v>1.4E-3</v>
      </c>
      <c r="I17">
        <f>VLOOKUP(C17&amp;"|"&amp;D17,rate_tables!$A$32:$B$39,2,FALSE)</f>
        <v>3.0000000000000001E-3</v>
      </c>
      <c r="J17">
        <f t="shared" si="0"/>
        <v>88</v>
      </c>
      <c r="K17">
        <f t="shared" si="1"/>
        <v>36</v>
      </c>
      <c r="L17">
        <f t="shared" si="2"/>
        <v>5.9166333333333334</v>
      </c>
      <c r="M17">
        <f t="shared" si="3"/>
        <v>12.6785</v>
      </c>
      <c r="N17">
        <f t="shared" si="4"/>
        <v>142.59513333333331</v>
      </c>
    </row>
    <row r="18" spans="1:14" x14ac:dyDescent="0.45">
      <c r="A18">
        <v>17</v>
      </c>
      <c r="B18" t="s">
        <v>5</v>
      </c>
      <c r="C18" t="s">
        <v>8</v>
      </c>
      <c r="D18" t="s">
        <v>35</v>
      </c>
      <c r="E18">
        <v>73792</v>
      </c>
      <c r="F18">
        <f>VLOOKUP(C18&amp;"|"&amp;B18,rate_tables!$A$3:$B$8,2,FALSE)</f>
        <v>90</v>
      </c>
      <c r="G18">
        <f>VLOOKUP(C18&amp;"|"&amp;B18,rate_tables!$A$12:$B$17,2,FALSE)</f>
        <v>37</v>
      </c>
      <c r="H18">
        <f>VLOOKUP(C18&amp;"|"&amp;D18,rate_tables!$A$21:$B$28,2,FALSE)</f>
        <v>8.0000000000000004E-4</v>
      </c>
      <c r="I18">
        <f>VLOOKUP(C18&amp;"|"&amp;D18,rate_tables!$A$32:$B$39,2,FALSE)</f>
        <v>1.6000000000000001E-3</v>
      </c>
      <c r="J18">
        <f t="shared" si="0"/>
        <v>90</v>
      </c>
      <c r="K18">
        <f t="shared" si="1"/>
        <v>37</v>
      </c>
      <c r="L18">
        <f t="shared" si="2"/>
        <v>4.9194666666666667</v>
      </c>
      <c r="M18">
        <f t="shared" si="3"/>
        <v>9.8389333333333333</v>
      </c>
      <c r="N18">
        <f t="shared" si="4"/>
        <v>141.75839999999999</v>
      </c>
    </row>
    <row r="19" spans="1:14" x14ac:dyDescent="0.45">
      <c r="A19">
        <v>18</v>
      </c>
      <c r="B19" t="s">
        <v>4</v>
      </c>
      <c r="C19" t="s">
        <v>9</v>
      </c>
      <c r="D19" t="s">
        <v>36</v>
      </c>
      <c r="E19">
        <v>54154</v>
      </c>
      <c r="F19">
        <f>VLOOKUP(C19&amp;"|"&amp;B19,rate_tables!$A$3:$B$8,2,FALSE)</f>
        <v>95</v>
      </c>
      <c r="G19">
        <f>VLOOKUP(C19&amp;"|"&amp;B19,rate_tables!$A$12:$B$17,2,FALSE)</f>
        <v>40</v>
      </c>
      <c r="H19">
        <f>VLOOKUP(C19&amp;"|"&amp;D19,rate_tables!$A$21:$B$28,2,FALSE)</f>
        <v>1.2999999999999999E-3</v>
      </c>
      <c r="I19">
        <f>VLOOKUP(C19&amp;"|"&amp;D19,rate_tables!$A$32:$B$39,2,FALSE)</f>
        <v>2.5999999999999999E-3</v>
      </c>
      <c r="J19">
        <f t="shared" si="0"/>
        <v>95</v>
      </c>
      <c r="K19">
        <f t="shared" si="1"/>
        <v>40</v>
      </c>
      <c r="L19">
        <f t="shared" si="2"/>
        <v>5.8666833333333335</v>
      </c>
      <c r="M19">
        <f t="shared" si="3"/>
        <v>11.733366666666667</v>
      </c>
      <c r="N19">
        <f t="shared" si="4"/>
        <v>152.60004999999998</v>
      </c>
    </row>
    <row r="20" spans="1:14" x14ac:dyDescent="0.45">
      <c r="A20">
        <v>19</v>
      </c>
      <c r="B20" t="s">
        <v>5</v>
      </c>
      <c r="C20" t="s">
        <v>9</v>
      </c>
      <c r="D20" t="s">
        <v>36</v>
      </c>
      <c r="E20">
        <v>62286</v>
      </c>
      <c r="F20">
        <f>VLOOKUP(C20&amp;"|"&amp;B20,rate_tables!$A$3:$B$8,2,FALSE)</f>
        <v>100</v>
      </c>
      <c r="G20">
        <f>VLOOKUP(C20&amp;"|"&amp;B20,rate_tables!$A$12:$B$17,2,FALSE)</f>
        <v>42</v>
      </c>
      <c r="H20">
        <f>VLOOKUP(C20&amp;"|"&amp;D20,rate_tables!$A$21:$B$28,2,FALSE)</f>
        <v>1.2999999999999999E-3</v>
      </c>
      <c r="I20">
        <f>VLOOKUP(C20&amp;"|"&amp;D20,rate_tables!$A$32:$B$39,2,FALSE)</f>
        <v>2.5999999999999999E-3</v>
      </c>
      <c r="J20">
        <f t="shared" si="0"/>
        <v>100</v>
      </c>
      <c r="K20">
        <f t="shared" si="1"/>
        <v>42</v>
      </c>
      <c r="L20">
        <f t="shared" si="2"/>
        <v>6.7476500000000001</v>
      </c>
      <c r="M20">
        <f t="shared" si="3"/>
        <v>13.4953</v>
      </c>
      <c r="N20">
        <f t="shared" si="4"/>
        <v>162.24295000000001</v>
      </c>
    </row>
    <row r="21" spans="1:14" x14ac:dyDescent="0.45">
      <c r="A21">
        <v>20</v>
      </c>
      <c r="B21" t="s">
        <v>4</v>
      </c>
      <c r="C21" t="s">
        <v>8</v>
      </c>
      <c r="D21" t="s">
        <v>36</v>
      </c>
      <c r="E21">
        <v>85851</v>
      </c>
      <c r="F21">
        <f>VLOOKUP(C21&amp;"|"&amp;B21,rate_tables!$A$3:$B$8,2,FALSE)</f>
        <v>85</v>
      </c>
      <c r="G21">
        <f>VLOOKUP(C21&amp;"|"&amp;B21,rate_tables!$A$12:$B$17,2,FALSE)</f>
        <v>35</v>
      </c>
      <c r="H21">
        <f>VLOOKUP(C21&amp;"|"&amp;D21,rate_tables!$A$21:$B$28,2,FALSE)</f>
        <v>1E-3</v>
      </c>
      <c r="I21">
        <f>VLOOKUP(C21&amp;"|"&amp;D21,rate_tables!$A$32:$B$39,2,FALSE)</f>
        <v>2E-3</v>
      </c>
      <c r="J21">
        <f t="shared" si="0"/>
        <v>85</v>
      </c>
      <c r="K21">
        <f t="shared" si="1"/>
        <v>35</v>
      </c>
      <c r="L21">
        <f t="shared" si="2"/>
        <v>7.1542500000000002</v>
      </c>
      <c r="M21">
        <f t="shared" si="3"/>
        <v>14.3085</v>
      </c>
      <c r="N21">
        <f t="shared" si="4"/>
        <v>141.46275</v>
      </c>
    </row>
    <row r="22" spans="1:14" x14ac:dyDescent="0.45">
      <c r="A22">
        <v>21</v>
      </c>
      <c r="B22" t="s">
        <v>4</v>
      </c>
      <c r="C22" t="s">
        <v>8</v>
      </c>
      <c r="D22" t="s">
        <v>36</v>
      </c>
      <c r="E22">
        <v>91257</v>
      </c>
      <c r="F22">
        <f>VLOOKUP(C22&amp;"|"&amp;B22,rate_tables!$A$3:$B$8,2,FALSE)</f>
        <v>85</v>
      </c>
      <c r="G22">
        <f>VLOOKUP(C22&amp;"|"&amp;B22,rate_tables!$A$12:$B$17,2,FALSE)</f>
        <v>35</v>
      </c>
      <c r="H22">
        <f>VLOOKUP(C22&amp;"|"&amp;D22,rate_tables!$A$21:$B$28,2,FALSE)</f>
        <v>1E-3</v>
      </c>
      <c r="I22">
        <f>VLOOKUP(C22&amp;"|"&amp;D22,rate_tables!$A$32:$B$39,2,FALSE)</f>
        <v>2E-3</v>
      </c>
      <c r="J22">
        <f t="shared" si="0"/>
        <v>85</v>
      </c>
      <c r="K22">
        <f t="shared" si="1"/>
        <v>35</v>
      </c>
      <c r="L22">
        <f t="shared" si="2"/>
        <v>7.6047500000000001</v>
      </c>
      <c r="M22">
        <f t="shared" si="3"/>
        <v>15.2095</v>
      </c>
      <c r="N22">
        <f t="shared" si="4"/>
        <v>142.81424999999999</v>
      </c>
    </row>
    <row r="23" spans="1:14" x14ac:dyDescent="0.45">
      <c r="A23">
        <v>22</v>
      </c>
      <c r="B23" t="s">
        <v>6</v>
      </c>
      <c r="C23" t="s">
        <v>9</v>
      </c>
      <c r="D23" t="s">
        <v>37</v>
      </c>
      <c r="E23">
        <v>47976</v>
      </c>
      <c r="F23">
        <f>VLOOKUP(C23&amp;"|"&amp;B23,rate_tables!$A$3:$B$8,2,FALSE)</f>
        <v>98</v>
      </c>
      <c r="G23">
        <f>VLOOKUP(C23&amp;"|"&amp;B23,rate_tables!$A$12:$B$17,2,FALSE)</f>
        <v>41</v>
      </c>
      <c r="H23">
        <f>VLOOKUP(C23&amp;"|"&amp;D23,rate_tables!$A$21:$B$28,2,FALSE)</f>
        <v>1.8E-3</v>
      </c>
      <c r="I23">
        <f>VLOOKUP(C23&amp;"|"&amp;D23,rate_tables!$A$32:$B$39,2,FALSE)</f>
        <v>3.8E-3</v>
      </c>
      <c r="J23">
        <f t="shared" si="0"/>
        <v>98</v>
      </c>
      <c r="K23">
        <f t="shared" si="1"/>
        <v>41</v>
      </c>
      <c r="L23">
        <f t="shared" si="2"/>
        <v>7.1963999999999997</v>
      </c>
      <c r="M23">
        <f t="shared" si="3"/>
        <v>15.192399999999999</v>
      </c>
      <c r="N23">
        <f t="shared" si="4"/>
        <v>161.3888</v>
      </c>
    </row>
    <row r="24" spans="1:14" x14ac:dyDescent="0.45">
      <c r="A24">
        <v>23</v>
      </c>
      <c r="B24" t="s">
        <v>6</v>
      </c>
      <c r="C24" t="s">
        <v>9</v>
      </c>
      <c r="D24" t="s">
        <v>36</v>
      </c>
      <c r="E24">
        <v>71590</v>
      </c>
      <c r="F24">
        <f>VLOOKUP(C24&amp;"|"&amp;B24,rate_tables!$A$3:$B$8,2,FALSE)</f>
        <v>98</v>
      </c>
      <c r="G24">
        <f>VLOOKUP(C24&amp;"|"&amp;B24,rate_tables!$A$12:$B$17,2,FALSE)</f>
        <v>41</v>
      </c>
      <c r="H24">
        <f>VLOOKUP(C24&amp;"|"&amp;D24,rate_tables!$A$21:$B$28,2,FALSE)</f>
        <v>1.2999999999999999E-3</v>
      </c>
      <c r="I24">
        <f>VLOOKUP(C24&amp;"|"&amp;D24,rate_tables!$A$32:$B$39,2,FALSE)</f>
        <v>2.5999999999999999E-3</v>
      </c>
      <c r="J24">
        <f t="shared" si="0"/>
        <v>98</v>
      </c>
      <c r="K24">
        <f t="shared" si="1"/>
        <v>41</v>
      </c>
      <c r="L24">
        <f t="shared" si="2"/>
        <v>7.7555833333333331</v>
      </c>
      <c r="M24">
        <f t="shared" si="3"/>
        <v>15.511166666666666</v>
      </c>
      <c r="N24">
        <f t="shared" si="4"/>
        <v>162.26675</v>
      </c>
    </row>
    <row r="25" spans="1:14" x14ac:dyDescent="0.45">
      <c r="A25">
        <v>24</v>
      </c>
      <c r="B25" t="s">
        <v>4</v>
      </c>
      <c r="C25" t="s">
        <v>9</v>
      </c>
      <c r="D25" t="s">
        <v>36</v>
      </c>
      <c r="E25">
        <v>45086</v>
      </c>
      <c r="F25">
        <f>VLOOKUP(C25&amp;"|"&amp;B25,rate_tables!$A$3:$B$8,2,FALSE)</f>
        <v>95</v>
      </c>
      <c r="G25">
        <f>VLOOKUP(C25&amp;"|"&amp;B25,rate_tables!$A$12:$B$17,2,FALSE)</f>
        <v>40</v>
      </c>
      <c r="H25">
        <f>VLOOKUP(C25&amp;"|"&amp;D25,rate_tables!$A$21:$B$28,2,FALSE)</f>
        <v>1.2999999999999999E-3</v>
      </c>
      <c r="I25">
        <f>VLOOKUP(C25&amp;"|"&amp;D25,rate_tables!$A$32:$B$39,2,FALSE)</f>
        <v>2.5999999999999999E-3</v>
      </c>
      <c r="J25">
        <f t="shared" si="0"/>
        <v>95</v>
      </c>
      <c r="K25">
        <f t="shared" si="1"/>
        <v>40</v>
      </c>
      <c r="L25">
        <f t="shared" si="2"/>
        <v>4.884316666666666</v>
      </c>
      <c r="M25">
        <f t="shared" si="3"/>
        <v>9.7686333333333319</v>
      </c>
      <c r="N25">
        <f t="shared" si="4"/>
        <v>149.65295</v>
      </c>
    </row>
    <row r="26" spans="1:14" x14ac:dyDescent="0.45">
      <c r="A26">
        <v>25</v>
      </c>
      <c r="B26" t="s">
        <v>4</v>
      </c>
      <c r="C26" t="s">
        <v>8</v>
      </c>
      <c r="D26" t="s">
        <v>36</v>
      </c>
      <c r="E26">
        <v>62617</v>
      </c>
      <c r="F26">
        <f>VLOOKUP(C26&amp;"|"&amp;B26,rate_tables!$A$3:$B$8,2,FALSE)</f>
        <v>85</v>
      </c>
      <c r="G26">
        <f>VLOOKUP(C26&amp;"|"&amp;B26,rate_tables!$A$12:$B$17,2,FALSE)</f>
        <v>35</v>
      </c>
      <c r="H26">
        <f>VLOOKUP(C26&amp;"|"&amp;D26,rate_tables!$A$21:$B$28,2,FALSE)</f>
        <v>1E-3</v>
      </c>
      <c r="I26">
        <f>VLOOKUP(C26&amp;"|"&amp;D26,rate_tables!$A$32:$B$39,2,FALSE)</f>
        <v>2E-3</v>
      </c>
      <c r="J26">
        <f t="shared" si="0"/>
        <v>85</v>
      </c>
      <c r="K26">
        <f t="shared" si="1"/>
        <v>35</v>
      </c>
      <c r="L26">
        <f t="shared" si="2"/>
        <v>5.2180833333333334</v>
      </c>
      <c r="M26">
        <f t="shared" si="3"/>
        <v>10.436166666666667</v>
      </c>
      <c r="N26">
        <f t="shared" si="4"/>
        <v>135.65425000000002</v>
      </c>
    </row>
    <row r="27" spans="1:14" x14ac:dyDescent="0.45">
      <c r="A27">
        <v>26</v>
      </c>
      <c r="B27" t="s">
        <v>6</v>
      </c>
      <c r="C27" t="s">
        <v>9</v>
      </c>
      <c r="D27" t="s">
        <v>37</v>
      </c>
      <c r="E27">
        <v>54508</v>
      </c>
      <c r="F27">
        <f>VLOOKUP(C27&amp;"|"&amp;B27,rate_tables!$A$3:$B$8,2,FALSE)</f>
        <v>98</v>
      </c>
      <c r="G27">
        <f>VLOOKUP(C27&amp;"|"&amp;B27,rate_tables!$A$12:$B$17,2,FALSE)</f>
        <v>41</v>
      </c>
      <c r="H27">
        <f>VLOOKUP(C27&amp;"|"&amp;D27,rate_tables!$A$21:$B$28,2,FALSE)</f>
        <v>1.8E-3</v>
      </c>
      <c r="I27">
        <f>VLOOKUP(C27&amp;"|"&amp;D27,rate_tables!$A$32:$B$39,2,FALSE)</f>
        <v>3.8E-3</v>
      </c>
      <c r="J27">
        <f t="shared" si="0"/>
        <v>98</v>
      </c>
      <c r="K27">
        <f t="shared" si="1"/>
        <v>41</v>
      </c>
      <c r="L27">
        <f t="shared" si="2"/>
        <v>8.1761999999999997</v>
      </c>
      <c r="M27">
        <f t="shared" si="3"/>
        <v>17.260866666666669</v>
      </c>
      <c r="N27">
        <f t="shared" si="4"/>
        <v>164.43706666666665</v>
      </c>
    </row>
    <row r="28" spans="1:14" x14ac:dyDescent="0.45">
      <c r="A28">
        <v>27</v>
      </c>
      <c r="B28" t="s">
        <v>6</v>
      </c>
      <c r="C28" t="s">
        <v>9</v>
      </c>
      <c r="D28" t="s">
        <v>36</v>
      </c>
      <c r="E28">
        <v>50895</v>
      </c>
      <c r="F28">
        <f>VLOOKUP(C28&amp;"|"&amp;B28,rate_tables!$A$3:$B$8,2,FALSE)</f>
        <v>98</v>
      </c>
      <c r="G28">
        <f>VLOOKUP(C28&amp;"|"&amp;B28,rate_tables!$A$12:$B$17,2,FALSE)</f>
        <v>41</v>
      </c>
      <c r="H28">
        <f>VLOOKUP(C28&amp;"|"&amp;D28,rate_tables!$A$21:$B$28,2,FALSE)</f>
        <v>1.2999999999999999E-3</v>
      </c>
      <c r="I28">
        <f>VLOOKUP(C28&amp;"|"&amp;D28,rate_tables!$A$32:$B$39,2,FALSE)</f>
        <v>2.5999999999999999E-3</v>
      </c>
      <c r="J28">
        <f t="shared" si="0"/>
        <v>98</v>
      </c>
      <c r="K28">
        <f t="shared" si="1"/>
        <v>41</v>
      </c>
      <c r="L28">
        <f t="shared" si="2"/>
        <v>5.5136250000000002</v>
      </c>
      <c r="M28">
        <f t="shared" si="3"/>
        <v>11.02725</v>
      </c>
      <c r="N28">
        <f t="shared" si="4"/>
        <v>155.540875</v>
      </c>
    </row>
    <row r="29" spans="1:14" x14ac:dyDescent="0.45">
      <c r="A29">
        <v>28</v>
      </c>
      <c r="B29" t="s">
        <v>6</v>
      </c>
      <c r="C29" t="s">
        <v>9</v>
      </c>
      <c r="D29" t="s">
        <v>37</v>
      </c>
      <c r="E29">
        <v>61164</v>
      </c>
      <c r="F29">
        <f>VLOOKUP(C29&amp;"|"&amp;B29,rate_tables!$A$3:$B$8,2,FALSE)</f>
        <v>98</v>
      </c>
      <c r="G29">
        <f>VLOOKUP(C29&amp;"|"&amp;B29,rate_tables!$A$12:$B$17,2,FALSE)</f>
        <v>41</v>
      </c>
      <c r="H29">
        <f>VLOOKUP(C29&amp;"|"&amp;D29,rate_tables!$A$21:$B$28,2,FALSE)</f>
        <v>1.8E-3</v>
      </c>
      <c r="I29">
        <f>VLOOKUP(C29&amp;"|"&amp;D29,rate_tables!$A$32:$B$39,2,FALSE)</f>
        <v>3.8E-3</v>
      </c>
      <c r="J29">
        <f t="shared" si="0"/>
        <v>98</v>
      </c>
      <c r="K29">
        <f t="shared" si="1"/>
        <v>41</v>
      </c>
      <c r="L29">
        <f t="shared" si="2"/>
        <v>9.1745999999999999</v>
      </c>
      <c r="M29">
        <f t="shared" si="3"/>
        <v>19.368600000000001</v>
      </c>
      <c r="N29">
        <f t="shared" si="4"/>
        <v>167.54320000000001</v>
      </c>
    </row>
    <row r="30" spans="1:14" x14ac:dyDescent="0.45">
      <c r="A30">
        <v>29</v>
      </c>
      <c r="B30" t="s">
        <v>6</v>
      </c>
      <c r="C30" t="s">
        <v>9</v>
      </c>
      <c r="D30" t="s">
        <v>35</v>
      </c>
      <c r="E30">
        <v>46040</v>
      </c>
      <c r="F30">
        <f>VLOOKUP(C30&amp;"|"&amp;B30,rate_tables!$A$3:$B$8,2,FALSE)</f>
        <v>98</v>
      </c>
      <c r="G30">
        <f>VLOOKUP(C30&amp;"|"&amp;B30,rate_tables!$A$12:$B$17,2,FALSE)</f>
        <v>41</v>
      </c>
      <c r="H30">
        <f>VLOOKUP(C30&amp;"|"&amp;D30,rate_tables!$A$21:$B$28,2,FALSE)</f>
        <v>1E-3</v>
      </c>
      <c r="I30">
        <f>VLOOKUP(C30&amp;"|"&amp;D30,rate_tables!$A$32:$B$39,2,FALSE)</f>
        <v>2E-3</v>
      </c>
      <c r="J30">
        <f t="shared" si="0"/>
        <v>98</v>
      </c>
      <c r="K30">
        <f t="shared" si="1"/>
        <v>41</v>
      </c>
      <c r="L30">
        <f t="shared" si="2"/>
        <v>3.8366666666666664</v>
      </c>
      <c r="M30">
        <f t="shared" si="3"/>
        <v>7.6733333333333329</v>
      </c>
      <c r="N30">
        <f t="shared" si="4"/>
        <v>150.51000000000002</v>
      </c>
    </row>
    <row r="31" spans="1:14" x14ac:dyDescent="0.45">
      <c r="A31">
        <v>30</v>
      </c>
      <c r="B31" t="s">
        <v>4</v>
      </c>
      <c r="C31" t="s">
        <v>9</v>
      </c>
      <c r="D31" t="s">
        <v>35</v>
      </c>
      <c r="E31">
        <v>55784</v>
      </c>
      <c r="F31">
        <f>VLOOKUP(C31&amp;"|"&amp;B31,rate_tables!$A$3:$B$8,2,FALSE)</f>
        <v>95</v>
      </c>
      <c r="G31">
        <f>VLOOKUP(C31&amp;"|"&amp;B31,rate_tables!$A$12:$B$17,2,FALSE)</f>
        <v>40</v>
      </c>
      <c r="H31">
        <f>VLOOKUP(C31&amp;"|"&amp;D31,rate_tables!$A$21:$B$28,2,FALSE)</f>
        <v>1E-3</v>
      </c>
      <c r="I31">
        <f>VLOOKUP(C31&amp;"|"&amp;D31,rate_tables!$A$32:$B$39,2,FALSE)</f>
        <v>2E-3</v>
      </c>
      <c r="J31">
        <f t="shared" si="0"/>
        <v>95</v>
      </c>
      <c r="K31">
        <f t="shared" si="1"/>
        <v>40</v>
      </c>
      <c r="L31">
        <f t="shared" si="2"/>
        <v>4.6486666666666663</v>
      </c>
      <c r="M31">
        <f t="shared" si="3"/>
        <v>9.2973333333333326</v>
      </c>
      <c r="N31">
        <f t="shared" si="4"/>
        <v>148.946</v>
      </c>
    </row>
    <row r="32" spans="1:14" x14ac:dyDescent="0.45">
      <c r="A32">
        <v>31</v>
      </c>
      <c r="B32" t="s">
        <v>4</v>
      </c>
      <c r="C32" t="s">
        <v>9</v>
      </c>
      <c r="D32" t="s">
        <v>35</v>
      </c>
      <c r="E32">
        <v>61176</v>
      </c>
      <c r="F32">
        <f>VLOOKUP(C32&amp;"|"&amp;B32,rate_tables!$A$3:$B$8,2,FALSE)</f>
        <v>95</v>
      </c>
      <c r="G32">
        <f>VLOOKUP(C32&amp;"|"&amp;B32,rate_tables!$A$12:$B$17,2,FALSE)</f>
        <v>40</v>
      </c>
      <c r="H32">
        <f>VLOOKUP(C32&amp;"|"&amp;D32,rate_tables!$A$21:$B$28,2,FALSE)</f>
        <v>1E-3</v>
      </c>
      <c r="I32">
        <f>VLOOKUP(C32&amp;"|"&amp;D32,rate_tables!$A$32:$B$39,2,FALSE)</f>
        <v>2E-3</v>
      </c>
      <c r="J32">
        <f t="shared" si="0"/>
        <v>95</v>
      </c>
      <c r="K32">
        <f t="shared" si="1"/>
        <v>40</v>
      </c>
      <c r="L32">
        <f t="shared" si="2"/>
        <v>5.0979999999999999</v>
      </c>
      <c r="M32">
        <f t="shared" si="3"/>
        <v>10.196</v>
      </c>
      <c r="N32">
        <f t="shared" si="4"/>
        <v>150.29400000000001</v>
      </c>
    </row>
    <row r="33" spans="1:14" x14ac:dyDescent="0.45">
      <c r="A33">
        <v>32</v>
      </c>
      <c r="B33" t="s">
        <v>6</v>
      </c>
      <c r="C33" t="s">
        <v>8</v>
      </c>
      <c r="D33" t="s">
        <v>37</v>
      </c>
      <c r="E33">
        <v>115765</v>
      </c>
      <c r="F33">
        <f>VLOOKUP(C33&amp;"|"&amp;B33,rate_tables!$A$3:$B$8,2,FALSE)</f>
        <v>88</v>
      </c>
      <c r="G33">
        <f>VLOOKUP(C33&amp;"|"&amp;B33,rate_tables!$A$12:$B$17,2,FALSE)</f>
        <v>36</v>
      </c>
      <c r="H33">
        <f>VLOOKUP(C33&amp;"|"&amp;D33,rate_tables!$A$21:$B$28,2,FALSE)</f>
        <v>1.4E-3</v>
      </c>
      <c r="I33">
        <f>VLOOKUP(C33&amp;"|"&amp;D33,rate_tables!$A$32:$B$39,2,FALSE)</f>
        <v>3.0000000000000001E-3</v>
      </c>
      <c r="J33">
        <f t="shared" si="0"/>
        <v>88</v>
      </c>
      <c r="K33">
        <f t="shared" si="1"/>
        <v>36</v>
      </c>
      <c r="L33">
        <f t="shared" si="2"/>
        <v>13.505916666666666</v>
      </c>
      <c r="M33">
        <f t="shared" si="3"/>
        <v>28.94125</v>
      </c>
      <c r="N33">
        <f t="shared" si="4"/>
        <v>166.44716666666667</v>
      </c>
    </row>
    <row r="34" spans="1:14" x14ac:dyDescent="0.45">
      <c r="A34">
        <v>33</v>
      </c>
      <c r="B34" t="s">
        <v>6</v>
      </c>
      <c r="C34" t="s">
        <v>9</v>
      </c>
      <c r="D34" t="s">
        <v>36</v>
      </c>
      <c r="E34">
        <v>57712</v>
      </c>
      <c r="F34">
        <f>VLOOKUP(C34&amp;"|"&amp;B34,rate_tables!$A$3:$B$8,2,FALSE)</f>
        <v>98</v>
      </c>
      <c r="G34">
        <f>VLOOKUP(C34&amp;"|"&amp;B34,rate_tables!$A$12:$B$17,2,FALSE)</f>
        <v>41</v>
      </c>
      <c r="H34">
        <f>VLOOKUP(C34&amp;"|"&amp;D34,rate_tables!$A$21:$B$28,2,FALSE)</f>
        <v>1.2999999999999999E-3</v>
      </c>
      <c r="I34">
        <f>VLOOKUP(C34&amp;"|"&amp;D34,rate_tables!$A$32:$B$39,2,FALSE)</f>
        <v>2.5999999999999999E-3</v>
      </c>
      <c r="J34">
        <f t="shared" si="0"/>
        <v>98</v>
      </c>
      <c r="K34">
        <f t="shared" si="1"/>
        <v>41</v>
      </c>
      <c r="L34">
        <f t="shared" si="2"/>
        <v>6.2521333333333331</v>
      </c>
      <c r="M34">
        <f t="shared" si="3"/>
        <v>12.504266666666666</v>
      </c>
      <c r="N34">
        <f t="shared" si="4"/>
        <v>157.75640000000001</v>
      </c>
    </row>
    <row r="35" spans="1:14" x14ac:dyDescent="0.45">
      <c r="A35">
        <v>34</v>
      </c>
      <c r="B35" t="s">
        <v>6</v>
      </c>
      <c r="C35" t="s">
        <v>8</v>
      </c>
      <c r="D35" t="s">
        <v>37</v>
      </c>
      <c r="E35">
        <v>98015</v>
      </c>
      <c r="F35">
        <f>VLOOKUP(C35&amp;"|"&amp;B35,rate_tables!$A$3:$B$8,2,FALSE)</f>
        <v>88</v>
      </c>
      <c r="G35">
        <f>VLOOKUP(C35&amp;"|"&amp;B35,rate_tables!$A$12:$B$17,2,FALSE)</f>
        <v>36</v>
      </c>
      <c r="H35">
        <f>VLOOKUP(C35&amp;"|"&amp;D35,rate_tables!$A$21:$B$28,2,FALSE)</f>
        <v>1.4E-3</v>
      </c>
      <c r="I35">
        <f>VLOOKUP(C35&amp;"|"&amp;D35,rate_tables!$A$32:$B$39,2,FALSE)</f>
        <v>3.0000000000000001E-3</v>
      </c>
      <c r="J35">
        <f t="shared" si="0"/>
        <v>88</v>
      </c>
      <c r="K35">
        <f t="shared" si="1"/>
        <v>36</v>
      </c>
      <c r="L35">
        <f t="shared" si="2"/>
        <v>11.435083333333333</v>
      </c>
      <c r="M35">
        <f t="shared" si="3"/>
        <v>24.50375</v>
      </c>
      <c r="N35">
        <f t="shared" si="4"/>
        <v>159.93883333333332</v>
      </c>
    </row>
    <row r="36" spans="1:14" x14ac:dyDescent="0.45">
      <c r="A36">
        <v>35</v>
      </c>
      <c r="B36" t="s">
        <v>5</v>
      </c>
      <c r="C36" t="s">
        <v>8</v>
      </c>
      <c r="D36" t="s">
        <v>37</v>
      </c>
      <c r="E36">
        <v>74585</v>
      </c>
      <c r="F36">
        <f>VLOOKUP(C36&amp;"|"&amp;B36,rate_tables!$A$3:$B$8,2,FALSE)</f>
        <v>90</v>
      </c>
      <c r="G36">
        <f>VLOOKUP(C36&amp;"|"&amp;B36,rate_tables!$A$12:$B$17,2,FALSE)</f>
        <v>37</v>
      </c>
      <c r="H36">
        <f>VLOOKUP(C36&amp;"|"&amp;D36,rate_tables!$A$21:$B$28,2,FALSE)</f>
        <v>1.4E-3</v>
      </c>
      <c r="I36">
        <f>VLOOKUP(C36&amp;"|"&amp;D36,rate_tables!$A$32:$B$39,2,FALSE)</f>
        <v>3.0000000000000001E-3</v>
      </c>
      <c r="J36">
        <f t="shared" si="0"/>
        <v>90</v>
      </c>
      <c r="K36">
        <f t="shared" si="1"/>
        <v>37</v>
      </c>
      <c r="L36">
        <f t="shared" si="2"/>
        <v>8.7015833333333337</v>
      </c>
      <c r="M36">
        <f t="shared" si="3"/>
        <v>18.646249999999998</v>
      </c>
      <c r="N36">
        <f t="shared" si="4"/>
        <v>154.34783333333334</v>
      </c>
    </row>
    <row r="37" spans="1:14" x14ac:dyDescent="0.45">
      <c r="A37">
        <v>36</v>
      </c>
      <c r="B37" t="s">
        <v>4</v>
      </c>
      <c r="C37" t="s">
        <v>8</v>
      </c>
      <c r="D37" t="s">
        <v>35</v>
      </c>
      <c r="E37">
        <v>112146</v>
      </c>
      <c r="F37">
        <f>VLOOKUP(C37&amp;"|"&amp;B37,rate_tables!$A$3:$B$8,2,FALSE)</f>
        <v>85</v>
      </c>
      <c r="G37">
        <f>VLOOKUP(C37&amp;"|"&amp;B37,rate_tables!$A$12:$B$17,2,FALSE)</f>
        <v>35</v>
      </c>
      <c r="H37">
        <f>VLOOKUP(C37&amp;"|"&amp;D37,rate_tables!$A$21:$B$28,2,FALSE)</f>
        <v>8.0000000000000004E-4</v>
      </c>
      <c r="I37">
        <f>VLOOKUP(C37&amp;"|"&amp;D37,rate_tables!$A$32:$B$39,2,FALSE)</f>
        <v>1.6000000000000001E-3</v>
      </c>
      <c r="J37">
        <f t="shared" si="0"/>
        <v>85</v>
      </c>
      <c r="K37">
        <f t="shared" si="1"/>
        <v>35</v>
      </c>
      <c r="L37">
        <f t="shared" si="2"/>
        <v>7.4764000000000008</v>
      </c>
      <c r="M37">
        <f t="shared" si="3"/>
        <v>14.952800000000002</v>
      </c>
      <c r="N37">
        <f t="shared" si="4"/>
        <v>142.42920000000001</v>
      </c>
    </row>
    <row r="38" spans="1:14" x14ac:dyDescent="0.45">
      <c r="A38">
        <v>37</v>
      </c>
      <c r="B38" t="s">
        <v>4</v>
      </c>
      <c r="C38" t="s">
        <v>9</v>
      </c>
      <c r="D38" t="s">
        <v>35</v>
      </c>
      <c r="E38">
        <v>67937</v>
      </c>
      <c r="F38">
        <f>VLOOKUP(C38&amp;"|"&amp;B38,rate_tables!$A$3:$B$8,2,FALSE)</f>
        <v>95</v>
      </c>
      <c r="G38">
        <f>VLOOKUP(C38&amp;"|"&amp;B38,rate_tables!$A$12:$B$17,2,FALSE)</f>
        <v>40</v>
      </c>
      <c r="H38">
        <f>VLOOKUP(C38&amp;"|"&amp;D38,rate_tables!$A$21:$B$28,2,FALSE)</f>
        <v>1E-3</v>
      </c>
      <c r="I38">
        <f>VLOOKUP(C38&amp;"|"&amp;D38,rate_tables!$A$32:$B$39,2,FALSE)</f>
        <v>2E-3</v>
      </c>
      <c r="J38">
        <f t="shared" si="0"/>
        <v>95</v>
      </c>
      <c r="K38">
        <f t="shared" si="1"/>
        <v>40</v>
      </c>
      <c r="L38">
        <f t="shared" si="2"/>
        <v>5.6614166666666668</v>
      </c>
      <c r="M38">
        <f t="shared" si="3"/>
        <v>11.322833333333334</v>
      </c>
      <c r="N38">
        <f t="shared" si="4"/>
        <v>151.98425</v>
      </c>
    </row>
    <row r="39" spans="1:14" x14ac:dyDescent="0.45">
      <c r="A39">
        <v>38</v>
      </c>
      <c r="B39" t="s">
        <v>5</v>
      </c>
      <c r="C39" t="s">
        <v>8</v>
      </c>
      <c r="D39" t="s">
        <v>37</v>
      </c>
      <c r="E39">
        <v>67186</v>
      </c>
      <c r="F39">
        <f>VLOOKUP(C39&amp;"|"&amp;B39,rate_tables!$A$3:$B$8,2,FALSE)</f>
        <v>90</v>
      </c>
      <c r="G39">
        <f>VLOOKUP(C39&amp;"|"&amp;B39,rate_tables!$A$12:$B$17,2,FALSE)</f>
        <v>37</v>
      </c>
      <c r="H39">
        <f>VLOOKUP(C39&amp;"|"&amp;D39,rate_tables!$A$21:$B$28,2,FALSE)</f>
        <v>1.4E-3</v>
      </c>
      <c r="I39">
        <f>VLOOKUP(C39&amp;"|"&amp;D39,rate_tables!$A$32:$B$39,2,FALSE)</f>
        <v>3.0000000000000001E-3</v>
      </c>
      <c r="J39">
        <f t="shared" si="0"/>
        <v>90</v>
      </c>
      <c r="K39">
        <f t="shared" si="1"/>
        <v>37</v>
      </c>
      <c r="L39">
        <f t="shared" si="2"/>
        <v>7.8383666666666665</v>
      </c>
      <c r="M39">
        <f t="shared" si="3"/>
        <v>16.796499999999998</v>
      </c>
      <c r="N39">
        <f t="shared" si="4"/>
        <v>151.63486666666668</v>
      </c>
    </row>
    <row r="40" spans="1:14" x14ac:dyDescent="0.45">
      <c r="A40">
        <v>39</v>
      </c>
      <c r="B40" t="s">
        <v>4</v>
      </c>
      <c r="C40" t="s">
        <v>8</v>
      </c>
      <c r="D40" t="s">
        <v>38</v>
      </c>
      <c r="E40">
        <v>52072</v>
      </c>
      <c r="F40">
        <f>VLOOKUP(C40&amp;"|"&amp;B40,rate_tables!$A$3:$B$8,2,FALSE)</f>
        <v>85</v>
      </c>
      <c r="G40">
        <f>VLOOKUP(C40&amp;"|"&amp;B40,rate_tables!$A$12:$B$17,2,FALSE)</f>
        <v>35</v>
      </c>
      <c r="H40">
        <f>VLOOKUP(C40&amp;"|"&amp;D40,rate_tables!$A$21:$B$28,2,FALSE)</f>
        <v>2E-3</v>
      </c>
      <c r="I40">
        <f>VLOOKUP(C40&amp;"|"&amp;D40,rate_tables!$A$32:$B$39,2,FALSE)</f>
        <v>4.4000000000000003E-3</v>
      </c>
      <c r="J40">
        <f t="shared" si="0"/>
        <v>85</v>
      </c>
      <c r="K40">
        <f t="shared" si="1"/>
        <v>35</v>
      </c>
      <c r="L40">
        <f t="shared" si="2"/>
        <v>8.6786666666666665</v>
      </c>
      <c r="M40">
        <f t="shared" si="3"/>
        <v>19.093066666666669</v>
      </c>
      <c r="N40">
        <f t="shared" si="4"/>
        <v>147.77173333333332</v>
      </c>
    </row>
    <row r="41" spans="1:14" x14ac:dyDescent="0.45">
      <c r="A41">
        <v>40</v>
      </c>
      <c r="B41" t="s">
        <v>4</v>
      </c>
      <c r="C41" t="s">
        <v>8</v>
      </c>
      <c r="D41" t="s">
        <v>36</v>
      </c>
      <c r="E41">
        <v>66051</v>
      </c>
      <c r="F41">
        <f>VLOOKUP(C41&amp;"|"&amp;B41,rate_tables!$A$3:$B$8,2,FALSE)</f>
        <v>85</v>
      </c>
      <c r="G41">
        <f>VLOOKUP(C41&amp;"|"&amp;B41,rate_tables!$A$12:$B$17,2,FALSE)</f>
        <v>35</v>
      </c>
      <c r="H41">
        <f>VLOOKUP(C41&amp;"|"&amp;D41,rate_tables!$A$21:$B$28,2,FALSE)</f>
        <v>1E-3</v>
      </c>
      <c r="I41">
        <f>VLOOKUP(C41&amp;"|"&amp;D41,rate_tables!$A$32:$B$39,2,FALSE)</f>
        <v>2E-3</v>
      </c>
      <c r="J41">
        <f t="shared" si="0"/>
        <v>85</v>
      </c>
      <c r="K41">
        <f t="shared" si="1"/>
        <v>35</v>
      </c>
      <c r="L41">
        <f t="shared" si="2"/>
        <v>5.5042499999999999</v>
      </c>
      <c r="M41">
        <f t="shared" si="3"/>
        <v>11.0085</v>
      </c>
      <c r="N41">
        <f t="shared" si="4"/>
        <v>136.51275000000001</v>
      </c>
    </row>
    <row r="42" spans="1:14" x14ac:dyDescent="0.45">
      <c r="A42">
        <v>41</v>
      </c>
      <c r="B42" t="s">
        <v>4</v>
      </c>
      <c r="C42" t="s">
        <v>8</v>
      </c>
      <c r="D42" t="s">
        <v>37</v>
      </c>
      <c r="E42">
        <v>53418</v>
      </c>
      <c r="F42">
        <f>VLOOKUP(C42&amp;"|"&amp;B42,rate_tables!$A$3:$B$8,2,FALSE)</f>
        <v>85</v>
      </c>
      <c r="G42">
        <f>VLOOKUP(C42&amp;"|"&amp;B42,rate_tables!$A$12:$B$17,2,FALSE)</f>
        <v>35</v>
      </c>
      <c r="H42">
        <f>VLOOKUP(C42&amp;"|"&amp;D42,rate_tables!$A$21:$B$28,2,FALSE)</f>
        <v>1.4E-3</v>
      </c>
      <c r="I42">
        <f>VLOOKUP(C42&amp;"|"&amp;D42,rate_tables!$A$32:$B$39,2,FALSE)</f>
        <v>3.0000000000000001E-3</v>
      </c>
      <c r="J42">
        <f t="shared" si="0"/>
        <v>85</v>
      </c>
      <c r="K42">
        <f t="shared" si="1"/>
        <v>35</v>
      </c>
      <c r="L42">
        <f t="shared" si="2"/>
        <v>6.2321</v>
      </c>
      <c r="M42">
        <f t="shared" si="3"/>
        <v>13.3545</v>
      </c>
      <c r="N42">
        <f t="shared" si="4"/>
        <v>139.5866</v>
      </c>
    </row>
    <row r="43" spans="1:14" x14ac:dyDescent="0.45">
      <c r="A43">
        <v>42</v>
      </c>
      <c r="B43" t="s">
        <v>4</v>
      </c>
      <c r="C43" t="s">
        <v>9</v>
      </c>
      <c r="D43" t="s">
        <v>37</v>
      </c>
      <c r="E43">
        <v>76876</v>
      </c>
      <c r="F43">
        <f>VLOOKUP(C43&amp;"|"&amp;B43,rate_tables!$A$3:$B$8,2,FALSE)</f>
        <v>95</v>
      </c>
      <c r="G43">
        <f>VLOOKUP(C43&amp;"|"&amp;B43,rate_tables!$A$12:$B$17,2,FALSE)</f>
        <v>40</v>
      </c>
      <c r="H43">
        <f>VLOOKUP(C43&amp;"|"&amp;D43,rate_tables!$A$21:$B$28,2,FALSE)</f>
        <v>1.8E-3</v>
      </c>
      <c r="I43">
        <f>VLOOKUP(C43&amp;"|"&amp;D43,rate_tables!$A$32:$B$39,2,FALSE)</f>
        <v>3.8E-3</v>
      </c>
      <c r="J43">
        <f t="shared" si="0"/>
        <v>95</v>
      </c>
      <c r="K43">
        <f t="shared" si="1"/>
        <v>40</v>
      </c>
      <c r="L43">
        <f t="shared" si="2"/>
        <v>11.5314</v>
      </c>
      <c r="M43">
        <f t="shared" si="3"/>
        <v>24.344066666666667</v>
      </c>
      <c r="N43">
        <f t="shared" si="4"/>
        <v>170.87546666666665</v>
      </c>
    </row>
    <row r="44" spans="1:14" x14ac:dyDescent="0.45">
      <c r="A44">
        <v>43</v>
      </c>
      <c r="B44" t="s">
        <v>4</v>
      </c>
      <c r="C44" t="s">
        <v>8</v>
      </c>
      <c r="D44" t="s">
        <v>35</v>
      </c>
      <c r="E44">
        <v>60558</v>
      </c>
      <c r="F44">
        <f>VLOOKUP(C44&amp;"|"&amp;B44,rate_tables!$A$3:$B$8,2,FALSE)</f>
        <v>85</v>
      </c>
      <c r="G44">
        <f>VLOOKUP(C44&amp;"|"&amp;B44,rate_tables!$A$12:$B$17,2,FALSE)</f>
        <v>35</v>
      </c>
      <c r="H44">
        <f>VLOOKUP(C44&amp;"|"&amp;D44,rate_tables!$A$21:$B$28,2,FALSE)</f>
        <v>8.0000000000000004E-4</v>
      </c>
      <c r="I44">
        <f>VLOOKUP(C44&amp;"|"&amp;D44,rate_tables!$A$32:$B$39,2,FALSE)</f>
        <v>1.6000000000000001E-3</v>
      </c>
      <c r="J44">
        <f t="shared" si="0"/>
        <v>85</v>
      </c>
      <c r="K44">
        <f t="shared" si="1"/>
        <v>35</v>
      </c>
      <c r="L44">
        <f t="shared" si="2"/>
        <v>4.0372000000000003</v>
      </c>
      <c r="M44">
        <f t="shared" si="3"/>
        <v>8.0744000000000007</v>
      </c>
      <c r="N44">
        <f t="shared" si="4"/>
        <v>132.11160000000001</v>
      </c>
    </row>
    <row r="45" spans="1:14" x14ac:dyDescent="0.45">
      <c r="A45">
        <v>44</v>
      </c>
      <c r="B45" t="s">
        <v>4</v>
      </c>
      <c r="C45" t="s">
        <v>9</v>
      </c>
      <c r="D45" t="s">
        <v>36</v>
      </c>
      <c r="E45">
        <v>65794</v>
      </c>
      <c r="F45">
        <f>VLOOKUP(C45&amp;"|"&amp;B45,rate_tables!$A$3:$B$8,2,FALSE)</f>
        <v>95</v>
      </c>
      <c r="G45">
        <f>VLOOKUP(C45&amp;"|"&amp;B45,rate_tables!$A$12:$B$17,2,FALSE)</f>
        <v>40</v>
      </c>
      <c r="H45">
        <f>VLOOKUP(C45&amp;"|"&amp;D45,rate_tables!$A$21:$B$28,2,FALSE)</f>
        <v>1.2999999999999999E-3</v>
      </c>
      <c r="I45">
        <f>VLOOKUP(C45&amp;"|"&amp;D45,rate_tables!$A$32:$B$39,2,FALSE)</f>
        <v>2.5999999999999999E-3</v>
      </c>
      <c r="J45">
        <f t="shared" si="0"/>
        <v>95</v>
      </c>
      <c r="K45">
        <f t="shared" si="1"/>
        <v>40</v>
      </c>
      <c r="L45">
        <f t="shared" si="2"/>
        <v>7.1276833333333336</v>
      </c>
      <c r="M45">
        <f t="shared" si="3"/>
        <v>14.255366666666667</v>
      </c>
      <c r="N45">
        <f t="shared" si="4"/>
        <v>156.38305</v>
      </c>
    </row>
    <row r="46" spans="1:14" x14ac:dyDescent="0.45">
      <c r="A46">
        <v>45</v>
      </c>
      <c r="B46" t="s">
        <v>6</v>
      </c>
      <c r="C46" t="s">
        <v>9</v>
      </c>
      <c r="D46" t="s">
        <v>38</v>
      </c>
      <c r="E46">
        <v>74942</v>
      </c>
      <c r="F46">
        <f>VLOOKUP(C46&amp;"|"&amp;B46,rate_tables!$A$3:$B$8,2,FALSE)</f>
        <v>98</v>
      </c>
      <c r="G46">
        <f>VLOOKUP(C46&amp;"|"&amp;B46,rate_tables!$A$12:$B$17,2,FALSE)</f>
        <v>41</v>
      </c>
      <c r="H46">
        <f>VLOOKUP(C46&amp;"|"&amp;D46,rate_tables!$A$21:$B$28,2,FALSE)</f>
        <v>2.5999999999999999E-3</v>
      </c>
      <c r="I46">
        <f>VLOOKUP(C46&amp;"|"&amp;D46,rate_tables!$A$32:$B$39,2,FALSE)</f>
        <v>5.5999999999999999E-3</v>
      </c>
      <c r="J46">
        <f t="shared" si="0"/>
        <v>98</v>
      </c>
      <c r="K46">
        <f t="shared" si="1"/>
        <v>41</v>
      </c>
      <c r="L46">
        <f t="shared" si="2"/>
        <v>16.237433333333332</v>
      </c>
      <c r="M46">
        <f t="shared" si="3"/>
        <v>34.972933333333337</v>
      </c>
      <c r="N46">
        <f t="shared" si="4"/>
        <v>190.21036666666669</v>
      </c>
    </row>
    <row r="47" spans="1:14" x14ac:dyDescent="0.45">
      <c r="A47">
        <v>46</v>
      </c>
      <c r="B47" t="s">
        <v>4</v>
      </c>
      <c r="C47" t="s">
        <v>9</v>
      </c>
      <c r="D47" t="s">
        <v>36</v>
      </c>
      <c r="E47">
        <v>65036</v>
      </c>
      <c r="F47">
        <f>VLOOKUP(C47&amp;"|"&amp;B47,rate_tables!$A$3:$B$8,2,FALSE)</f>
        <v>95</v>
      </c>
      <c r="G47">
        <f>VLOOKUP(C47&amp;"|"&amp;B47,rate_tables!$A$12:$B$17,2,FALSE)</f>
        <v>40</v>
      </c>
      <c r="H47">
        <f>VLOOKUP(C47&amp;"|"&amp;D47,rate_tables!$A$21:$B$28,2,FALSE)</f>
        <v>1.2999999999999999E-3</v>
      </c>
      <c r="I47">
        <f>VLOOKUP(C47&amp;"|"&amp;D47,rate_tables!$A$32:$B$39,2,FALSE)</f>
        <v>2.5999999999999999E-3</v>
      </c>
      <c r="J47">
        <f t="shared" si="0"/>
        <v>95</v>
      </c>
      <c r="K47">
        <f t="shared" si="1"/>
        <v>40</v>
      </c>
      <c r="L47">
        <f t="shared" si="2"/>
        <v>7.0455666666666659</v>
      </c>
      <c r="M47">
        <f t="shared" si="3"/>
        <v>14.091133333333332</v>
      </c>
      <c r="N47">
        <f t="shared" si="4"/>
        <v>156.13670000000002</v>
      </c>
    </row>
    <row r="48" spans="1:14" x14ac:dyDescent="0.45">
      <c r="A48">
        <v>47</v>
      </c>
      <c r="B48" t="s">
        <v>4</v>
      </c>
      <c r="C48" t="s">
        <v>8</v>
      </c>
      <c r="D48" t="s">
        <v>35</v>
      </c>
      <c r="E48">
        <v>96168</v>
      </c>
      <c r="F48">
        <f>VLOOKUP(C48&amp;"|"&amp;B48,rate_tables!$A$3:$B$8,2,FALSE)</f>
        <v>85</v>
      </c>
      <c r="G48">
        <f>VLOOKUP(C48&amp;"|"&amp;B48,rate_tables!$A$12:$B$17,2,FALSE)</f>
        <v>35</v>
      </c>
      <c r="H48">
        <f>VLOOKUP(C48&amp;"|"&amp;D48,rate_tables!$A$21:$B$28,2,FALSE)</f>
        <v>8.0000000000000004E-4</v>
      </c>
      <c r="I48">
        <f>VLOOKUP(C48&amp;"|"&amp;D48,rate_tables!$A$32:$B$39,2,FALSE)</f>
        <v>1.6000000000000001E-3</v>
      </c>
      <c r="J48">
        <f t="shared" si="0"/>
        <v>85</v>
      </c>
      <c r="K48">
        <f t="shared" si="1"/>
        <v>35</v>
      </c>
      <c r="L48">
        <f t="shared" si="2"/>
        <v>6.4112000000000009</v>
      </c>
      <c r="M48">
        <f t="shared" si="3"/>
        <v>12.822400000000002</v>
      </c>
      <c r="N48">
        <f t="shared" si="4"/>
        <v>139.23360000000002</v>
      </c>
    </row>
    <row r="49" spans="1:14" x14ac:dyDescent="0.45">
      <c r="A49">
        <v>48</v>
      </c>
      <c r="B49" t="s">
        <v>5</v>
      </c>
      <c r="C49" t="s">
        <v>8</v>
      </c>
      <c r="D49" t="s">
        <v>35</v>
      </c>
      <c r="E49">
        <v>127357</v>
      </c>
      <c r="F49">
        <f>VLOOKUP(C49&amp;"|"&amp;B49,rate_tables!$A$3:$B$8,2,FALSE)</f>
        <v>90</v>
      </c>
      <c r="G49">
        <f>VLOOKUP(C49&amp;"|"&amp;B49,rate_tables!$A$12:$B$17,2,FALSE)</f>
        <v>37</v>
      </c>
      <c r="H49">
        <f>VLOOKUP(C49&amp;"|"&amp;D49,rate_tables!$A$21:$B$28,2,FALSE)</f>
        <v>8.0000000000000004E-4</v>
      </c>
      <c r="I49">
        <f>VLOOKUP(C49&amp;"|"&amp;D49,rate_tables!$A$32:$B$39,2,FALSE)</f>
        <v>1.6000000000000001E-3</v>
      </c>
      <c r="J49">
        <f t="shared" si="0"/>
        <v>90</v>
      </c>
      <c r="K49">
        <f t="shared" si="1"/>
        <v>37</v>
      </c>
      <c r="L49">
        <f t="shared" si="2"/>
        <v>8.4904666666666682</v>
      </c>
      <c r="M49">
        <f t="shared" si="3"/>
        <v>16.980933333333336</v>
      </c>
      <c r="N49">
        <f t="shared" si="4"/>
        <v>152.47139999999999</v>
      </c>
    </row>
    <row r="50" spans="1:14" x14ac:dyDescent="0.45">
      <c r="A50">
        <v>49</v>
      </c>
      <c r="B50" t="s">
        <v>5</v>
      </c>
      <c r="C50" t="s">
        <v>9</v>
      </c>
      <c r="D50" t="s">
        <v>35</v>
      </c>
      <c r="E50">
        <v>46703</v>
      </c>
      <c r="F50">
        <f>VLOOKUP(C50&amp;"|"&amp;B50,rate_tables!$A$3:$B$8,2,FALSE)</f>
        <v>100</v>
      </c>
      <c r="G50">
        <f>VLOOKUP(C50&amp;"|"&amp;B50,rate_tables!$A$12:$B$17,2,FALSE)</f>
        <v>42</v>
      </c>
      <c r="H50">
        <f>VLOOKUP(C50&amp;"|"&amp;D50,rate_tables!$A$21:$B$28,2,FALSE)</f>
        <v>1E-3</v>
      </c>
      <c r="I50">
        <f>VLOOKUP(C50&amp;"|"&amp;D50,rate_tables!$A$32:$B$39,2,FALSE)</f>
        <v>2E-3</v>
      </c>
      <c r="J50">
        <f t="shared" si="0"/>
        <v>100</v>
      </c>
      <c r="K50">
        <f t="shared" si="1"/>
        <v>42</v>
      </c>
      <c r="L50">
        <f t="shared" si="2"/>
        <v>3.8919166666666669</v>
      </c>
      <c r="M50">
        <f t="shared" si="3"/>
        <v>7.7838333333333338</v>
      </c>
      <c r="N50">
        <f t="shared" si="4"/>
        <v>153.67574999999999</v>
      </c>
    </row>
    <row r="51" spans="1:14" x14ac:dyDescent="0.45">
      <c r="A51">
        <v>50</v>
      </c>
      <c r="B51" t="s">
        <v>4</v>
      </c>
      <c r="C51" t="s">
        <v>8</v>
      </c>
      <c r="D51" t="s">
        <v>36</v>
      </c>
      <c r="E51">
        <v>97105</v>
      </c>
      <c r="F51">
        <f>VLOOKUP(C51&amp;"|"&amp;B51,rate_tables!$A$3:$B$8,2,FALSE)</f>
        <v>85</v>
      </c>
      <c r="G51">
        <f>VLOOKUP(C51&amp;"|"&amp;B51,rate_tables!$A$12:$B$17,2,FALSE)</f>
        <v>35</v>
      </c>
      <c r="H51">
        <f>VLOOKUP(C51&amp;"|"&amp;D51,rate_tables!$A$21:$B$28,2,FALSE)</f>
        <v>1E-3</v>
      </c>
      <c r="I51">
        <f>VLOOKUP(C51&amp;"|"&amp;D51,rate_tables!$A$32:$B$39,2,FALSE)</f>
        <v>2E-3</v>
      </c>
      <c r="J51">
        <f t="shared" si="0"/>
        <v>85</v>
      </c>
      <c r="K51">
        <f t="shared" si="1"/>
        <v>35</v>
      </c>
      <c r="L51">
        <f t="shared" si="2"/>
        <v>8.0920833333333331</v>
      </c>
      <c r="M51">
        <f t="shared" si="3"/>
        <v>16.184166666666666</v>
      </c>
      <c r="N51">
        <f t="shared" si="4"/>
        <v>144.27625</v>
      </c>
    </row>
    <row r="52" spans="1:14" x14ac:dyDescent="0.45">
      <c r="A52">
        <v>51</v>
      </c>
      <c r="B52" t="s">
        <v>5</v>
      </c>
      <c r="C52" t="s">
        <v>8</v>
      </c>
      <c r="D52" t="s">
        <v>38</v>
      </c>
      <c r="E52">
        <v>123241</v>
      </c>
      <c r="F52">
        <f>VLOOKUP(C52&amp;"|"&amp;B52,rate_tables!$A$3:$B$8,2,FALSE)</f>
        <v>90</v>
      </c>
      <c r="G52">
        <f>VLOOKUP(C52&amp;"|"&amp;B52,rate_tables!$A$12:$B$17,2,FALSE)</f>
        <v>37</v>
      </c>
      <c r="H52">
        <f>VLOOKUP(C52&amp;"|"&amp;D52,rate_tables!$A$21:$B$28,2,FALSE)</f>
        <v>2E-3</v>
      </c>
      <c r="I52">
        <f>VLOOKUP(C52&amp;"|"&amp;D52,rate_tables!$A$32:$B$39,2,FALSE)</f>
        <v>4.4000000000000003E-3</v>
      </c>
      <c r="J52">
        <f t="shared" si="0"/>
        <v>90</v>
      </c>
      <c r="K52">
        <f t="shared" si="1"/>
        <v>37</v>
      </c>
      <c r="L52">
        <f t="shared" si="2"/>
        <v>20.540166666666668</v>
      </c>
      <c r="M52">
        <f t="shared" si="3"/>
        <v>45.188366666666667</v>
      </c>
      <c r="N52">
        <f t="shared" si="4"/>
        <v>192.72853333333333</v>
      </c>
    </row>
    <row r="53" spans="1:14" x14ac:dyDescent="0.45">
      <c r="A53">
        <v>52</v>
      </c>
      <c r="B53" t="s">
        <v>4</v>
      </c>
      <c r="C53" t="s">
        <v>8</v>
      </c>
      <c r="D53" t="s">
        <v>37</v>
      </c>
      <c r="E53">
        <v>50666</v>
      </c>
      <c r="F53">
        <f>VLOOKUP(C53&amp;"|"&amp;B53,rate_tables!$A$3:$B$8,2,FALSE)</f>
        <v>85</v>
      </c>
      <c r="G53">
        <f>VLOOKUP(C53&amp;"|"&amp;B53,rate_tables!$A$12:$B$17,2,FALSE)</f>
        <v>35</v>
      </c>
      <c r="H53">
        <f>VLOOKUP(C53&amp;"|"&amp;D53,rate_tables!$A$21:$B$28,2,FALSE)</f>
        <v>1.4E-3</v>
      </c>
      <c r="I53">
        <f>VLOOKUP(C53&amp;"|"&amp;D53,rate_tables!$A$32:$B$39,2,FALSE)</f>
        <v>3.0000000000000001E-3</v>
      </c>
      <c r="J53">
        <f t="shared" si="0"/>
        <v>85</v>
      </c>
      <c r="K53">
        <f t="shared" si="1"/>
        <v>35</v>
      </c>
      <c r="L53">
        <f t="shared" si="2"/>
        <v>5.9110333333333331</v>
      </c>
      <c r="M53">
        <f t="shared" si="3"/>
        <v>12.666499999999999</v>
      </c>
      <c r="N53">
        <f t="shared" si="4"/>
        <v>138.57753333333335</v>
      </c>
    </row>
    <row r="54" spans="1:14" x14ac:dyDescent="0.45">
      <c r="A54">
        <v>53</v>
      </c>
      <c r="B54" t="s">
        <v>4</v>
      </c>
      <c r="C54" t="s">
        <v>9</v>
      </c>
      <c r="D54" t="s">
        <v>35</v>
      </c>
      <c r="E54">
        <v>66958</v>
      </c>
      <c r="F54">
        <f>VLOOKUP(C54&amp;"|"&amp;B54,rate_tables!$A$3:$B$8,2,FALSE)</f>
        <v>95</v>
      </c>
      <c r="G54">
        <f>VLOOKUP(C54&amp;"|"&amp;B54,rate_tables!$A$12:$B$17,2,FALSE)</f>
        <v>40</v>
      </c>
      <c r="H54">
        <f>VLOOKUP(C54&amp;"|"&amp;D54,rate_tables!$A$21:$B$28,2,FALSE)</f>
        <v>1E-3</v>
      </c>
      <c r="I54">
        <f>VLOOKUP(C54&amp;"|"&amp;D54,rate_tables!$A$32:$B$39,2,FALSE)</f>
        <v>2E-3</v>
      </c>
      <c r="J54">
        <f t="shared" si="0"/>
        <v>95</v>
      </c>
      <c r="K54">
        <f t="shared" si="1"/>
        <v>40</v>
      </c>
      <c r="L54">
        <f t="shared" si="2"/>
        <v>5.5798333333333332</v>
      </c>
      <c r="M54">
        <f t="shared" si="3"/>
        <v>11.159666666666666</v>
      </c>
      <c r="N54">
        <f t="shared" si="4"/>
        <v>151.73950000000002</v>
      </c>
    </row>
    <row r="55" spans="1:14" x14ac:dyDescent="0.45">
      <c r="A55">
        <v>54</v>
      </c>
      <c r="B55" t="s">
        <v>4</v>
      </c>
      <c r="C55" t="s">
        <v>9</v>
      </c>
      <c r="D55" t="s">
        <v>36</v>
      </c>
      <c r="E55">
        <v>66360</v>
      </c>
      <c r="F55">
        <f>VLOOKUP(C55&amp;"|"&amp;B55,rate_tables!$A$3:$B$8,2,FALSE)</f>
        <v>95</v>
      </c>
      <c r="G55">
        <f>VLOOKUP(C55&amp;"|"&amp;B55,rate_tables!$A$12:$B$17,2,FALSE)</f>
        <v>40</v>
      </c>
      <c r="H55">
        <f>VLOOKUP(C55&amp;"|"&amp;D55,rate_tables!$A$21:$B$28,2,FALSE)</f>
        <v>1.2999999999999999E-3</v>
      </c>
      <c r="I55">
        <f>VLOOKUP(C55&amp;"|"&amp;D55,rate_tables!$A$32:$B$39,2,FALSE)</f>
        <v>2.5999999999999999E-3</v>
      </c>
      <c r="J55">
        <f t="shared" si="0"/>
        <v>95</v>
      </c>
      <c r="K55">
        <f t="shared" si="1"/>
        <v>40</v>
      </c>
      <c r="L55">
        <f t="shared" si="2"/>
        <v>7.1890000000000001</v>
      </c>
      <c r="M55">
        <f t="shared" si="3"/>
        <v>14.378</v>
      </c>
      <c r="N55">
        <f t="shared" si="4"/>
        <v>156.56700000000001</v>
      </c>
    </row>
    <row r="56" spans="1:14" x14ac:dyDescent="0.45">
      <c r="A56">
        <v>55</v>
      </c>
      <c r="B56" t="s">
        <v>6</v>
      </c>
      <c r="C56" t="s">
        <v>9</v>
      </c>
      <c r="D56" t="s">
        <v>35</v>
      </c>
      <c r="E56">
        <v>48840</v>
      </c>
      <c r="F56">
        <f>VLOOKUP(C56&amp;"|"&amp;B56,rate_tables!$A$3:$B$8,2,FALSE)</f>
        <v>98</v>
      </c>
      <c r="G56">
        <f>VLOOKUP(C56&amp;"|"&amp;B56,rate_tables!$A$12:$B$17,2,FALSE)</f>
        <v>41</v>
      </c>
      <c r="H56">
        <f>VLOOKUP(C56&amp;"|"&amp;D56,rate_tables!$A$21:$B$28,2,FALSE)</f>
        <v>1E-3</v>
      </c>
      <c r="I56">
        <f>VLOOKUP(C56&amp;"|"&amp;D56,rate_tables!$A$32:$B$39,2,FALSE)</f>
        <v>2E-3</v>
      </c>
      <c r="J56">
        <f t="shared" si="0"/>
        <v>98</v>
      </c>
      <c r="K56">
        <f t="shared" si="1"/>
        <v>41</v>
      </c>
      <c r="L56">
        <f t="shared" si="2"/>
        <v>4.07</v>
      </c>
      <c r="M56">
        <f t="shared" si="3"/>
        <v>8.14</v>
      </c>
      <c r="N56">
        <f t="shared" si="4"/>
        <v>151.20999999999998</v>
      </c>
    </row>
    <row r="57" spans="1:14" x14ac:dyDescent="0.45">
      <c r="A57">
        <v>56</v>
      </c>
      <c r="B57" t="s">
        <v>4</v>
      </c>
      <c r="C57" t="s">
        <v>9</v>
      </c>
      <c r="D57" t="s">
        <v>35</v>
      </c>
      <c r="E57">
        <v>66524</v>
      </c>
      <c r="F57">
        <f>VLOOKUP(C57&amp;"|"&amp;B57,rate_tables!$A$3:$B$8,2,FALSE)</f>
        <v>95</v>
      </c>
      <c r="G57">
        <f>VLOOKUP(C57&amp;"|"&amp;B57,rate_tables!$A$12:$B$17,2,FALSE)</f>
        <v>40</v>
      </c>
      <c r="H57">
        <f>VLOOKUP(C57&amp;"|"&amp;D57,rate_tables!$A$21:$B$28,2,FALSE)</f>
        <v>1E-3</v>
      </c>
      <c r="I57">
        <f>VLOOKUP(C57&amp;"|"&amp;D57,rate_tables!$A$32:$B$39,2,FALSE)</f>
        <v>2E-3</v>
      </c>
      <c r="J57">
        <f t="shared" si="0"/>
        <v>95</v>
      </c>
      <c r="K57">
        <f t="shared" si="1"/>
        <v>40</v>
      </c>
      <c r="L57">
        <f t="shared" si="2"/>
        <v>5.5436666666666667</v>
      </c>
      <c r="M57">
        <f t="shared" si="3"/>
        <v>11.087333333333333</v>
      </c>
      <c r="N57">
        <f t="shared" si="4"/>
        <v>151.631</v>
      </c>
    </row>
    <row r="58" spans="1:14" x14ac:dyDescent="0.45">
      <c r="A58">
        <v>57</v>
      </c>
      <c r="B58" t="s">
        <v>4</v>
      </c>
      <c r="C58" t="s">
        <v>8</v>
      </c>
      <c r="D58" t="s">
        <v>35</v>
      </c>
      <c r="E58">
        <v>76241</v>
      </c>
      <c r="F58">
        <f>VLOOKUP(C58&amp;"|"&amp;B58,rate_tables!$A$3:$B$8,2,FALSE)</f>
        <v>85</v>
      </c>
      <c r="G58">
        <f>VLOOKUP(C58&amp;"|"&amp;B58,rate_tables!$A$12:$B$17,2,FALSE)</f>
        <v>35</v>
      </c>
      <c r="H58">
        <f>VLOOKUP(C58&amp;"|"&amp;D58,rate_tables!$A$21:$B$28,2,FALSE)</f>
        <v>8.0000000000000004E-4</v>
      </c>
      <c r="I58">
        <f>VLOOKUP(C58&amp;"|"&amp;D58,rate_tables!$A$32:$B$39,2,FALSE)</f>
        <v>1.6000000000000001E-3</v>
      </c>
      <c r="J58">
        <f t="shared" si="0"/>
        <v>85</v>
      </c>
      <c r="K58">
        <f t="shared" si="1"/>
        <v>35</v>
      </c>
      <c r="L58">
        <f t="shared" si="2"/>
        <v>5.0827333333333335</v>
      </c>
      <c r="M58">
        <f t="shared" si="3"/>
        <v>10.165466666666667</v>
      </c>
      <c r="N58">
        <f t="shared" si="4"/>
        <v>135.2482</v>
      </c>
    </row>
    <row r="59" spans="1:14" x14ac:dyDescent="0.45">
      <c r="A59">
        <v>58</v>
      </c>
      <c r="B59" t="s">
        <v>6</v>
      </c>
      <c r="C59" t="s">
        <v>8</v>
      </c>
      <c r="D59" t="s">
        <v>36</v>
      </c>
      <c r="E59">
        <v>125657</v>
      </c>
      <c r="F59">
        <f>VLOOKUP(C59&amp;"|"&amp;B59,rate_tables!$A$3:$B$8,2,FALSE)</f>
        <v>88</v>
      </c>
      <c r="G59">
        <f>VLOOKUP(C59&amp;"|"&amp;B59,rate_tables!$A$12:$B$17,2,FALSE)</f>
        <v>36</v>
      </c>
      <c r="H59">
        <f>VLOOKUP(C59&amp;"|"&amp;D59,rate_tables!$A$21:$B$28,2,FALSE)</f>
        <v>1E-3</v>
      </c>
      <c r="I59">
        <f>VLOOKUP(C59&amp;"|"&amp;D59,rate_tables!$A$32:$B$39,2,FALSE)</f>
        <v>2E-3</v>
      </c>
      <c r="J59">
        <f t="shared" si="0"/>
        <v>88</v>
      </c>
      <c r="K59">
        <f t="shared" si="1"/>
        <v>36</v>
      </c>
      <c r="L59">
        <f t="shared" si="2"/>
        <v>10.471416666666666</v>
      </c>
      <c r="M59">
        <f t="shared" si="3"/>
        <v>20.942833333333333</v>
      </c>
      <c r="N59">
        <f t="shared" si="4"/>
        <v>155.41425000000001</v>
      </c>
    </row>
    <row r="60" spans="1:14" x14ac:dyDescent="0.45">
      <c r="A60">
        <v>59</v>
      </c>
      <c r="B60" t="s">
        <v>4</v>
      </c>
      <c r="C60" t="s">
        <v>9</v>
      </c>
      <c r="D60" t="s">
        <v>38</v>
      </c>
      <c r="E60">
        <v>79109</v>
      </c>
      <c r="F60">
        <f>VLOOKUP(C60&amp;"|"&amp;B60,rate_tables!$A$3:$B$8,2,FALSE)</f>
        <v>95</v>
      </c>
      <c r="G60">
        <f>VLOOKUP(C60&amp;"|"&amp;B60,rate_tables!$A$12:$B$17,2,FALSE)</f>
        <v>40</v>
      </c>
      <c r="H60">
        <f>VLOOKUP(C60&amp;"|"&amp;D60,rate_tables!$A$21:$B$28,2,FALSE)</f>
        <v>2.5999999999999999E-3</v>
      </c>
      <c r="I60">
        <f>VLOOKUP(C60&amp;"|"&amp;D60,rate_tables!$A$32:$B$39,2,FALSE)</f>
        <v>5.5999999999999999E-3</v>
      </c>
      <c r="J60">
        <f t="shared" si="0"/>
        <v>95</v>
      </c>
      <c r="K60">
        <f t="shared" si="1"/>
        <v>40</v>
      </c>
      <c r="L60">
        <f t="shared" si="2"/>
        <v>17.140283333333333</v>
      </c>
      <c r="M60">
        <f t="shared" si="3"/>
        <v>36.917533333333331</v>
      </c>
      <c r="N60">
        <f t="shared" si="4"/>
        <v>189.05781666666667</v>
      </c>
    </row>
    <row r="61" spans="1:14" x14ac:dyDescent="0.45">
      <c r="A61">
        <v>60</v>
      </c>
      <c r="B61" t="s">
        <v>4</v>
      </c>
      <c r="C61" t="s">
        <v>8</v>
      </c>
      <c r="D61" t="s">
        <v>37</v>
      </c>
      <c r="E61">
        <v>118103</v>
      </c>
      <c r="F61">
        <f>VLOOKUP(C61&amp;"|"&amp;B61,rate_tables!$A$3:$B$8,2,FALSE)</f>
        <v>85</v>
      </c>
      <c r="G61">
        <f>VLOOKUP(C61&amp;"|"&amp;B61,rate_tables!$A$12:$B$17,2,FALSE)</f>
        <v>35</v>
      </c>
      <c r="H61">
        <f>VLOOKUP(C61&amp;"|"&amp;D61,rate_tables!$A$21:$B$28,2,FALSE)</f>
        <v>1.4E-3</v>
      </c>
      <c r="I61">
        <f>VLOOKUP(C61&amp;"|"&amp;D61,rate_tables!$A$32:$B$39,2,FALSE)</f>
        <v>3.0000000000000001E-3</v>
      </c>
      <c r="J61">
        <f t="shared" si="0"/>
        <v>85</v>
      </c>
      <c r="K61">
        <f t="shared" si="1"/>
        <v>35</v>
      </c>
      <c r="L61">
        <f t="shared" si="2"/>
        <v>13.778683333333333</v>
      </c>
      <c r="M61">
        <f t="shared" si="3"/>
        <v>29.525750000000002</v>
      </c>
      <c r="N61">
        <f t="shared" si="4"/>
        <v>163.30443333333335</v>
      </c>
    </row>
    <row r="62" spans="1:14" x14ac:dyDescent="0.45">
      <c r="A62">
        <v>61</v>
      </c>
      <c r="B62" t="s">
        <v>4</v>
      </c>
      <c r="C62" t="s">
        <v>8</v>
      </c>
      <c r="D62" t="s">
        <v>37</v>
      </c>
      <c r="E62">
        <v>52242</v>
      </c>
      <c r="F62">
        <f>VLOOKUP(C62&amp;"|"&amp;B62,rate_tables!$A$3:$B$8,2,FALSE)</f>
        <v>85</v>
      </c>
      <c r="G62">
        <f>VLOOKUP(C62&amp;"|"&amp;B62,rate_tables!$A$12:$B$17,2,FALSE)</f>
        <v>35</v>
      </c>
      <c r="H62">
        <f>VLOOKUP(C62&amp;"|"&amp;D62,rate_tables!$A$21:$B$28,2,FALSE)</f>
        <v>1.4E-3</v>
      </c>
      <c r="I62">
        <f>VLOOKUP(C62&amp;"|"&amp;D62,rate_tables!$A$32:$B$39,2,FALSE)</f>
        <v>3.0000000000000001E-3</v>
      </c>
      <c r="J62">
        <f t="shared" si="0"/>
        <v>85</v>
      </c>
      <c r="K62">
        <f t="shared" si="1"/>
        <v>35</v>
      </c>
      <c r="L62">
        <f t="shared" si="2"/>
        <v>6.0949</v>
      </c>
      <c r="M62">
        <f t="shared" si="3"/>
        <v>13.060499999999999</v>
      </c>
      <c r="N62">
        <f t="shared" si="4"/>
        <v>139.15539999999999</v>
      </c>
    </row>
    <row r="63" spans="1:14" x14ac:dyDescent="0.45">
      <c r="A63">
        <v>62</v>
      </c>
      <c r="B63" t="s">
        <v>4</v>
      </c>
      <c r="C63" t="s">
        <v>8</v>
      </c>
      <c r="D63" t="s">
        <v>36</v>
      </c>
      <c r="E63">
        <v>97178</v>
      </c>
      <c r="F63">
        <f>VLOOKUP(C63&amp;"|"&amp;B63,rate_tables!$A$3:$B$8,2,FALSE)</f>
        <v>85</v>
      </c>
      <c r="G63">
        <f>VLOOKUP(C63&amp;"|"&amp;B63,rate_tables!$A$12:$B$17,2,FALSE)</f>
        <v>35</v>
      </c>
      <c r="H63">
        <f>VLOOKUP(C63&amp;"|"&amp;D63,rate_tables!$A$21:$B$28,2,FALSE)</f>
        <v>1E-3</v>
      </c>
      <c r="I63">
        <f>VLOOKUP(C63&amp;"|"&amp;D63,rate_tables!$A$32:$B$39,2,FALSE)</f>
        <v>2E-3</v>
      </c>
      <c r="J63">
        <f t="shared" si="0"/>
        <v>85</v>
      </c>
      <c r="K63">
        <f t="shared" si="1"/>
        <v>35</v>
      </c>
      <c r="L63">
        <f t="shared" si="2"/>
        <v>8.0981666666666658</v>
      </c>
      <c r="M63">
        <f t="shared" si="3"/>
        <v>16.196333333333332</v>
      </c>
      <c r="N63">
        <f t="shared" si="4"/>
        <v>144.2945</v>
      </c>
    </row>
    <row r="64" spans="1:14" x14ac:dyDescent="0.45">
      <c r="A64">
        <v>63</v>
      </c>
      <c r="B64" t="s">
        <v>5</v>
      </c>
      <c r="C64" t="s">
        <v>9</v>
      </c>
      <c r="D64" t="s">
        <v>38</v>
      </c>
      <c r="E64">
        <v>61822</v>
      </c>
      <c r="F64">
        <f>VLOOKUP(C64&amp;"|"&amp;B64,rate_tables!$A$3:$B$8,2,FALSE)</f>
        <v>100</v>
      </c>
      <c r="G64">
        <f>VLOOKUP(C64&amp;"|"&amp;B64,rate_tables!$A$12:$B$17,2,FALSE)</f>
        <v>42</v>
      </c>
      <c r="H64">
        <f>VLOOKUP(C64&amp;"|"&amp;D64,rate_tables!$A$21:$B$28,2,FALSE)</f>
        <v>2.5999999999999999E-3</v>
      </c>
      <c r="I64">
        <f>VLOOKUP(C64&amp;"|"&amp;D64,rate_tables!$A$32:$B$39,2,FALSE)</f>
        <v>5.5999999999999999E-3</v>
      </c>
      <c r="J64">
        <f t="shared" si="0"/>
        <v>100</v>
      </c>
      <c r="K64">
        <f t="shared" si="1"/>
        <v>42</v>
      </c>
      <c r="L64">
        <f t="shared" si="2"/>
        <v>13.394766666666667</v>
      </c>
      <c r="M64">
        <f t="shared" si="3"/>
        <v>28.850266666666666</v>
      </c>
      <c r="N64">
        <f t="shared" si="4"/>
        <v>184.24503333333334</v>
      </c>
    </row>
    <row r="65" spans="1:14" x14ac:dyDescent="0.45">
      <c r="A65">
        <v>64</v>
      </c>
      <c r="B65" t="s">
        <v>5</v>
      </c>
      <c r="C65" t="s">
        <v>8</v>
      </c>
      <c r="D65" t="s">
        <v>37</v>
      </c>
      <c r="E65">
        <v>105346</v>
      </c>
      <c r="F65">
        <f>VLOOKUP(C65&amp;"|"&amp;B65,rate_tables!$A$3:$B$8,2,FALSE)</f>
        <v>90</v>
      </c>
      <c r="G65">
        <f>VLOOKUP(C65&amp;"|"&amp;B65,rate_tables!$A$12:$B$17,2,FALSE)</f>
        <v>37</v>
      </c>
      <c r="H65">
        <f>VLOOKUP(C65&amp;"|"&amp;D65,rate_tables!$A$21:$B$28,2,FALSE)</f>
        <v>1.4E-3</v>
      </c>
      <c r="I65">
        <f>VLOOKUP(C65&amp;"|"&amp;D65,rate_tables!$A$32:$B$39,2,FALSE)</f>
        <v>3.0000000000000001E-3</v>
      </c>
      <c r="J65">
        <f t="shared" si="0"/>
        <v>90</v>
      </c>
      <c r="K65">
        <f t="shared" si="1"/>
        <v>37</v>
      </c>
      <c r="L65">
        <f t="shared" si="2"/>
        <v>12.290366666666666</v>
      </c>
      <c r="M65">
        <f t="shared" si="3"/>
        <v>26.336500000000001</v>
      </c>
      <c r="N65">
        <f t="shared" si="4"/>
        <v>165.62686666666667</v>
      </c>
    </row>
    <row r="66" spans="1:14" x14ac:dyDescent="0.45">
      <c r="A66">
        <v>65</v>
      </c>
      <c r="B66" t="s">
        <v>4</v>
      </c>
      <c r="C66" t="s">
        <v>8</v>
      </c>
      <c r="D66" t="s">
        <v>37</v>
      </c>
      <c r="E66">
        <v>104914</v>
      </c>
      <c r="F66">
        <f>VLOOKUP(C66&amp;"|"&amp;B66,rate_tables!$A$3:$B$8,2,FALSE)</f>
        <v>85</v>
      </c>
      <c r="G66">
        <f>VLOOKUP(C66&amp;"|"&amp;B66,rate_tables!$A$12:$B$17,2,FALSE)</f>
        <v>35</v>
      </c>
      <c r="H66">
        <f>VLOOKUP(C66&amp;"|"&amp;D66,rate_tables!$A$21:$B$28,2,FALSE)</f>
        <v>1.4E-3</v>
      </c>
      <c r="I66">
        <f>VLOOKUP(C66&amp;"|"&amp;D66,rate_tables!$A$32:$B$39,2,FALSE)</f>
        <v>3.0000000000000001E-3</v>
      </c>
      <c r="J66">
        <f t="shared" si="0"/>
        <v>85</v>
      </c>
      <c r="K66">
        <f t="shared" si="1"/>
        <v>35</v>
      </c>
      <c r="L66">
        <f t="shared" si="2"/>
        <v>12.239966666666668</v>
      </c>
      <c r="M66">
        <f t="shared" si="3"/>
        <v>26.2285</v>
      </c>
      <c r="N66">
        <f t="shared" si="4"/>
        <v>158.46846666666667</v>
      </c>
    </row>
    <row r="67" spans="1:14" x14ac:dyDescent="0.45">
      <c r="A67">
        <v>66</v>
      </c>
      <c r="B67" t="s">
        <v>5</v>
      </c>
      <c r="C67" t="s">
        <v>9</v>
      </c>
      <c r="D67" t="s">
        <v>36</v>
      </c>
      <c r="E67">
        <v>52895</v>
      </c>
      <c r="F67">
        <f>VLOOKUP(C67&amp;"|"&amp;B67,rate_tables!$A$3:$B$8,2,FALSE)</f>
        <v>100</v>
      </c>
      <c r="G67">
        <f>VLOOKUP(C67&amp;"|"&amp;B67,rate_tables!$A$12:$B$17,2,FALSE)</f>
        <v>42</v>
      </c>
      <c r="H67">
        <f>VLOOKUP(C67&amp;"|"&amp;D67,rate_tables!$A$21:$B$28,2,FALSE)</f>
        <v>1.2999999999999999E-3</v>
      </c>
      <c r="I67">
        <f>VLOOKUP(C67&amp;"|"&amp;D67,rate_tables!$A$32:$B$39,2,FALSE)</f>
        <v>2.5999999999999999E-3</v>
      </c>
      <c r="J67">
        <f t="shared" ref="J67:J130" si="5">F67</f>
        <v>100</v>
      </c>
      <c r="K67">
        <f t="shared" ref="K67:K130" si="6">G67</f>
        <v>42</v>
      </c>
      <c r="L67">
        <f t="shared" ref="L67:L130" si="7">H67*E67/12</f>
        <v>5.7302916666666661</v>
      </c>
      <c r="M67">
        <f t="shared" ref="M67:M130" si="8">I67*E67/12</f>
        <v>11.460583333333332</v>
      </c>
      <c r="N67">
        <f t="shared" ref="N67:N130" si="9">SUM(J67:M67)</f>
        <v>159.19087500000001</v>
      </c>
    </row>
    <row r="68" spans="1:14" x14ac:dyDescent="0.45">
      <c r="A68">
        <v>67</v>
      </c>
      <c r="B68" t="s">
        <v>5</v>
      </c>
      <c r="C68" t="s">
        <v>8</v>
      </c>
      <c r="D68" t="s">
        <v>36</v>
      </c>
      <c r="E68">
        <v>83249</v>
      </c>
      <c r="F68">
        <f>VLOOKUP(C68&amp;"|"&amp;B68,rate_tables!$A$3:$B$8,2,FALSE)</f>
        <v>90</v>
      </c>
      <c r="G68">
        <f>VLOOKUP(C68&amp;"|"&amp;B68,rate_tables!$A$12:$B$17,2,FALSE)</f>
        <v>37</v>
      </c>
      <c r="H68">
        <f>VLOOKUP(C68&amp;"|"&amp;D68,rate_tables!$A$21:$B$28,2,FALSE)</f>
        <v>1E-3</v>
      </c>
      <c r="I68">
        <f>VLOOKUP(C68&amp;"|"&amp;D68,rate_tables!$A$32:$B$39,2,FALSE)</f>
        <v>2E-3</v>
      </c>
      <c r="J68">
        <f t="shared" si="5"/>
        <v>90</v>
      </c>
      <c r="K68">
        <f t="shared" si="6"/>
        <v>37</v>
      </c>
      <c r="L68">
        <f t="shared" si="7"/>
        <v>6.9374166666666666</v>
      </c>
      <c r="M68">
        <f t="shared" si="8"/>
        <v>13.874833333333333</v>
      </c>
      <c r="N68">
        <f t="shared" si="9"/>
        <v>147.81225000000001</v>
      </c>
    </row>
    <row r="69" spans="1:14" x14ac:dyDescent="0.45">
      <c r="A69">
        <v>68</v>
      </c>
      <c r="B69" t="s">
        <v>5</v>
      </c>
      <c r="C69" t="s">
        <v>8</v>
      </c>
      <c r="D69" t="s">
        <v>37</v>
      </c>
      <c r="E69">
        <v>62870</v>
      </c>
      <c r="F69">
        <f>VLOOKUP(C69&amp;"|"&amp;B69,rate_tables!$A$3:$B$8,2,FALSE)</f>
        <v>90</v>
      </c>
      <c r="G69">
        <f>VLOOKUP(C69&amp;"|"&amp;B69,rate_tables!$A$12:$B$17,2,FALSE)</f>
        <v>37</v>
      </c>
      <c r="H69">
        <f>VLOOKUP(C69&amp;"|"&amp;D69,rate_tables!$A$21:$B$28,2,FALSE)</f>
        <v>1.4E-3</v>
      </c>
      <c r="I69">
        <f>VLOOKUP(C69&amp;"|"&amp;D69,rate_tables!$A$32:$B$39,2,FALSE)</f>
        <v>3.0000000000000001E-3</v>
      </c>
      <c r="J69">
        <f t="shared" si="5"/>
        <v>90</v>
      </c>
      <c r="K69">
        <f t="shared" si="6"/>
        <v>37</v>
      </c>
      <c r="L69">
        <f t="shared" si="7"/>
        <v>7.3348333333333331</v>
      </c>
      <c r="M69">
        <f t="shared" si="8"/>
        <v>15.717500000000001</v>
      </c>
      <c r="N69">
        <f t="shared" si="9"/>
        <v>150.05233333333334</v>
      </c>
    </row>
    <row r="70" spans="1:14" x14ac:dyDescent="0.45">
      <c r="A70">
        <v>69</v>
      </c>
      <c r="B70" t="s">
        <v>6</v>
      </c>
      <c r="C70" t="s">
        <v>8</v>
      </c>
      <c r="D70" t="s">
        <v>37</v>
      </c>
      <c r="E70">
        <v>94466</v>
      </c>
      <c r="F70">
        <f>VLOOKUP(C70&amp;"|"&amp;B70,rate_tables!$A$3:$B$8,2,FALSE)</f>
        <v>88</v>
      </c>
      <c r="G70">
        <f>VLOOKUP(C70&amp;"|"&amp;B70,rate_tables!$A$12:$B$17,2,FALSE)</f>
        <v>36</v>
      </c>
      <c r="H70">
        <f>VLOOKUP(C70&amp;"|"&amp;D70,rate_tables!$A$21:$B$28,2,FALSE)</f>
        <v>1.4E-3</v>
      </c>
      <c r="I70">
        <f>VLOOKUP(C70&amp;"|"&amp;D70,rate_tables!$A$32:$B$39,2,FALSE)</f>
        <v>3.0000000000000001E-3</v>
      </c>
      <c r="J70">
        <f t="shared" si="5"/>
        <v>88</v>
      </c>
      <c r="K70">
        <f t="shared" si="6"/>
        <v>36</v>
      </c>
      <c r="L70">
        <f t="shared" si="7"/>
        <v>11.021033333333333</v>
      </c>
      <c r="M70">
        <f t="shared" si="8"/>
        <v>23.616500000000002</v>
      </c>
      <c r="N70">
        <f t="shared" si="9"/>
        <v>158.63753333333332</v>
      </c>
    </row>
    <row r="71" spans="1:14" x14ac:dyDescent="0.45">
      <c r="A71">
        <v>70</v>
      </c>
      <c r="B71" t="s">
        <v>4</v>
      </c>
      <c r="C71" t="s">
        <v>9</v>
      </c>
      <c r="D71" t="s">
        <v>35</v>
      </c>
      <c r="E71">
        <v>61360</v>
      </c>
      <c r="F71">
        <f>VLOOKUP(C71&amp;"|"&amp;B71,rate_tables!$A$3:$B$8,2,FALSE)</f>
        <v>95</v>
      </c>
      <c r="G71">
        <f>VLOOKUP(C71&amp;"|"&amp;B71,rate_tables!$A$12:$B$17,2,FALSE)</f>
        <v>40</v>
      </c>
      <c r="H71">
        <f>VLOOKUP(C71&amp;"|"&amp;D71,rate_tables!$A$21:$B$28,2,FALSE)</f>
        <v>1E-3</v>
      </c>
      <c r="I71">
        <f>VLOOKUP(C71&amp;"|"&amp;D71,rate_tables!$A$32:$B$39,2,FALSE)</f>
        <v>2E-3</v>
      </c>
      <c r="J71">
        <f t="shared" si="5"/>
        <v>95</v>
      </c>
      <c r="K71">
        <f t="shared" si="6"/>
        <v>40</v>
      </c>
      <c r="L71">
        <f t="shared" si="7"/>
        <v>5.1133333333333333</v>
      </c>
      <c r="M71">
        <f t="shared" si="8"/>
        <v>10.226666666666667</v>
      </c>
      <c r="N71">
        <f t="shared" si="9"/>
        <v>150.34</v>
      </c>
    </row>
    <row r="72" spans="1:14" x14ac:dyDescent="0.45">
      <c r="A72">
        <v>71</v>
      </c>
      <c r="B72" t="s">
        <v>4</v>
      </c>
      <c r="C72" t="s">
        <v>9</v>
      </c>
      <c r="D72" t="s">
        <v>38</v>
      </c>
      <c r="E72">
        <v>71839</v>
      </c>
      <c r="F72">
        <f>VLOOKUP(C72&amp;"|"&amp;B72,rate_tables!$A$3:$B$8,2,FALSE)</f>
        <v>95</v>
      </c>
      <c r="G72">
        <f>VLOOKUP(C72&amp;"|"&amp;B72,rate_tables!$A$12:$B$17,2,FALSE)</f>
        <v>40</v>
      </c>
      <c r="H72">
        <f>VLOOKUP(C72&amp;"|"&amp;D72,rate_tables!$A$21:$B$28,2,FALSE)</f>
        <v>2.5999999999999999E-3</v>
      </c>
      <c r="I72">
        <f>VLOOKUP(C72&amp;"|"&amp;D72,rate_tables!$A$32:$B$39,2,FALSE)</f>
        <v>5.5999999999999999E-3</v>
      </c>
      <c r="J72">
        <f t="shared" si="5"/>
        <v>95</v>
      </c>
      <c r="K72">
        <f t="shared" si="6"/>
        <v>40</v>
      </c>
      <c r="L72">
        <f t="shared" si="7"/>
        <v>15.565116666666666</v>
      </c>
      <c r="M72">
        <f t="shared" si="8"/>
        <v>33.524866666666668</v>
      </c>
      <c r="N72">
        <f t="shared" si="9"/>
        <v>184.08998333333332</v>
      </c>
    </row>
    <row r="73" spans="1:14" x14ac:dyDescent="0.45">
      <c r="A73">
        <v>72</v>
      </c>
      <c r="B73" t="s">
        <v>4</v>
      </c>
      <c r="C73" t="s">
        <v>8</v>
      </c>
      <c r="D73" t="s">
        <v>37</v>
      </c>
      <c r="E73">
        <v>128067</v>
      </c>
      <c r="F73">
        <f>VLOOKUP(C73&amp;"|"&amp;B73,rate_tables!$A$3:$B$8,2,FALSE)</f>
        <v>85</v>
      </c>
      <c r="G73">
        <f>VLOOKUP(C73&amp;"|"&amp;B73,rate_tables!$A$12:$B$17,2,FALSE)</f>
        <v>35</v>
      </c>
      <c r="H73">
        <f>VLOOKUP(C73&amp;"|"&amp;D73,rate_tables!$A$21:$B$28,2,FALSE)</f>
        <v>1.4E-3</v>
      </c>
      <c r="I73">
        <f>VLOOKUP(C73&amp;"|"&amp;D73,rate_tables!$A$32:$B$39,2,FALSE)</f>
        <v>3.0000000000000001E-3</v>
      </c>
      <c r="J73">
        <f t="shared" si="5"/>
        <v>85</v>
      </c>
      <c r="K73">
        <f t="shared" si="6"/>
        <v>35</v>
      </c>
      <c r="L73">
        <f t="shared" si="7"/>
        <v>14.94115</v>
      </c>
      <c r="M73">
        <f t="shared" si="8"/>
        <v>32.016750000000002</v>
      </c>
      <c r="N73">
        <f t="shared" si="9"/>
        <v>166.9579</v>
      </c>
    </row>
    <row r="74" spans="1:14" x14ac:dyDescent="0.45">
      <c r="A74">
        <v>73</v>
      </c>
      <c r="B74" t="s">
        <v>4</v>
      </c>
      <c r="C74" t="s">
        <v>9</v>
      </c>
      <c r="D74" t="s">
        <v>35</v>
      </c>
      <c r="E74">
        <v>75256</v>
      </c>
      <c r="F74">
        <f>VLOOKUP(C74&amp;"|"&amp;B74,rate_tables!$A$3:$B$8,2,FALSE)</f>
        <v>95</v>
      </c>
      <c r="G74">
        <f>VLOOKUP(C74&amp;"|"&amp;B74,rate_tables!$A$12:$B$17,2,FALSE)</f>
        <v>40</v>
      </c>
      <c r="H74">
        <f>VLOOKUP(C74&amp;"|"&amp;D74,rate_tables!$A$21:$B$28,2,FALSE)</f>
        <v>1E-3</v>
      </c>
      <c r="I74">
        <f>VLOOKUP(C74&amp;"|"&amp;D74,rate_tables!$A$32:$B$39,2,FALSE)</f>
        <v>2E-3</v>
      </c>
      <c r="J74">
        <f t="shared" si="5"/>
        <v>95</v>
      </c>
      <c r="K74">
        <f t="shared" si="6"/>
        <v>40</v>
      </c>
      <c r="L74">
        <f t="shared" si="7"/>
        <v>6.2713333333333336</v>
      </c>
      <c r="M74">
        <f t="shared" si="8"/>
        <v>12.542666666666667</v>
      </c>
      <c r="N74">
        <f t="shared" si="9"/>
        <v>153.81399999999999</v>
      </c>
    </row>
    <row r="75" spans="1:14" x14ac:dyDescent="0.45">
      <c r="A75">
        <v>74</v>
      </c>
      <c r="B75" t="s">
        <v>4</v>
      </c>
      <c r="C75" t="s">
        <v>8</v>
      </c>
      <c r="D75" t="s">
        <v>37</v>
      </c>
      <c r="E75">
        <v>64201</v>
      </c>
      <c r="F75">
        <f>VLOOKUP(C75&amp;"|"&amp;B75,rate_tables!$A$3:$B$8,2,FALSE)</f>
        <v>85</v>
      </c>
      <c r="G75">
        <f>VLOOKUP(C75&amp;"|"&amp;B75,rate_tables!$A$12:$B$17,2,FALSE)</f>
        <v>35</v>
      </c>
      <c r="H75">
        <f>VLOOKUP(C75&amp;"|"&amp;D75,rate_tables!$A$21:$B$28,2,FALSE)</f>
        <v>1.4E-3</v>
      </c>
      <c r="I75">
        <f>VLOOKUP(C75&amp;"|"&amp;D75,rate_tables!$A$32:$B$39,2,FALSE)</f>
        <v>3.0000000000000001E-3</v>
      </c>
      <c r="J75">
        <f t="shared" si="5"/>
        <v>85</v>
      </c>
      <c r="K75">
        <f t="shared" si="6"/>
        <v>35</v>
      </c>
      <c r="L75">
        <f t="shared" si="7"/>
        <v>7.4901166666666663</v>
      </c>
      <c r="M75">
        <f t="shared" si="8"/>
        <v>16.050250000000002</v>
      </c>
      <c r="N75">
        <f t="shared" si="9"/>
        <v>143.54036666666667</v>
      </c>
    </row>
    <row r="76" spans="1:14" x14ac:dyDescent="0.45">
      <c r="A76">
        <v>75</v>
      </c>
      <c r="B76" t="s">
        <v>5</v>
      </c>
      <c r="C76" t="s">
        <v>8</v>
      </c>
      <c r="D76" t="s">
        <v>37</v>
      </c>
      <c r="E76">
        <v>120183</v>
      </c>
      <c r="F76">
        <f>VLOOKUP(C76&amp;"|"&amp;B76,rate_tables!$A$3:$B$8,2,FALSE)</f>
        <v>90</v>
      </c>
      <c r="G76">
        <f>VLOOKUP(C76&amp;"|"&amp;B76,rate_tables!$A$12:$B$17,2,FALSE)</f>
        <v>37</v>
      </c>
      <c r="H76">
        <f>VLOOKUP(C76&amp;"|"&amp;D76,rate_tables!$A$21:$B$28,2,FALSE)</f>
        <v>1.4E-3</v>
      </c>
      <c r="I76">
        <f>VLOOKUP(C76&amp;"|"&amp;D76,rate_tables!$A$32:$B$39,2,FALSE)</f>
        <v>3.0000000000000001E-3</v>
      </c>
      <c r="J76">
        <f t="shared" si="5"/>
        <v>90</v>
      </c>
      <c r="K76">
        <f t="shared" si="6"/>
        <v>37</v>
      </c>
      <c r="L76">
        <f t="shared" si="7"/>
        <v>14.02135</v>
      </c>
      <c r="M76">
        <f t="shared" si="8"/>
        <v>30.045750000000002</v>
      </c>
      <c r="N76">
        <f t="shared" si="9"/>
        <v>171.06710000000001</v>
      </c>
    </row>
    <row r="77" spans="1:14" x14ac:dyDescent="0.45">
      <c r="A77">
        <v>76</v>
      </c>
      <c r="B77" t="s">
        <v>5</v>
      </c>
      <c r="C77" t="s">
        <v>8</v>
      </c>
      <c r="D77" t="s">
        <v>35</v>
      </c>
      <c r="E77">
        <v>88263</v>
      </c>
      <c r="F77">
        <f>VLOOKUP(C77&amp;"|"&amp;B77,rate_tables!$A$3:$B$8,2,FALSE)</f>
        <v>90</v>
      </c>
      <c r="G77">
        <f>VLOOKUP(C77&amp;"|"&amp;B77,rate_tables!$A$12:$B$17,2,FALSE)</f>
        <v>37</v>
      </c>
      <c r="H77">
        <f>VLOOKUP(C77&amp;"|"&amp;D77,rate_tables!$A$21:$B$28,2,FALSE)</f>
        <v>8.0000000000000004E-4</v>
      </c>
      <c r="I77">
        <f>VLOOKUP(C77&amp;"|"&amp;D77,rate_tables!$A$32:$B$39,2,FALSE)</f>
        <v>1.6000000000000001E-3</v>
      </c>
      <c r="J77">
        <f t="shared" si="5"/>
        <v>90</v>
      </c>
      <c r="K77">
        <f t="shared" si="6"/>
        <v>37</v>
      </c>
      <c r="L77">
        <f t="shared" si="7"/>
        <v>5.8841999999999999</v>
      </c>
      <c r="M77">
        <f t="shared" si="8"/>
        <v>11.7684</v>
      </c>
      <c r="N77">
        <f t="shared" si="9"/>
        <v>144.65260000000001</v>
      </c>
    </row>
    <row r="78" spans="1:14" x14ac:dyDescent="0.45">
      <c r="A78">
        <v>77</v>
      </c>
      <c r="B78" t="s">
        <v>5</v>
      </c>
      <c r="C78" t="s">
        <v>8</v>
      </c>
      <c r="D78" t="s">
        <v>37</v>
      </c>
      <c r="E78">
        <v>97762</v>
      </c>
      <c r="F78">
        <f>VLOOKUP(C78&amp;"|"&amp;B78,rate_tables!$A$3:$B$8,2,FALSE)</f>
        <v>90</v>
      </c>
      <c r="G78">
        <f>VLOOKUP(C78&amp;"|"&amp;B78,rate_tables!$A$12:$B$17,2,FALSE)</f>
        <v>37</v>
      </c>
      <c r="H78">
        <f>VLOOKUP(C78&amp;"|"&amp;D78,rate_tables!$A$21:$B$28,2,FALSE)</f>
        <v>1.4E-3</v>
      </c>
      <c r="I78">
        <f>VLOOKUP(C78&amp;"|"&amp;D78,rate_tables!$A$32:$B$39,2,FALSE)</f>
        <v>3.0000000000000001E-3</v>
      </c>
      <c r="J78">
        <f t="shared" si="5"/>
        <v>90</v>
      </c>
      <c r="K78">
        <f t="shared" si="6"/>
        <v>37</v>
      </c>
      <c r="L78">
        <f t="shared" si="7"/>
        <v>11.405566666666667</v>
      </c>
      <c r="M78">
        <f t="shared" si="8"/>
        <v>24.4405</v>
      </c>
      <c r="N78">
        <f t="shared" si="9"/>
        <v>162.84606666666667</v>
      </c>
    </row>
    <row r="79" spans="1:14" x14ac:dyDescent="0.45">
      <c r="A79">
        <v>78</v>
      </c>
      <c r="B79" t="s">
        <v>4</v>
      </c>
      <c r="C79" t="s">
        <v>8</v>
      </c>
      <c r="D79" t="s">
        <v>36</v>
      </c>
      <c r="E79">
        <v>103086</v>
      </c>
      <c r="F79">
        <f>VLOOKUP(C79&amp;"|"&amp;B79,rate_tables!$A$3:$B$8,2,FALSE)</f>
        <v>85</v>
      </c>
      <c r="G79">
        <f>VLOOKUP(C79&amp;"|"&amp;B79,rate_tables!$A$12:$B$17,2,FALSE)</f>
        <v>35</v>
      </c>
      <c r="H79">
        <f>VLOOKUP(C79&amp;"|"&amp;D79,rate_tables!$A$21:$B$28,2,FALSE)</f>
        <v>1E-3</v>
      </c>
      <c r="I79">
        <f>VLOOKUP(C79&amp;"|"&amp;D79,rate_tables!$A$32:$B$39,2,FALSE)</f>
        <v>2E-3</v>
      </c>
      <c r="J79">
        <f t="shared" si="5"/>
        <v>85</v>
      </c>
      <c r="K79">
        <f t="shared" si="6"/>
        <v>35</v>
      </c>
      <c r="L79">
        <f t="shared" si="7"/>
        <v>8.5905000000000005</v>
      </c>
      <c r="M79">
        <f t="shared" si="8"/>
        <v>17.181000000000001</v>
      </c>
      <c r="N79">
        <f t="shared" si="9"/>
        <v>145.7715</v>
      </c>
    </row>
    <row r="80" spans="1:14" x14ac:dyDescent="0.45">
      <c r="A80">
        <v>79</v>
      </c>
      <c r="B80" t="s">
        <v>6</v>
      </c>
      <c r="C80" t="s">
        <v>9</v>
      </c>
      <c r="D80" t="s">
        <v>36</v>
      </c>
      <c r="E80">
        <v>72117</v>
      </c>
      <c r="F80">
        <f>VLOOKUP(C80&amp;"|"&amp;B80,rate_tables!$A$3:$B$8,2,FALSE)</f>
        <v>98</v>
      </c>
      <c r="G80">
        <f>VLOOKUP(C80&amp;"|"&amp;B80,rate_tables!$A$12:$B$17,2,FALSE)</f>
        <v>41</v>
      </c>
      <c r="H80">
        <f>VLOOKUP(C80&amp;"|"&amp;D80,rate_tables!$A$21:$B$28,2,FALSE)</f>
        <v>1.2999999999999999E-3</v>
      </c>
      <c r="I80">
        <f>VLOOKUP(C80&amp;"|"&amp;D80,rate_tables!$A$32:$B$39,2,FALSE)</f>
        <v>2.5999999999999999E-3</v>
      </c>
      <c r="J80">
        <f t="shared" si="5"/>
        <v>98</v>
      </c>
      <c r="K80">
        <f t="shared" si="6"/>
        <v>41</v>
      </c>
      <c r="L80">
        <f t="shared" si="7"/>
        <v>7.8126749999999996</v>
      </c>
      <c r="M80">
        <f t="shared" si="8"/>
        <v>15.625349999999999</v>
      </c>
      <c r="N80">
        <f t="shared" si="9"/>
        <v>162.43802500000001</v>
      </c>
    </row>
    <row r="81" spans="1:14" x14ac:dyDescent="0.45">
      <c r="A81">
        <v>80</v>
      </c>
      <c r="B81" t="s">
        <v>5</v>
      </c>
      <c r="C81" t="s">
        <v>8</v>
      </c>
      <c r="D81" t="s">
        <v>37</v>
      </c>
      <c r="E81">
        <v>128199</v>
      </c>
      <c r="F81">
        <f>VLOOKUP(C81&amp;"|"&amp;B81,rate_tables!$A$3:$B$8,2,FALSE)</f>
        <v>90</v>
      </c>
      <c r="G81">
        <f>VLOOKUP(C81&amp;"|"&amp;B81,rate_tables!$A$12:$B$17,2,FALSE)</f>
        <v>37</v>
      </c>
      <c r="H81">
        <f>VLOOKUP(C81&amp;"|"&amp;D81,rate_tables!$A$21:$B$28,2,FALSE)</f>
        <v>1.4E-3</v>
      </c>
      <c r="I81">
        <f>VLOOKUP(C81&amp;"|"&amp;D81,rate_tables!$A$32:$B$39,2,FALSE)</f>
        <v>3.0000000000000001E-3</v>
      </c>
      <c r="J81">
        <f t="shared" si="5"/>
        <v>90</v>
      </c>
      <c r="K81">
        <f t="shared" si="6"/>
        <v>37</v>
      </c>
      <c r="L81">
        <f t="shared" si="7"/>
        <v>14.95655</v>
      </c>
      <c r="M81">
        <f t="shared" si="8"/>
        <v>32.049749999999996</v>
      </c>
      <c r="N81">
        <f t="shared" si="9"/>
        <v>174.00629999999998</v>
      </c>
    </row>
    <row r="82" spans="1:14" x14ac:dyDescent="0.45">
      <c r="A82">
        <v>81</v>
      </c>
      <c r="B82" t="s">
        <v>4</v>
      </c>
      <c r="C82" t="s">
        <v>8</v>
      </c>
      <c r="D82" t="s">
        <v>38</v>
      </c>
      <c r="E82">
        <v>61789</v>
      </c>
      <c r="F82">
        <f>VLOOKUP(C82&amp;"|"&amp;B82,rate_tables!$A$3:$B$8,2,FALSE)</f>
        <v>85</v>
      </c>
      <c r="G82">
        <f>VLOOKUP(C82&amp;"|"&amp;B82,rate_tables!$A$12:$B$17,2,FALSE)</f>
        <v>35</v>
      </c>
      <c r="H82">
        <f>VLOOKUP(C82&amp;"|"&amp;D82,rate_tables!$A$21:$B$28,2,FALSE)</f>
        <v>2E-3</v>
      </c>
      <c r="I82">
        <f>VLOOKUP(C82&amp;"|"&amp;D82,rate_tables!$A$32:$B$39,2,FALSE)</f>
        <v>4.4000000000000003E-3</v>
      </c>
      <c r="J82">
        <f t="shared" si="5"/>
        <v>85</v>
      </c>
      <c r="K82">
        <f t="shared" si="6"/>
        <v>35</v>
      </c>
      <c r="L82">
        <f t="shared" si="7"/>
        <v>10.298166666666667</v>
      </c>
      <c r="M82">
        <f t="shared" si="8"/>
        <v>22.655966666666668</v>
      </c>
      <c r="N82">
        <f t="shared" si="9"/>
        <v>152.95413333333335</v>
      </c>
    </row>
    <row r="83" spans="1:14" x14ac:dyDescent="0.45">
      <c r="A83">
        <v>82</v>
      </c>
      <c r="B83" t="s">
        <v>4</v>
      </c>
      <c r="C83" t="s">
        <v>9</v>
      </c>
      <c r="D83" t="s">
        <v>36</v>
      </c>
      <c r="E83">
        <v>59731</v>
      </c>
      <c r="F83">
        <f>VLOOKUP(C83&amp;"|"&amp;B83,rate_tables!$A$3:$B$8,2,FALSE)</f>
        <v>95</v>
      </c>
      <c r="G83">
        <f>VLOOKUP(C83&amp;"|"&amp;B83,rate_tables!$A$12:$B$17,2,FALSE)</f>
        <v>40</v>
      </c>
      <c r="H83">
        <f>VLOOKUP(C83&amp;"|"&amp;D83,rate_tables!$A$21:$B$28,2,FALSE)</f>
        <v>1.2999999999999999E-3</v>
      </c>
      <c r="I83">
        <f>VLOOKUP(C83&amp;"|"&amp;D83,rate_tables!$A$32:$B$39,2,FALSE)</f>
        <v>2.5999999999999999E-3</v>
      </c>
      <c r="J83">
        <f t="shared" si="5"/>
        <v>95</v>
      </c>
      <c r="K83">
        <f t="shared" si="6"/>
        <v>40</v>
      </c>
      <c r="L83">
        <f t="shared" si="7"/>
        <v>6.4708583333333332</v>
      </c>
      <c r="M83">
        <f t="shared" si="8"/>
        <v>12.941716666666666</v>
      </c>
      <c r="N83">
        <f t="shared" si="9"/>
        <v>154.412575</v>
      </c>
    </row>
    <row r="84" spans="1:14" x14ac:dyDescent="0.45">
      <c r="A84">
        <v>83</v>
      </c>
      <c r="B84" t="s">
        <v>6</v>
      </c>
      <c r="C84" t="s">
        <v>8</v>
      </c>
      <c r="D84" t="s">
        <v>37</v>
      </c>
      <c r="E84">
        <v>76337</v>
      </c>
      <c r="F84">
        <f>VLOOKUP(C84&amp;"|"&amp;B84,rate_tables!$A$3:$B$8,2,FALSE)</f>
        <v>88</v>
      </c>
      <c r="G84">
        <f>VLOOKUP(C84&amp;"|"&amp;B84,rate_tables!$A$12:$B$17,2,FALSE)</f>
        <v>36</v>
      </c>
      <c r="H84">
        <f>VLOOKUP(C84&amp;"|"&amp;D84,rate_tables!$A$21:$B$28,2,FALSE)</f>
        <v>1.4E-3</v>
      </c>
      <c r="I84">
        <f>VLOOKUP(C84&amp;"|"&amp;D84,rate_tables!$A$32:$B$39,2,FALSE)</f>
        <v>3.0000000000000001E-3</v>
      </c>
      <c r="J84">
        <f t="shared" si="5"/>
        <v>88</v>
      </c>
      <c r="K84">
        <f t="shared" si="6"/>
        <v>36</v>
      </c>
      <c r="L84">
        <f t="shared" si="7"/>
        <v>8.9059833333333334</v>
      </c>
      <c r="M84">
        <f t="shared" si="8"/>
        <v>19.084250000000001</v>
      </c>
      <c r="N84">
        <f t="shared" si="9"/>
        <v>151.99023333333332</v>
      </c>
    </row>
    <row r="85" spans="1:14" x14ac:dyDescent="0.45">
      <c r="A85">
        <v>84</v>
      </c>
      <c r="B85" t="s">
        <v>6</v>
      </c>
      <c r="C85" t="s">
        <v>9</v>
      </c>
      <c r="D85" t="s">
        <v>37</v>
      </c>
      <c r="E85">
        <v>73862</v>
      </c>
      <c r="F85">
        <f>VLOOKUP(C85&amp;"|"&amp;B85,rate_tables!$A$3:$B$8,2,FALSE)</f>
        <v>98</v>
      </c>
      <c r="G85">
        <f>VLOOKUP(C85&amp;"|"&amp;B85,rate_tables!$A$12:$B$17,2,FALSE)</f>
        <v>41</v>
      </c>
      <c r="H85">
        <f>VLOOKUP(C85&amp;"|"&amp;D85,rate_tables!$A$21:$B$28,2,FALSE)</f>
        <v>1.8E-3</v>
      </c>
      <c r="I85">
        <f>VLOOKUP(C85&amp;"|"&amp;D85,rate_tables!$A$32:$B$39,2,FALSE)</f>
        <v>3.8E-3</v>
      </c>
      <c r="J85">
        <f t="shared" si="5"/>
        <v>98</v>
      </c>
      <c r="K85">
        <f t="shared" si="6"/>
        <v>41</v>
      </c>
      <c r="L85">
        <f t="shared" si="7"/>
        <v>11.079299999999998</v>
      </c>
      <c r="M85">
        <f t="shared" si="8"/>
        <v>23.389633333333332</v>
      </c>
      <c r="N85">
        <f t="shared" si="9"/>
        <v>173.46893333333333</v>
      </c>
    </row>
    <row r="86" spans="1:14" x14ac:dyDescent="0.45">
      <c r="A86">
        <v>85</v>
      </c>
      <c r="B86" t="s">
        <v>5</v>
      </c>
      <c r="C86" t="s">
        <v>8</v>
      </c>
      <c r="D86" t="s">
        <v>35</v>
      </c>
      <c r="E86">
        <v>126443</v>
      </c>
      <c r="F86">
        <f>VLOOKUP(C86&amp;"|"&amp;B86,rate_tables!$A$3:$B$8,2,FALSE)</f>
        <v>90</v>
      </c>
      <c r="G86">
        <f>VLOOKUP(C86&amp;"|"&amp;B86,rate_tables!$A$12:$B$17,2,FALSE)</f>
        <v>37</v>
      </c>
      <c r="H86">
        <f>VLOOKUP(C86&amp;"|"&amp;D86,rate_tables!$A$21:$B$28,2,FALSE)</f>
        <v>8.0000000000000004E-4</v>
      </c>
      <c r="I86">
        <f>VLOOKUP(C86&amp;"|"&amp;D86,rate_tables!$A$32:$B$39,2,FALSE)</f>
        <v>1.6000000000000001E-3</v>
      </c>
      <c r="J86">
        <f t="shared" si="5"/>
        <v>90</v>
      </c>
      <c r="K86">
        <f t="shared" si="6"/>
        <v>37</v>
      </c>
      <c r="L86">
        <f t="shared" si="7"/>
        <v>8.4295333333333335</v>
      </c>
      <c r="M86">
        <f t="shared" si="8"/>
        <v>16.859066666666667</v>
      </c>
      <c r="N86">
        <f t="shared" si="9"/>
        <v>152.2886</v>
      </c>
    </row>
    <row r="87" spans="1:14" x14ac:dyDescent="0.45">
      <c r="A87">
        <v>86</v>
      </c>
      <c r="B87" t="s">
        <v>5</v>
      </c>
      <c r="C87" t="s">
        <v>9</v>
      </c>
      <c r="D87" t="s">
        <v>35</v>
      </c>
      <c r="E87">
        <v>66908</v>
      </c>
      <c r="F87">
        <f>VLOOKUP(C87&amp;"|"&amp;B87,rate_tables!$A$3:$B$8,2,FALSE)</f>
        <v>100</v>
      </c>
      <c r="G87">
        <f>VLOOKUP(C87&amp;"|"&amp;B87,rate_tables!$A$12:$B$17,2,FALSE)</f>
        <v>42</v>
      </c>
      <c r="H87">
        <f>VLOOKUP(C87&amp;"|"&amp;D87,rate_tables!$A$21:$B$28,2,FALSE)</f>
        <v>1E-3</v>
      </c>
      <c r="I87">
        <f>VLOOKUP(C87&amp;"|"&amp;D87,rate_tables!$A$32:$B$39,2,FALSE)</f>
        <v>2E-3</v>
      </c>
      <c r="J87">
        <f t="shared" si="5"/>
        <v>100</v>
      </c>
      <c r="K87">
        <f t="shared" si="6"/>
        <v>42</v>
      </c>
      <c r="L87">
        <f t="shared" si="7"/>
        <v>5.5756666666666668</v>
      </c>
      <c r="M87">
        <f t="shared" si="8"/>
        <v>11.151333333333334</v>
      </c>
      <c r="N87">
        <f t="shared" si="9"/>
        <v>158.727</v>
      </c>
    </row>
    <row r="88" spans="1:14" x14ac:dyDescent="0.45">
      <c r="A88">
        <v>87</v>
      </c>
      <c r="B88" t="s">
        <v>4</v>
      </c>
      <c r="C88" t="s">
        <v>9</v>
      </c>
      <c r="D88" t="s">
        <v>35</v>
      </c>
      <c r="E88">
        <v>66078</v>
      </c>
      <c r="F88">
        <f>VLOOKUP(C88&amp;"|"&amp;B88,rate_tables!$A$3:$B$8,2,FALSE)</f>
        <v>95</v>
      </c>
      <c r="G88">
        <f>VLOOKUP(C88&amp;"|"&amp;B88,rate_tables!$A$12:$B$17,2,FALSE)</f>
        <v>40</v>
      </c>
      <c r="H88">
        <f>VLOOKUP(C88&amp;"|"&amp;D88,rate_tables!$A$21:$B$28,2,FALSE)</f>
        <v>1E-3</v>
      </c>
      <c r="I88">
        <f>VLOOKUP(C88&amp;"|"&amp;D88,rate_tables!$A$32:$B$39,2,FALSE)</f>
        <v>2E-3</v>
      </c>
      <c r="J88">
        <f t="shared" si="5"/>
        <v>95</v>
      </c>
      <c r="K88">
        <f t="shared" si="6"/>
        <v>40</v>
      </c>
      <c r="L88">
        <f t="shared" si="7"/>
        <v>5.5065</v>
      </c>
      <c r="M88">
        <f t="shared" si="8"/>
        <v>11.013</v>
      </c>
      <c r="N88">
        <f t="shared" si="9"/>
        <v>151.51949999999999</v>
      </c>
    </row>
    <row r="89" spans="1:14" x14ac:dyDescent="0.45">
      <c r="A89">
        <v>88</v>
      </c>
      <c r="B89" t="s">
        <v>4</v>
      </c>
      <c r="C89" t="s">
        <v>8</v>
      </c>
      <c r="D89" t="s">
        <v>37</v>
      </c>
      <c r="E89">
        <v>83837</v>
      </c>
      <c r="F89">
        <f>VLOOKUP(C89&amp;"|"&amp;B89,rate_tables!$A$3:$B$8,2,FALSE)</f>
        <v>85</v>
      </c>
      <c r="G89">
        <f>VLOOKUP(C89&amp;"|"&amp;B89,rate_tables!$A$12:$B$17,2,FALSE)</f>
        <v>35</v>
      </c>
      <c r="H89">
        <f>VLOOKUP(C89&amp;"|"&amp;D89,rate_tables!$A$21:$B$28,2,FALSE)</f>
        <v>1.4E-3</v>
      </c>
      <c r="I89">
        <f>VLOOKUP(C89&amp;"|"&amp;D89,rate_tables!$A$32:$B$39,2,FALSE)</f>
        <v>3.0000000000000001E-3</v>
      </c>
      <c r="J89">
        <f t="shared" si="5"/>
        <v>85</v>
      </c>
      <c r="K89">
        <f t="shared" si="6"/>
        <v>35</v>
      </c>
      <c r="L89">
        <f t="shared" si="7"/>
        <v>9.7809833333333334</v>
      </c>
      <c r="M89">
        <f t="shared" si="8"/>
        <v>20.959250000000001</v>
      </c>
      <c r="N89">
        <f t="shared" si="9"/>
        <v>150.74023333333332</v>
      </c>
    </row>
    <row r="90" spans="1:14" x14ac:dyDescent="0.45">
      <c r="A90">
        <v>89</v>
      </c>
      <c r="B90" t="s">
        <v>6</v>
      </c>
      <c r="C90" t="s">
        <v>8</v>
      </c>
      <c r="D90" t="s">
        <v>37</v>
      </c>
      <c r="E90">
        <v>88885</v>
      </c>
      <c r="F90">
        <f>VLOOKUP(C90&amp;"|"&amp;B90,rate_tables!$A$3:$B$8,2,FALSE)</f>
        <v>88</v>
      </c>
      <c r="G90">
        <f>VLOOKUP(C90&amp;"|"&amp;B90,rate_tables!$A$12:$B$17,2,FALSE)</f>
        <v>36</v>
      </c>
      <c r="H90">
        <f>VLOOKUP(C90&amp;"|"&amp;D90,rate_tables!$A$21:$B$28,2,FALSE)</f>
        <v>1.4E-3</v>
      </c>
      <c r="I90">
        <f>VLOOKUP(C90&amp;"|"&amp;D90,rate_tables!$A$32:$B$39,2,FALSE)</f>
        <v>3.0000000000000001E-3</v>
      </c>
      <c r="J90">
        <f t="shared" si="5"/>
        <v>88</v>
      </c>
      <c r="K90">
        <f t="shared" si="6"/>
        <v>36</v>
      </c>
      <c r="L90">
        <f t="shared" si="7"/>
        <v>10.369916666666667</v>
      </c>
      <c r="M90">
        <f t="shared" si="8"/>
        <v>22.221250000000001</v>
      </c>
      <c r="N90">
        <f t="shared" si="9"/>
        <v>156.59116666666665</v>
      </c>
    </row>
    <row r="91" spans="1:14" x14ac:dyDescent="0.45">
      <c r="A91">
        <v>90</v>
      </c>
      <c r="B91" t="s">
        <v>4</v>
      </c>
      <c r="C91" t="s">
        <v>8</v>
      </c>
      <c r="D91" t="s">
        <v>37</v>
      </c>
      <c r="E91">
        <v>109854</v>
      </c>
      <c r="F91">
        <f>VLOOKUP(C91&amp;"|"&amp;B91,rate_tables!$A$3:$B$8,2,FALSE)</f>
        <v>85</v>
      </c>
      <c r="G91">
        <f>VLOOKUP(C91&amp;"|"&amp;B91,rate_tables!$A$12:$B$17,2,FALSE)</f>
        <v>35</v>
      </c>
      <c r="H91">
        <f>VLOOKUP(C91&amp;"|"&amp;D91,rate_tables!$A$21:$B$28,2,FALSE)</f>
        <v>1.4E-3</v>
      </c>
      <c r="I91">
        <f>VLOOKUP(C91&amp;"|"&amp;D91,rate_tables!$A$32:$B$39,2,FALSE)</f>
        <v>3.0000000000000001E-3</v>
      </c>
      <c r="J91">
        <f t="shared" si="5"/>
        <v>85</v>
      </c>
      <c r="K91">
        <f t="shared" si="6"/>
        <v>35</v>
      </c>
      <c r="L91">
        <f t="shared" si="7"/>
        <v>12.8163</v>
      </c>
      <c r="M91">
        <f t="shared" si="8"/>
        <v>27.4635</v>
      </c>
      <c r="N91">
        <f t="shared" si="9"/>
        <v>160.27980000000002</v>
      </c>
    </row>
    <row r="92" spans="1:14" x14ac:dyDescent="0.45">
      <c r="A92">
        <v>91</v>
      </c>
      <c r="B92" t="s">
        <v>6</v>
      </c>
      <c r="C92" t="s">
        <v>8</v>
      </c>
      <c r="D92" t="s">
        <v>35</v>
      </c>
      <c r="E92">
        <v>127093</v>
      </c>
      <c r="F92">
        <f>VLOOKUP(C92&amp;"|"&amp;B92,rate_tables!$A$3:$B$8,2,FALSE)</f>
        <v>88</v>
      </c>
      <c r="G92">
        <f>VLOOKUP(C92&amp;"|"&amp;B92,rate_tables!$A$12:$B$17,2,FALSE)</f>
        <v>36</v>
      </c>
      <c r="H92">
        <f>VLOOKUP(C92&amp;"|"&amp;D92,rate_tables!$A$21:$B$28,2,FALSE)</f>
        <v>8.0000000000000004E-4</v>
      </c>
      <c r="I92">
        <f>VLOOKUP(C92&amp;"|"&amp;D92,rate_tables!$A$32:$B$39,2,FALSE)</f>
        <v>1.6000000000000001E-3</v>
      </c>
      <c r="J92">
        <f t="shared" si="5"/>
        <v>88</v>
      </c>
      <c r="K92">
        <f t="shared" si="6"/>
        <v>36</v>
      </c>
      <c r="L92">
        <f t="shared" si="7"/>
        <v>8.4728666666666665</v>
      </c>
      <c r="M92">
        <f t="shared" si="8"/>
        <v>16.945733333333333</v>
      </c>
      <c r="N92">
        <f t="shared" si="9"/>
        <v>149.4186</v>
      </c>
    </row>
    <row r="93" spans="1:14" x14ac:dyDescent="0.45">
      <c r="A93">
        <v>92</v>
      </c>
      <c r="B93" t="s">
        <v>6</v>
      </c>
      <c r="C93" t="s">
        <v>8</v>
      </c>
      <c r="D93" t="s">
        <v>37</v>
      </c>
      <c r="E93">
        <v>78102</v>
      </c>
      <c r="F93">
        <f>VLOOKUP(C93&amp;"|"&amp;B93,rate_tables!$A$3:$B$8,2,FALSE)</f>
        <v>88</v>
      </c>
      <c r="G93">
        <f>VLOOKUP(C93&amp;"|"&amp;B93,rate_tables!$A$12:$B$17,2,FALSE)</f>
        <v>36</v>
      </c>
      <c r="H93">
        <f>VLOOKUP(C93&amp;"|"&amp;D93,rate_tables!$A$21:$B$28,2,FALSE)</f>
        <v>1.4E-3</v>
      </c>
      <c r="I93">
        <f>VLOOKUP(C93&amp;"|"&amp;D93,rate_tables!$A$32:$B$39,2,FALSE)</f>
        <v>3.0000000000000001E-3</v>
      </c>
      <c r="J93">
        <f t="shared" si="5"/>
        <v>88</v>
      </c>
      <c r="K93">
        <f t="shared" si="6"/>
        <v>36</v>
      </c>
      <c r="L93">
        <f t="shared" si="7"/>
        <v>9.1119000000000003</v>
      </c>
      <c r="M93">
        <f t="shared" si="8"/>
        <v>19.525500000000001</v>
      </c>
      <c r="N93">
        <f t="shared" si="9"/>
        <v>152.63739999999999</v>
      </c>
    </row>
    <row r="94" spans="1:14" x14ac:dyDescent="0.45">
      <c r="A94">
        <v>93</v>
      </c>
      <c r="B94" t="s">
        <v>5</v>
      </c>
      <c r="C94" t="s">
        <v>9</v>
      </c>
      <c r="D94" t="s">
        <v>36</v>
      </c>
      <c r="E94">
        <v>68846</v>
      </c>
      <c r="F94">
        <f>VLOOKUP(C94&amp;"|"&amp;B94,rate_tables!$A$3:$B$8,2,FALSE)</f>
        <v>100</v>
      </c>
      <c r="G94">
        <f>VLOOKUP(C94&amp;"|"&amp;B94,rate_tables!$A$12:$B$17,2,FALSE)</f>
        <v>42</v>
      </c>
      <c r="H94">
        <f>VLOOKUP(C94&amp;"|"&amp;D94,rate_tables!$A$21:$B$28,2,FALSE)</f>
        <v>1.2999999999999999E-3</v>
      </c>
      <c r="I94">
        <f>VLOOKUP(C94&amp;"|"&amp;D94,rate_tables!$A$32:$B$39,2,FALSE)</f>
        <v>2.5999999999999999E-3</v>
      </c>
      <c r="J94">
        <f t="shared" si="5"/>
        <v>100</v>
      </c>
      <c r="K94">
        <f t="shared" si="6"/>
        <v>42</v>
      </c>
      <c r="L94">
        <f t="shared" si="7"/>
        <v>7.4583166666666658</v>
      </c>
      <c r="M94">
        <f t="shared" si="8"/>
        <v>14.916633333333332</v>
      </c>
      <c r="N94">
        <f t="shared" si="9"/>
        <v>164.37494999999998</v>
      </c>
    </row>
    <row r="95" spans="1:14" x14ac:dyDescent="0.45">
      <c r="A95">
        <v>94</v>
      </c>
      <c r="B95" t="s">
        <v>6</v>
      </c>
      <c r="C95" t="s">
        <v>8</v>
      </c>
      <c r="D95" t="s">
        <v>37</v>
      </c>
      <c r="E95">
        <v>96406</v>
      </c>
      <c r="F95">
        <f>VLOOKUP(C95&amp;"|"&amp;B95,rate_tables!$A$3:$B$8,2,FALSE)</f>
        <v>88</v>
      </c>
      <c r="G95">
        <f>VLOOKUP(C95&amp;"|"&amp;B95,rate_tables!$A$12:$B$17,2,FALSE)</f>
        <v>36</v>
      </c>
      <c r="H95">
        <f>VLOOKUP(C95&amp;"|"&amp;D95,rate_tables!$A$21:$B$28,2,FALSE)</f>
        <v>1.4E-3</v>
      </c>
      <c r="I95">
        <f>VLOOKUP(C95&amp;"|"&amp;D95,rate_tables!$A$32:$B$39,2,FALSE)</f>
        <v>3.0000000000000001E-3</v>
      </c>
      <c r="J95">
        <f t="shared" si="5"/>
        <v>88</v>
      </c>
      <c r="K95">
        <f t="shared" si="6"/>
        <v>36</v>
      </c>
      <c r="L95">
        <f t="shared" si="7"/>
        <v>11.247366666666666</v>
      </c>
      <c r="M95">
        <f t="shared" si="8"/>
        <v>24.101500000000001</v>
      </c>
      <c r="N95">
        <f t="shared" si="9"/>
        <v>159.34886666666665</v>
      </c>
    </row>
    <row r="96" spans="1:14" x14ac:dyDescent="0.45">
      <c r="A96">
        <v>95</v>
      </c>
      <c r="B96" t="s">
        <v>6</v>
      </c>
      <c r="C96" t="s">
        <v>9</v>
      </c>
      <c r="D96" t="s">
        <v>36</v>
      </c>
      <c r="E96">
        <v>61346</v>
      </c>
      <c r="F96">
        <f>VLOOKUP(C96&amp;"|"&amp;B96,rate_tables!$A$3:$B$8,2,FALSE)</f>
        <v>98</v>
      </c>
      <c r="G96">
        <f>VLOOKUP(C96&amp;"|"&amp;B96,rate_tables!$A$12:$B$17,2,FALSE)</f>
        <v>41</v>
      </c>
      <c r="H96">
        <f>VLOOKUP(C96&amp;"|"&amp;D96,rate_tables!$A$21:$B$28,2,FALSE)</f>
        <v>1.2999999999999999E-3</v>
      </c>
      <c r="I96">
        <f>VLOOKUP(C96&amp;"|"&amp;D96,rate_tables!$A$32:$B$39,2,FALSE)</f>
        <v>2.5999999999999999E-3</v>
      </c>
      <c r="J96">
        <f t="shared" si="5"/>
        <v>98</v>
      </c>
      <c r="K96">
        <f t="shared" si="6"/>
        <v>41</v>
      </c>
      <c r="L96">
        <f t="shared" si="7"/>
        <v>6.6458166666666658</v>
      </c>
      <c r="M96">
        <f t="shared" si="8"/>
        <v>13.291633333333332</v>
      </c>
      <c r="N96">
        <f t="shared" si="9"/>
        <v>158.93744999999998</v>
      </c>
    </row>
    <row r="97" spans="1:14" x14ac:dyDescent="0.45">
      <c r="A97">
        <v>96</v>
      </c>
      <c r="B97" t="s">
        <v>4</v>
      </c>
      <c r="C97" t="s">
        <v>8</v>
      </c>
      <c r="D97" t="s">
        <v>35</v>
      </c>
      <c r="E97">
        <v>71376</v>
      </c>
      <c r="F97">
        <f>VLOOKUP(C97&amp;"|"&amp;B97,rate_tables!$A$3:$B$8,2,FALSE)</f>
        <v>85</v>
      </c>
      <c r="G97">
        <f>VLOOKUP(C97&amp;"|"&amp;B97,rate_tables!$A$12:$B$17,2,FALSE)</f>
        <v>35</v>
      </c>
      <c r="H97">
        <f>VLOOKUP(C97&amp;"|"&amp;D97,rate_tables!$A$21:$B$28,2,FALSE)</f>
        <v>8.0000000000000004E-4</v>
      </c>
      <c r="I97">
        <f>VLOOKUP(C97&amp;"|"&amp;D97,rate_tables!$A$32:$B$39,2,FALSE)</f>
        <v>1.6000000000000001E-3</v>
      </c>
      <c r="J97">
        <f t="shared" si="5"/>
        <v>85</v>
      </c>
      <c r="K97">
        <f t="shared" si="6"/>
        <v>35</v>
      </c>
      <c r="L97">
        <f t="shared" si="7"/>
        <v>4.7584</v>
      </c>
      <c r="M97">
        <f t="shared" si="8"/>
        <v>9.5167999999999999</v>
      </c>
      <c r="N97">
        <f t="shared" si="9"/>
        <v>134.27519999999998</v>
      </c>
    </row>
    <row r="98" spans="1:14" x14ac:dyDescent="0.45">
      <c r="A98">
        <v>97</v>
      </c>
      <c r="B98" t="s">
        <v>4</v>
      </c>
      <c r="C98" t="s">
        <v>8</v>
      </c>
      <c r="D98" t="s">
        <v>36</v>
      </c>
      <c r="E98">
        <v>51459</v>
      </c>
      <c r="F98">
        <f>VLOOKUP(C98&amp;"|"&amp;B98,rate_tables!$A$3:$B$8,2,FALSE)</f>
        <v>85</v>
      </c>
      <c r="G98">
        <f>VLOOKUP(C98&amp;"|"&amp;B98,rate_tables!$A$12:$B$17,2,FALSE)</f>
        <v>35</v>
      </c>
      <c r="H98">
        <f>VLOOKUP(C98&amp;"|"&amp;D98,rate_tables!$A$21:$B$28,2,FALSE)</f>
        <v>1E-3</v>
      </c>
      <c r="I98">
        <f>VLOOKUP(C98&amp;"|"&amp;D98,rate_tables!$A$32:$B$39,2,FALSE)</f>
        <v>2E-3</v>
      </c>
      <c r="J98">
        <f t="shared" si="5"/>
        <v>85</v>
      </c>
      <c r="K98">
        <f t="shared" si="6"/>
        <v>35</v>
      </c>
      <c r="L98">
        <f t="shared" si="7"/>
        <v>4.2882500000000006</v>
      </c>
      <c r="M98">
        <f t="shared" si="8"/>
        <v>8.5765000000000011</v>
      </c>
      <c r="N98">
        <f t="shared" si="9"/>
        <v>132.86475000000002</v>
      </c>
    </row>
    <row r="99" spans="1:14" x14ac:dyDescent="0.45">
      <c r="A99">
        <v>98</v>
      </c>
      <c r="B99" t="s">
        <v>4</v>
      </c>
      <c r="C99" t="s">
        <v>9</v>
      </c>
      <c r="D99" t="s">
        <v>35</v>
      </c>
      <c r="E99">
        <v>70290</v>
      </c>
      <c r="F99">
        <f>VLOOKUP(C99&amp;"|"&amp;B99,rate_tables!$A$3:$B$8,2,FALSE)</f>
        <v>95</v>
      </c>
      <c r="G99">
        <f>VLOOKUP(C99&amp;"|"&amp;B99,rate_tables!$A$12:$B$17,2,FALSE)</f>
        <v>40</v>
      </c>
      <c r="H99">
        <f>VLOOKUP(C99&amp;"|"&amp;D99,rate_tables!$A$21:$B$28,2,FALSE)</f>
        <v>1E-3</v>
      </c>
      <c r="I99">
        <f>VLOOKUP(C99&amp;"|"&amp;D99,rate_tables!$A$32:$B$39,2,FALSE)</f>
        <v>2E-3</v>
      </c>
      <c r="J99">
        <f t="shared" si="5"/>
        <v>95</v>
      </c>
      <c r="K99">
        <f t="shared" si="6"/>
        <v>40</v>
      </c>
      <c r="L99">
        <f t="shared" si="7"/>
        <v>5.8575000000000008</v>
      </c>
      <c r="M99">
        <f t="shared" si="8"/>
        <v>11.715000000000002</v>
      </c>
      <c r="N99">
        <f t="shared" si="9"/>
        <v>152.57249999999999</v>
      </c>
    </row>
    <row r="100" spans="1:14" x14ac:dyDescent="0.45">
      <c r="A100">
        <v>99</v>
      </c>
      <c r="B100" t="s">
        <v>6</v>
      </c>
      <c r="C100" t="s">
        <v>9</v>
      </c>
      <c r="D100" t="s">
        <v>35</v>
      </c>
      <c r="E100">
        <v>46641</v>
      </c>
      <c r="F100">
        <f>VLOOKUP(C100&amp;"|"&amp;B100,rate_tables!$A$3:$B$8,2,FALSE)</f>
        <v>98</v>
      </c>
      <c r="G100">
        <f>VLOOKUP(C100&amp;"|"&amp;B100,rate_tables!$A$12:$B$17,2,FALSE)</f>
        <v>41</v>
      </c>
      <c r="H100">
        <f>VLOOKUP(C100&amp;"|"&amp;D100,rate_tables!$A$21:$B$28,2,FALSE)</f>
        <v>1E-3</v>
      </c>
      <c r="I100">
        <f>VLOOKUP(C100&amp;"|"&amp;D100,rate_tables!$A$32:$B$39,2,FALSE)</f>
        <v>2E-3</v>
      </c>
      <c r="J100">
        <f t="shared" si="5"/>
        <v>98</v>
      </c>
      <c r="K100">
        <f t="shared" si="6"/>
        <v>41</v>
      </c>
      <c r="L100">
        <f t="shared" si="7"/>
        <v>3.8867499999999997</v>
      </c>
      <c r="M100">
        <f t="shared" si="8"/>
        <v>7.7734999999999994</v>
      </c>
      <c r="N100">
        <f t="shared" si="9"/>
        <v>150.66025000000002</v>
      </c>
    </row>
    <row r="101" spans="1:14" x14ac:dyDescent="0.45">
      <c r="A101">
        <v>100</v>
      </c>
      <c r="B101" t="s">
        <v>6</v>
      </c>
      <c r="C101" t="s">
        <v>8</v>
      </c>
      <c r="D101" t="s">
        <v>37</v>
      </c>
      <c r="E101">
        <v>103081</v>
      </c>
      <c r="F101">
        <f>VLOOKUP(C101&amp;"|"&amp;B101,rate_tables!$A$3:$B$8,2,FALSE)</f>
        <v>88</v>
      </c>
      <c r="G101">
        <f>VLOOKUP(C101&amp;"|"&amp;B101,rate_tables!$A$12:$B$17,2,FALSE)</f>
        <v>36</v>
      </c>
      <c r="H101">
        <f>VLOOKUP(C101&amp;"|"&amp;D101,rate_tables!$A$21:$B$28,2,FALSE)</f>
        <v>1.4E-3</v>
      </c>
      <c r="I101">
        <f>VLOOKUP(C101&amp;"|"&amp;D101,rate_tables!$A$32:$B$39,2,FALSE)</f>
        <v>3.0000000000000001E-3</v>
      </c>
      <c r="J101">
        <f t="shared" si="5"/>
        <v>88</v>
      </c>
      <c r="K101">
        <f t="shared" si="6"/>
        <v>36</v>
      </c>
      <c r="L101">
        <f t="shared" si="7"/>
        <v>12.026116666666667</v>
      </c>
      <c r="M101">
        <f t="shared" si="8"/>
        <v>25.770250000000001</v>
      </c>
      <c r="N101">
        <f t="shared" si="9"/>
        <v>161.79636666666667</v>
      </c>
    </row>
    <row r="102" spans="1:14" x14ac:dyDescent="0.45">
      <c r="A102">
        <v>101</v>
      </c>
      <c r="B102" t="s">
        <v>5</v>
      </c>
      <c r="C102" t="s">
        <v>9</v>
      </c>
      <c r="D102" t="s">
        <v>37</v>
      </c>
      <c r="E102">
        <v>55563</v>
      </c>
      <c r="F102">
        <f>VLOOKUP(C102&amp;"|"&amp;B102,rate_tables!$A$3:$B$8,2,FALSE)</f>
        <v>100</v>
      </c>
      <c r="G102">
        <f>VLOOKUP(C102&amp;"|"&amp;B102,rate_tables!$A$12:$B$17,2,FALSE)</f>
        <v>42</v>
      </c>
      <c r="H102">
        <f>VLOOKUP(C102&amp;"|"&amp;D102,rate_tables!$A$21:$B$28,2,FALSE)</f>
        <v>1.8E-3</v>
      </c>
      <c r="I102">
        <f>VLOOKUP(C102&amp;"|"&amp;D102,rate_tables!$A$32:$B$39,2,FALSE)</f>
        <v>3.8E-3</v>
      </c>
      <c r="J102">
        <f t="shared" si="5"/>
        <v>100</v>
      </c>
      <c r="K102">
        <f t="shared" si="6"/>
        <v>42</v>
      </c>
      <c r="L102">
        <f t="shared" si="7"/>
        <v>8.3344500000000004</v>
      </c>
      <c r="M102">
        <f t="shared" si="8"/>
        <v>17.594950000000001</v>
      </c>
      <c r="N102">
        <f t="shared" si="9"/>
        <v>167.92940000000002</v>
      </c>
    </row>
    <row r="103" spans="1:14" x14ac:dyDescent="0.45">
      <c r="A103">
        <v>102</v>
      </c>
      <c r="B103" t="s">
        <v>5</v>
      </c>
      <c r="C103" t="s">
        <v>9</v>
      </c>
      <c r="D103" t="s">
        <v>36</v>
      </c>
      <c r="E103">
        <v>69041</v>
      </c>
      <c r="F103">
        <f>VLOOKUP(C103&amp;"|"&amp;B103,rate_tables!$A$3:$B$8,2,FALSE)</f>
        <v>100</v>
      </c>
      <c r="G103">
        <f>VLOOKUP(C103&amp;"|"&amp;B103,rate_tables!$A$12:$B$17,2,FALSE)</f>
        <v>42</v>
      </c>
      <c r="H103">
        <f>VLOOKUP(C103&amp;"|"&amp;D103,rate_tables!$A$21:$B$28,2,FALSE)</f>
        <v>1.2999999999999999E-3</v>
      </c>
      <c r="I103">
        <f>VLOOKUP(C103&amp;"|"&amp;D103,rate_tables!$A$32:$B$39,2,FALSE)</f>
        <v>2.5999999999999999E-3</v>
      </c>
      <c r="J103">
        <f t="shared" si="5"/>
        <v>100</v>
      </c>
      <c r="K103">
        <f t="shared" si="6"/>
        <v>42</v>
      </c>
      <c r="L103">
        <f t="shared" si="7"/>
        <v>7.4794416666666663</v>
      </c>
      <c r="M103">
        <f t="shared" si="8"/>
        <v>14.958883333333333</v>
      </c>
      <c r="N103">
        <f t="shared" si="9"/>
        <v>164.43832500000002</v>
      </c>
    </row>
    <row r="104" spans="1:14" x14ac:dyDescent="0.45">
      <c r="A104">
        <v>103</v>
      </c>
      <c r="B104" t="s">
        <v>4</v>
      </c>
      <c r="C104" t="s">
        <v>8</v>
      </c>
      <c r="D104" t="s">
        <v>37</v>
      </c>
      <c r="E104">
        <v>92885</v>
      </c>
      <c r="F104">
        <f>VLOOKUP(C104&amp;"|"&amp;B104,rate_tables!$A$3:$B$8,2,FALSE)</f>
        <v>85</v>
      </c>
      <c r="G104">
        <f>VLOOKUP(C104&amp;"|"&amp;B104,rate_tables!$A$12:$B$17,2,FALSE)</f>
        <v>35</v>
      </c>
      <c r="H104">
        <f>VLOOKUP(C104&amp;"|"&amp;D104,rate_tables!$A$21:$B$28,2,FALSE)</f>
        <v>1.4E-3</v>
      </c>
      <c r="I104">
        <f>VLOOKUP(C104&amp;"|"&amp;D104,rate_tables!$A$32:$B$39,2,FALSE)</f>
        <v>3.0000000000000001E-3</v>
      </c>
      <c r="J104">
        <f t="shared" si="5"/>
        <v>85</v>
      </c>
      <c r="K104">
        <f t="shared" si="6"/>
        <v>35</v>
      </c>
      <c r="L104">
        <f t="shared" si="7"/>
        <v>10.836583333333332</v>
      </c>
      <c r="M104">
        <f t="shared" si="8"/>
        <v>23.221250000000001</v>
      </c>
      <c r="N104">
        <f t="shared" si="9"/>
        <v>154.05783333333332</v>
      </c>
    </row>
    <row r="105" spans="1:14" x14ac:dyDescent="0.45">
      <c r="A105">
        <v>104</v>
      </c>
      <c r="B105" t="s">
        <v>4</v>
      </c>
      <c r="C105" t="s">
        <v>8</v>
      </c>
      <c r="D105" t="s">
        <v>37</v>
      </c>
      <c r="E105">
        <v>83869</v>
      </c>
      <c r="F105">
        <f>VLOOKUP(C105&amp;"|"&amp;B105,rate_tables!$A$3:$B$8,2,FALSE)</f>
        <v>85</v>
      </c>
      <c r="G105">
        <f>VLOOKUP(C105&amp;"|"&amp;B105,rate_tables!$A$12:$B$17,2,FALSE)</f>
        <v>35</v>
      </c>
      <c r="H105">
        <f>VLOOKUP(C105&amp;"|"&amp;D105,rate_tables!$A$21:$B$28,2,FALSE)</f>
        <v>1.4E-3</v>
      </c>
      <c r="I105">
        <f>VLOOKUP(C105&amp;"|"&amp;D105,rate_tables!$A$32:$B$39,2,FALSE)</f>
        <v>3.0000000000000001E-3</v>
      </c>
      <c r="J105">
        <f t="shared" si="5"/>
        <v>85</v>
      </c>
      <c r="K105">
        <f t="shared" si="6"/>
        <v>35</v>
      </c>
      <c r="L105">
        <f t="shared" si="7"/>
        <v>9.7847166666666663</v>
      </c>
      <c r="M105">
        <f t="shared" si="8"/>
        <v>20.96725</v>
      </c>
      <c r="N105">
        <f t="shared" si="9"/>
        <v>150.75196666666668</v>
      </c>
    </row>
    <row r="106" spans="1:14" x14ac:dyDescent="0.45">
      <c r="A106">
        <v>105</v>
      </c>
      <c r="B106" t="s">
        <v>6</v>
      </c>
      <c r="C106" t="s">
        <v>8</v>
      </c>
      <c r="D106" t="s">
        <v>36</v>
      </c>
      <c r="E106">
        <v>80050</v>
      </c>
      <c r="F106">
        <f>VLOOKUP(C106&amp;"|"&amp;B106,rate_tables!$A$3:$B$8,2,FALSE)</f>
        <v>88</v>
      </c>
      <c r="G106">
        <f>VLOOKUP(C106&amp;"|"&amp;B106,rate_tables!$A$12:$B$17,2,FALSE)</f>
        <v>36</v>
      </c>
      <c r="H106">
        <f>VLOOKUP(C106&amp;"|"&amp;D106,rate_tables!$A$21:$B$28,2,FALSE)</f>
        <v>1E-3</v>
      </c>
      <c r="I106">
        <f>VLOOKUP(C106&amp;"|"&amp;D106,rate_tables!$A$32:$B$39,2,FALSE)</f>
        <v>2E-3</v>
      </c>
      <c r="J106">
        <f t="shared" si="5"/>
        <v>88</v>
      </c>
      <c r="K106">
        <f t="shared" si="6"/>
        <v>36</v>
      </c>
      <c r="L106">
        <f t="shared" si="7"/>
        <v>6.6708333333333334</v>
      </c>
      <c r="M106">
        <f t="shared" si="8"/>
        <v>13.341666666666667</v>
      </c>
      <c r="N106">
        <f t="shared" si="9"/>
        <v>144.01249999999999</v>
      </c>
    </row>
    <row r="107" spans="1:14" x14ac:dyDescent="0.45">
      <c r="A107">
        <v>106</v>
      </c>
      <c r="B107" t="s">
        <v>6</v>
      </c>
      <c r="C107" t="s">
        <v>8</v>
      </c>
      <c r="D107" t="s">
        <v>35</v>
      </c>
      <c r="E107">
        <v>77498</v>
      </c>
      <c r="F107">
        <f>VLOOKUP(C107&amp;"|"&amp;B107,rate_tables!$A$3:$B$8,2,FALSE)</f>
        <v>88</v>
      </c>
      <c r="G107">
        <f>VLOOKUP(C107&amp;"|"&amp;B107,rate_tables!$A$12:$B$17,2,FALSE)</f>
        <v>36</v>
      </c>
      <c r="H107">
        <f>VLOOKUP(C107&amp;"|"&amp;D107,rate_tables!$A$21:$B$28,2,FALSE)</f>
        <v>8.0000000000000004E-4</v>
      </c>
      <c r="I107">
        <f>VLOOKUP(C107&amp;"|"&amp;D107,rate_tables!$A$32:$B$39,2,FALSE)</f>
        <v>1.6000000000000001E-3</v>
      </c>
      <c r="J107">
        <f t="shared" si="5"/>
        <v>88</v>
      </c>
      <c r="K107">
        <f t="shared" si="6"/>
        <v>36</v>
      </c>
      <c r="L107">
        <f t="shared" si="7"/>
        <v>5.1665333333333336</v>
      </c>
      <c r="M107">
        <f t="shared" si="8"/>
        <v>10.333066666666667</v>
      </c>
      <c r="N107">
        <f t="shared" si="9"/>
        <v>139.49960000000002</v>
      </c>
    </row>
    <row r="108" spans="1:14" x14ac:dyDescent="0.45">
      <c r="A108">
        <v>107</v>
      </c>
      <c r="B108" t="s">
        <v>6</v>
      </c>
      <c r="C108" t="s">
        <v>8</v>
      </c>
      <c r="D108" t="s">
        <v>35</v>
      </c>
      <c r="E108">
        <v>121539</v>
      </c>
      <c r="F108">
        <f>VLOOKUP(C108&amp;"|"&amp;B108,rate_tables!$A$3:$B$8,2,FALSE)</f>
        <v>88</v>
      </c>
      <c r="G108">
        <f>VLOOKUP(C108&amp;"|"&amp;B108,rate_tables!$A$12:$B$17,2,FALSE)</f>
        <v>36</v>
      </c>
      <c r="H108">
        <f>VLOOKUP(C108&amp;"|"&amp;D108,rate_tables!$A$21:$B$28,2,FALSE)</f>
        <v>8.0000000000000004E-4</v>
      </c>
      <c r="I108">
        <f>VLOOKUP(C108&amp;"|"&amp;D108,rate_tables!$A$32:$B$39,2,FALSE)</f>
        <v>1.6000000000000001E-3</v>
      </c>
      <c r="J108">
        <f t="shared" si="5"/>
        <v>88</v>
      </c>
      <c r="K108">
        <f t="shared" si="6"/>
        <v>36</v>
      </c>
      <c r="L108">
        <f t="shared" si="7"/>
        <v>8.1026000000000007</v>
      </c>
      <c r="M108">
        <f t="shared" si="8"/>
        <v>16.205200000000001</v>
      </c>
      <c r="N108">
        <f t="shared" si="9"/>
        <v>148.30779999999999</v>
      </c>
    </row>
    <row r="109" spans="1:14" x14ac:dyDescent="0.45">
      <c r="A109">
        <v>108</v>
      </c>
      <c r="B109" t="s">
        <v>6</v>
      </c>
      <c r="C109" t="s">
        <v>8</v>
      </c>
      <c r="D109" t="s">
        <v>35</v>
      </c>
      <c r="E109">
        <v>128086</v>
      </c>
      <c r="F109">
        <f>VLOOKUP(C109&amp;"|"&amp;B109,rate_tables!$A$3:$B$8,2,FALSE)</f>
        <v>88</v>
      </c>
      <c r="G109">
        <f>VLOOKUP(C109&amp;"|"&amp;B109,rate_tables!$A$12:$B$17,2,FALSE)</f>
        <v>36</v>
      </c>
      <c r="H109">
        <f>VLOOKUP(C109&amp;"|"&amp;D109,rate_tables!$A$21:$B$28,2,FALSE)</f>
        <v>8.0000000000000004E-4</v>
      </c>
      <c r="I109">
        <f>VLOOKUP(C109&amp;"|"&amp;D109,rate_tables!$A$32:$B$39,2,FALSE)</f>
        <v>1.6000000000000001E-3</v>
      </c>
      <c r="J109">
        <f t="shared" si="5"/>
        <v>88</v>
      </c>
      <c r="K109">
        <f t="shared" si="6"/>
        <v>36</v>
      </c>
      <c r="L109">
        <f t="shared" si="7"/>
        <v>8.5390666666666668</v>
      </c>
      <c r="M109">
        <f t="shared" si="8"/>
        <v>17.078133333333334</v>
      </c>
      <c r="N109">
        <f t="shared" si="9"/>
        <v>149.6172</v>
      </c>
    </row>
    <row r="110" spans="1:14" x14ac:dyDescent="0.45">
      <c r="A110">
        <v>109</v>
      </c>
      <c r="B110" t="s">
        <v>4</v>
      </c>
      <c r="C110" t="s">
        <v>9</v>
      </c>
      <c r="D110" t="s">
        <v>38</v>
      </c>
      <c r="E110">
        <v>71114</v>
      </c>
      <c r="F110">
        <f>VLOOKUP(C110&amp;"|"&amp;B110,rate_tables!$A$3:$B$8,2,FALSE)</f>
        <v>95</v>
      </c>
      <c r="G110">
        <f>VLOOKUP(C110&amp;"|"&amp;B110,rate_tables!$A$12:$B$17,2,FALSE)</f>
        <v>40</v>
      </c>
      <c r="H110">
        <f>VLOOKUP(C110&amp;"|"&amp;D110,rate_tables!$A$21:$B$28,2,FALSE)</f>
        <v>2.5999999999999999E-3</v>
      </c>
      <c r="I110">
        <f>VLOOKUP(C110&amp;"|"&amp;D110,rate_tables!$A$32:$B$39,2,FALSE)</f>
        <v>5.5999999999999999E-3</v>
      </c>
      <c r="J110">
        <f t="shared" si="5"/>
        <v>95</v>
      </c>
      <c r="K110">
        <f t="shared" si="6"/>
        <v>40</v>
      </c>
      <c r="L110">
        <f t="shared" si="7"/>
        <v>15.408033333333334</v>
      </c>
      <c r="M110">
        <f t="shared" si="8"/>
        <v>33.186533333333337</v>
      </c>
      <c r="N110">
        <f t="shared" si="9"/>
        <v>183.59456666666665</v>
      </c>
    </row>
    <row r="111" spans="1:14" x14ac:dyDescent="0.45">
      <c r="A111">
        <v>110</v>
      </c>
      <c r="B111" t="s">
        <v>4</v>
      </c>
      <c r="C111" t="s">
        <v>9</v>
      </c>
      <c r="D111" t="s">
        <v>38</v>
      </c>
      <c r="E111">
        <v>78855</v>
      </c>
      <c r="F111">
        <f>VLOOKUP(C111&amp;"|"&amp;B111,rate_tables!$A$3:$B$8,2,FALSE)</f>
        <v>95</v>
      </c>
      <c r="G111">
        <f>VLOOKUP(C111&amp;"|"&amp;B111,rate_tables!$A$12:$B$17,2,FALSE)</f>
        <v>40</v>
      </c>
      <c r="H111">
        <f>VLOOKUP(C111&amp;"|"&amp;D111,rate_tables!$A$21:$B$28,2,FALSE)</f>
        <v>2.5999999999999999E-3</v>
      </c>
      <c r="I111">
        <f>VLOOKUP(C111&amp;"|"&amp;D111,rate_tables!$A$32:$B$39,2,FALSE)</f>
        <v>5.5999999999999999E-3</v>
      </c>
      <c r="J111">
        <f t="shared" si="5"/>
        <v>95</v>
      </c>
      <c r="K111">
        <f t="shared" si="6"/>
        <v>40</v>
      </c>
      <c r="L111">
        <f t="shared" si="7"/>
        <v>17.085249999999998</v>
      </c>
      <c r="M111">
        <f t="shared" si="8"/>
        <v>36.798999999999999</v>
      </c>
      <c r="N111">
        <f t="shared" si="9"/>
        <v>188.88425000000001</v>
      </c>
    </row>
    <row r="112" spans="1:14" x14ac:dyDescent="0.45">
      <c r="A112">
        <v>111</v>
      </c>
      <c r="B112" t="s">
        <v>4</v>
      </c>
      <c r="C112" t="s">
        <v>9</v>
      </c>
      <c r="D112" t="s">
        <v>37</v>
      </c>
      <c r="E112">
        <v>76594</v>
      </c>
      <c r="F112">
        <f>VLOOKUP(C112&amp;"|"&amp;B112,rate_tables!$A$3:$B$8,2,FALSE)</f>
        <v>95</v>
      </c>
      <c r="G112">
        <f>VLOOKUP(C112&amp;"|"&amp;B112,rate_tables!$A$12:$B$17,2,FALSE)</f>
        <v>40</v>
      </c>
      <c r="H112">
        <f>VLOOKUP(C112&amp;"|"&amp;D112,rate_tables!$A$21:$B$28,2,FALSE)</f>
        <v>1.8E-3</v>
      </c>
      <c r="I112">
        <f>VLOOKUP(C112&amp;"|"&amp;D112,rate_tables!$A$32:$B$39,2,FALSE)</f>
        <v>3.8E-3</v>
      </c>
      <c r="J112">
        <f t="shared" si="5"/>
        <v>95</v>
      </c>
      <c r="K112">
        <f t="shared" si="6"/>
        <v>40</v>
      </c>
      <c r="L112">
        <f t="shared" si="7"/>
        <v>11.489100000000001</v>
      </c>
      <c r="M112">
        <f t="shared" si="8"/>
        <v>24.254766666666669</v>
      </c>
      <c r="N112">
        <f t="shared" si="9"/>
        <v>170.74386666666669</v>
      </c>
    </row>
    <row r="113" spans="1:14" x14ac:dyDescent="0.45">
      <c r="A113">
        <v>112</v>
      </c>
      <c r="B113" t="s">
        <v>4</v>
      </c>
      <c r="C113" t="s">
        <v>8</v>
      </c>
      <c r="D113" t="s">
        <v>38</v>
      </c>
      <c r="E113">
        <v>99938</v>
      </c>
      <c r="F113">
        <f>VLOOKUP(C113&amp;"|"&amp;B113,rate_tables!$A$3:$B$8,2,FALSE)</f>
        <v>85</v>
      </c>
      <c r="G113">
        <f>VLOOKUP(C113&amp;"|"&amp;B113,rate_tables!$A$12:$B$17,2,FALSE)</f>
        <v>35</v>
      </c>
      <c r="H113">
        <f>VLOOKUP(C113&amp;"|"&amp;D113,rate_tables!$A$21:$B$28,2,FALSE)</f>
        <v>2E-3</v>
      </c>
      <c r="I113">
        <f>VLOOKUP(C113&amp;"|"&amp;D113,rate_tables!$A$32:$B$39,2,FALSE)</f>
        <v>4.4000000000000003E-3</v>
      </c>
      <c r="J113">
        <f t="shared" si="5"/>
        <v>85</v>
      </c>
      <c r="K113">
        <f t="shared" si="6"/>
        <v>35</v>
      </c>
      <c r="L113">
        <f t="shared" si="7"/>
        <v>16.656333333333333</v>
      </c>
      <c r="M113">
        <f t="shared" si="8"/>
        <v>36.643933333333337</v>
      </c>
      <c r="N113">
        <f t="shared" si="9"/>
        <v>173.30026666666666</v>
      </c>
    </row>
    <row r="114" spans="1:14" x14ac:dyDescent="0.45">
      <c r="A114">
        <v>113</v>
      </c>
      <c r="B114" t="s">
        <v>4</v>
      </c>
      <c r="C114" t="s">
        <v>8</v>
      </c>
      <c r="D114" t="s">
        <v>38</v>
      </c>
      <c r="E114">
        <v>51071</v>
      </c>
      <c r="F114">
        <f>VLOOKUP(C114&amp;"|"&amp;B114,rate_tables!$A$3:$B$8,2,FALSE)</f>
        <v>85</v>
      </c>
      <c r="G114">
        <f>VLOOKUP(C114&amp;"|"&amp;B114,rate_tables!$A$12:$B$17,2,FALSE)</f>
        <v>35</v>
      </c>
      <c r="H114">
        <f>VLOOKUP(C114&amp;"|"&amp;D114,rate_tables!$A$21:$B$28,2,FALSE)</f>
        <v>2E-3</v>
      </c>
      <c r="I114">
        <f>VLOOKUP(C114&amp;"|"&amp;D114,rate_tables!$A$32:$B$39,2,FALSE)</f>
        <v>4.4000000000000003E-3</v>
      </c>
      <c r="J114">
        <f t="shared" si="5"/>
        <v>85</v>
      </c>
      <c r="K114">
        <f t="shared" si="6"/>
        <v>35</v>
      </c>
      <c r="L114">
        <f t="shared" si="7"/>
        <v>8.5118333333333336</v>
      </c>
      <c r="M114">
        <f t="shared" si="8"/>
        <v>18.726033333333334</v>
      </c>
      <c r="N114">
        <f t="shared" si="9"/>
        <v>147.23786666666666</v>
      </c>
    </row>
    <row r="115" spans="1:14" x14ac:dyDescent="0.45">
      <c r="A115">
        <v>114</v>
      </c>
      <c r="B115" t="s">
        <v>4</v>
      </c>
      <c r="C115" t="s">
        <v>8</v>
      </c>
      <c r="D115" t="s">
        <v>36</v>
      </c>
      <c r="E115">
        <v>56269</v>
      </c>
      <c r="F115">
        <f>VLOOKUP(C115&amp;"|"&amp;B115,rate_tables!$A$3:$B$8,2,FALSE)</f>
        <v>85</v>
      </c>
      <c r="G115">
        <f>VLOOKUP(C115&amp;"|"&amp;B115,rate_tables!$A$12:$B$17,2,FALSE)</f>
        <v>35</v>
      </c>
      <c r="H115">
        <f>VLOOKUP(C115&amp;"|"&amp;D115,rate_tables!$A$21:$B$28,2,FALSE)</f>
        <v>1E-3</v>
      </c>
      <c r="I115">
        <f>VLOOKUP(C115&amp;"|"&amp;D115,rate_tables!$A$32:$B$39,2,FALSE)</f>
        <v>2E-3</v>
      </c>
      <c r="J115">
        <f t="shared" si="5"/>
        <v>85</v>
      </c>
      <c r="K115">
        <f t="shared" si="6"/>
        <v>35</v>
      </c>
      <c r="L115">
        <f t="shared" si="7"/>
        <v>4.6890833333333335</v>
      </c>
      <c r="M115">
        <f t="shared" si="8"/>
        <v>9.378166666666667</v>
      </c>
      <c r="N115">
        <f t="shared" si="9"/>
        <v>134.06725</v>
      </c>
    </row>
    <row r="116" spans="1:14" x14ac:dyDescent="0.45">
      <c r="A116">
        <v>115</v>
      </c>
      <c r="B116" t="s">
        <v>4</v>
      </c>
      <c r="C116" t="s">
        <v>9</v>
      </c>
      <c r="D116" t="s">
        <v>37</v>
      </c>
      <c r="E116">
        <v>68245</v>
      </c>
      <c r="F116">
        <f>VLOOKUP(C116&amp;"|"&amp;B116,rate_tables!$A$3:$B$8,2,FALSE)</f>
        <v>95</v>
      </c>
      <c r="G116">
        <f>VLOOKUP(C116&amp;"|"&amp;B116,rate_tables!$A$12:$B$17,2,FALSE)</f>
        <v>40</v>
      </c>
      <c r="H116">
        <f>VLOOKUP(C116&amp;"|"&amp;D116,rate_tables!$A$21:$B$28,2,FALSE)</f>
        <v>1.8E-3</v>
      </c>
      <c r="I116">
        <f>VLOOKUP(C116&amp;"|"&amp;D116,rate_tables!$A$32:$B$39,2,FALSE)</f>
        <v>3.8E-3</v>
      </c>
      <c r="J116">
        <f t="shared" si="5"/>
        <v>95</v>
      </c>
      <c r="K116">
        <f t="shared" si="6"/>
        <v>40</v>
      </c>
      <c r="L116">
        <f t="shared" si="7"/>
        <v>10.236749999999999</v>
      </c>
      <c r="M116">
        <f t="shared" si="8"/>
        <v>21.610916666666668</v>
      </c>
      <c r="N116">
        <f t="shared" si="9"/>
        <v>166.84766666666667</v>
      </c>
    </row>
    <row r="117" spans="1:14" x14ac:dyDescent="0.45">
      <c r="A117">
        <v>116</v>
      </c>
      <c r="B117" t="s">
        <v>4</v>
      </c>
      <c r="C117" t="s">
        <v>8</v>
      </c>
      <c r="D117" t="s">
        <v>38</v>
      </c>
      <c r="E117">
        <v>66149</v>
      </c>
      <c r="F117">
        <f>VLOOKUP(C117&amp;"|"&amp;B117,rate_tables!$A$3:$B$8,2,FALSE)</f>
        <v>85</v>
      </c>
      <c r="G117">
        <f>VLOOKUP(C117&amp;"|"&amp;B117,rate_tables!$A$12:$B$17,2,FALSE)</f>
        <v>35</v>
      </c>
      <c r="H117">
        <f>VLOOKUP(C117&amp;"|"&amp;D117,rate_tables!$A$21:$B$28,2,FALSE)</f>
        <v>2E-3</v>
      </c>
      <c r="I117">
        <f>VLOOKUP(C117&amp;"|"&amp;D117,rate_tables!$A$32:$B$39,2,FALSE)</f>
        <v>4.4000000000000003E-3</v>
      </c>
      <c r="J117">
        <f t="shared" si="5"/>
        <v>85</v>
      </c>
      <c r="K117">
        <f t="shared" si="6"/>
        <v>35</v>
      </c>
      <c r="L117">
        <f t="shared" si="7"/>
        <v>11.024833333333333</v>
      </c>
      <c r="M117">
        <f t="shared" si="8"/>
        <v>24.254633333333334</v>
      </c>
      <c r="N117">
        <f t="shared" si="9"/>
        <v>155.27946666666668</v>
      </c>
    </row>
    <row r="118" spans="1:14" x14ac:dyDescent="0.45">
      <c r="A118">
        <v>117</v>
      </c>
      <c r="B118" t="s">
        <v>4</v>
      </c>
      <c r="C118" t="s">
        <v>8</v>
      </c>
      <c r="D118" t="s">
        <v>35</v>
      </c>
      <c r="E118">
        <v>53189</v>
      </c>
      <c r="F118">
        <f>VLOOKUP(C118&amp;"|"&amp;B118,rate_tables!$A$3:$B$8,2,FALSE)</f>
        <v>85</v>
      </c>
      <c r="G118">
        <f>VLOOKUP(C118&amp;"|"&amp;B118,rate_tables!$A$12:$B$17,2,FALSE)</f>
        <v>35</v>
      </c>
      <c r="H118">
        <f>VLOOKUP(C118&amp;"|"&amp;D118,rate_tables!$A$21:$B$28,2,FALSE)</f>
        <v>8.0000000000000004E-4</v>
      </c>
      <c r="I118">
        <f>VLOOKUP(C118&amp;"|"&amp;D118,rate_tables!$A$32:$B$39,2,FALSE)</f>
        <v>1.6000000000000001E-3</v>
      </c>
      <c r="J118">
        <f t="shared" si="5"/>
        <v>85</v>
      </c>
      <c r="K118">
        <f t="shared" si="6"/>
        <v>35</v>
      </c>
      <c r="L118">
        <f t="shared" si="7"/>
        <v>3.5459333333333336</v>
      </c>
      <c r="M118">
        <f t="shared" si="8"/>
        <v>7.0918666666666672</v>
      </c>
      <c r="N118">
        <f t="shared" si="9"/>
        <v>130.6378</v>
      </c>
    </row>
    <row r="119" spans="1:14" x14ac:dyDescent="0.45">
      <c r="A119">
        <v>118</v>
      </c>
      <c r="B119" t="s">
        <v>6</v>
      </c>
      <c r="C119" t="s">
        <v>9</v>
      </c>
      <c r="D119" t="s">
        <v>38</v>
      </c>
      <c r="E119">
        <v>75774</v>
      </c>
      <c r="F119">
        <f>VLOOKUP(C119&amp;"|"&amp;B119,rate_tables!$A$3:$B$8,2,FALSE)</f>
        <v>98</v>
      </c>
      <c r="G119">
        <f>VLOOKUP(C119&amp;"|"&amp;B119,rate_tables!$A$12:$B$17,2,FALSE)</f>
        <v>41</v>
      </c>
      <c r="H119">
        <f>VLOOKUP(C119&amp;"|"&amp;D119,rate_tables!$A$21:$B$28,2,FALSE)</f>
        <v>2.5999999999999999E-3</v>
      </c>
      <c r="I119">
        <f>VLOOKUP(C119&amp;"|"&amp;D119,rate_tables!$A$32:$B$39,2,FALSE)</f>
        <v>5.5999999999999999E-3</v>
      </c>
      <c r="J119">
        <f t="shared" si="5"/>
        <v>98</v>
      </c>
      <c r="K119">
        <f t="shared" si="6"/>
        <v>41</v>
      </c>
      <c r="L119">
        <f t="shared" si="7"/>
        <v>16.4177</v>
      </c>
      <c r="M119">
        <f t="shared" si="8"/>
        <v>35.361200000000004</v>
      </c>
      <c r="N119">
        <f t="shared" si="9"/>
        <v>190.77889999999999</v>
      </c>
    </row>
    <row r="120" spans="1:14" x14ac:dyDescent="0.45">
      <c r="A120">
        <v>119</v>
      </c>
      <c r="B120" t="s">
        <v>5</v>
      </c>
      <c r="C120" t="s">
        <v>8</v>
      </c>
      <c r="D120" t="s">
        <v>37</v>
      </c>
      <c r="E120">
        <v>88810</v>
      </c>
      <c r="F120">
        <f>VLOOKUP(C120&amp;"|"&amp;B120,rate_tables!$A$3:$B$8,2,FALSE)</f>
        <v>90</v>
      </c>
      <c r="G120">
        <f>VLOOKUP(C120&amp;"|"&amp;B120,rate_tables!$A$12:$B$17,2,FALSE)</f>
        <v>37</v>
      </c>
      <c r="H120">
        <f>VLOOKUP(C120&amp;"|"&amp;D120,rate_tables!$A$21:$B$28,2,FALSE)</f>
        <v>1.4E-3</v>
      </c>
      <c r="I120">
        <f>VLOOKUP(C120&amp;"|"&amp;D120,rate_tables!$A$32:$B$39,2,FALSE)</f>
        <v>3.0000000000000001E-3</v>
      </c>
      <c r="J120">
        <f t="shared" si="5"/>
        <v>90</v>
      </c>
      <c r="K120">
        <f t="shared" si="6"/>
        <v>37</v>
      </c>
      <c r="L120">
        <f t="shared" si="7"/>
        <v>10.361166666666668</v>
      </c>
      <c r="M120">
        <f t="shared" si="8"/>
        <v>22.202500000000001</v>
      </c>
      <c r="N120">
        <f t="shared" si="9"/>
        <v>159.56366666666668</v>
      </c>
    </row>
    <row r="121" spans="1:14" x14ac:dyDescent="0.45">
      <c r="A121">
        <v>120</v>
      </c>
      <c r="B121" t="s">
        <v>4</v>
      </c>
      <c r="C121" t="s">
        <v>8</v>
      </c>
      <c r="D121" t="s">
        <v>36</v>
      </c>
      <c r="E121">
        <v>55541</v>
      </c>
      <c r="F121">
        <f>VLOOKUP(C121&amp;"|"&amp;B121,rate_tables!$A$3:$B$8,2,FALSE)</f>
        <v>85</v>
      </c>
      <c r="G121">
        <f>VLOOKUP(C121&amp;"|"&amp;B121,rate_tables!$A$12:$B$17,2,FALSE)</f>
        <v>35</v>
      </c>
      <c r="H121">
        <f>VLOOKUP(C121&amp;"|"&amp;D121,rate_tables!$A$21:$B$28,2,FALSE)</f>
        <v>1E-3</v>
      </c>
      <c r="I121">
        <f>VLOOKUP(C121&amp;"|"&amp;D121,rate_tables!$A$32:$B$39,2,FALSE)</f>
        <v>2E-3</v>
      </c>
      <c r="J121">
        <f t="shared" si="5"/>
        <v>85</v>
      </c>
      <c r="K121">
        <f t="shared" si="6"/>
        <v>35</v>
      </c>
      <c r="L121">
        <f t="shared" si="7"/>
        <v>4.6284166666666673</v>
      </c>
      <c r="M121">
        <f t="shared" si="8"/>
        <v>9.2568333333333346</v>
      </c>
      <c r="N121">
        <f t="shared" si="9"/>
        <v>133.88525000000001</v>
      </c>
    </row>
    <row r="122" spans="1:14" x14ac:dyDescent="0.45">
      <c r="A122">
        <v>121</v>
      </c>
      <c r="B122" t="s">
        <v>4</v>
      </c>
      <c r="C122" t="s">
        <v>9</v>
      </c>
      <c r="D122" t="s">
        <v>37</v>
      </c>
      <c r="E122">
        <v>75885</v>
      </c>
      <c r="F122">
        <f>VLOOKUP(C122&amp;"|"&amp;B122,rate_tables!$A$3:$B$8,2,FALSE)</f>
        <v>95</v>
      </c>
      <c r="G122">
        <f>VLOOKUP(C122&amp;"|"&amp;B122,rate_tables!$A$12:$B$17,2,FALSE)</f>
        <v>40</v>
      </c>
      <c r="H122">
        <f>VLOOKUP(C122&amp;"|"&amp;D122,rate_tables!$A$21:$B$28,2,FALSE)</f>
        <v>1.8E-3</v>
      </c>
      <c r="I122">
        <f>VLOOKUP(C122&amp;"|"&amp;D122,rate_tables!$A$32:$B$39,2,FALSE)</f>
        <v>3.8E-3</v>
      </c>
      <c r="J122">
        <f t="shared" si="5"/>
        <v>95</v>
      </c>
      <c r="K122">
        <f t="shared" si="6"/>
        <v>40</v>
      </c>
      <c r="L122">
        <f t="shared" si="7"/>
        <v>11.38275</v>
      </c>
      <c r="M122">
        <f t="shared" si="8"/>
        <v>24.030249999999999</v>
      </c>
      <c r="N122">
        <f t="shared" si="9"/>
        <v>170.41299999999998</v>
      </c>
    </row>
    <row r="123" spans="1:14" x14ac:dyDescent="0.45">
      <c r="A123">
        <v>122</v>
      </c>
      <c r="B123" t="s">
        <v>4</v>
      </c>
      <c r="C123" t="s">
        <v>8</v>
      </c>
      <c r="D123" t="s">
        <v>36</v>
      </c>
      <c r="E123">
        <v>70190</v>
      </c>
      <c r="F123">
        <f>VLOOKUP(C123&amp;"|"&amp;B123,rate_tables!$A$3:$B$8,2,FALSE)</f>
        <v>85</v>
      </c>
      <c r="G123">
        <f>VLOOKUP(C123&amp;"|"&amp;B123,rate_tables!$A$12:$B$17,2,FALSE)</f>
        <v>35</v>
      </c>
      <c r="H123">
        <f>VLOOKUP(C123&amp;"|"&amp;D123,rate_tables!$A$21:$B$28,2,FALSE)</f>
        <v>1E-3</v>
      </c>
      <c r="I123">
        <f>VLOOKUP(C123&amp;"|"&amp;D123,rate_tables!$A$32:$B$39,2,FALSE)</f>
        <v>2E-3</v>
      </c>
      <c r="J123">
        <f t="shared" si="5"/>
        <v>85</v>
      </c>
      <c r="K123">
        <f t="shared" si="6"/>
        <v>35</v>
      </c>
      <c r="L123">
        <f t="shared" si="7"/>
        <v>5.8491666666666662</v>
      </c>
      <c r="M123">
        <f t="shared" si="8"/>
        <v>11.698333333333332</v>
      </c>
      <c r="N123">
        <f t="shared" si="9"/>
        <v>137.54749999999999</v>
      </c>
    </row>
    <row r="124" spans="1:14" x14ac:dyDescent="0.45">
      <c r="A124">
        <v>123</v>
      </c>
      <c r="B124" t="s">
        <v>4</v>
      </c>
      <c r="C124" t="s">
        <v>8</v>
      </c>
      <c r="D124" t="s">
        <v>35</v>
      </c>
      <c r="E124">
        <v>53780</v>
      </c>
      <c r="F124">
        <f>VLOOKUP(C124&amp;"|"&amp;B124,rate_tables!$A$3:$B$8,2,FALSE)</f>
        <v>85</v>
      </c>
      <c r="G124">
        <f>VLOOKUP(C124&amp;"|"&amp;B124,rate_tables!$A$12:$B$17,2,FALSE)</f>
        <v>35</v>
      </c>
      <c r="H124">
        <f>VLOOKUP(C124&amp;"|"&amp;D124,rate_tables!$A$21:$B$28,2,FALSE)</f>
        <v>8.0000000000000004E-4</v>
      </c>
      <c r="I124">
        <f>VLOOKUP(C124&amp;"|"&amp;D124,rate_tables!$A$32:$B$39,2,FALSE)</f>
        <v>1.6000000000000001E-3</v>
      </c>
      <c r="J124">
        <f t="shared" si="5"/>
        <v>85</v>
      </c>
      <c r="K124">
        <f t="shared" si="6"/>
        <v>35</v>
      </c>
      <c r="L124">
        <f t="shared" si="7"/>
        <v>3.5853333333333333</v>
      </c>
      <c r="M124">
        <f t="shared" si="8"/>
        <v>7.1706666666666665</v>
      </c>
      <c r="N124">
        <f t="shared" si="9"/>
        <v>130.756</v>
      </c>
    </row>
    <row r="125" spans="1:14" x14ac:dyDescent="0.45">
      <c r="A125">
        <v>124</v>
      </c>
      <c r="B125" t="s">
        <v>4</v>
      </c>
      <c r="C125" t="s">
        <v>9</v>
      </c>
      <c r="D125" t="s">
        <v>37</v>
      </c>
      <c r="E125">
        <v>60942</v>
      </c>
      <c r="F125">
        <f>VLOOKUP(C125&amp;"|"&amp;B125,rate_tables!$A$3:$B$8,2,FALSE)</f>
        <v>95</v>
      </c>
      <c r="G125">
        <f>VLOOKUP(C125&amp;"|"&amp;B125,rate_tables!$A$12:$B$17,2,FALSE)</f>
        <v>40</v>
      </c>
      <c r="H125">
        <f>VLOOKUP(C125&amp;"|"&amp;D125,rate_tables!$A$21:$B$28,2,FALSE)</f>
        <v>1.8E-3</v>
      </c>
      <c r="I125">
        <f>VLOOKUP(C125&amp;"|"&amp;D125,rate_tables!$A$32:$B$39,2,FALSE)</f>
        <v>3.8E-3</v>
      </c>
      <c r="J125">
        <f t="shared" si="5"/>
        <v>95</v>
      </c>
      <c r="K125">
        <f t="shared" si="6"/>
        <v>40</v>
      </c>
      <c r="L125">
        <f t="shared" si="7"/>
        <v>9.1412999999999993</v>
      </c>
      <c r="M125">
        <f t="shared" si="8"/>
        <v>19.298300000000001</v>
      </c>
      <c r="N125">
        <f t="shared" si="9"/>
        <v>163.43960000000001</v>
      </c>
    </row>
    <row r="126" spans="1:14" x14ac:dyDescent="0.45">
      <c r="A126">
        <v>125</v>
      </c>
      <c r="B126" t="s">
        <v>6</v>
      </c>
      <c r="C126" t="s">
        <v>8</v>
      </c>
      <c r="D126" t="s">
        <v>36</v>
      </c>
      <c r="E126">
        <v>72612</v>
      </c>
      <c r="F126">
        <f>VLOOKUP(C126&amp;"|"&amp;B126,rate_tables!$A$3:$B$8,2,FALSE)</f>
        <v>88</v>
      </c>
      <c r="G126">
        <f>VLOOKUP(C126&amp;"|"&amp;B126,rate_tables!$A$12:$B$17,2,FALSE)</f>
        <v>36</v>
      </c>
      <c r="H126">
        <f>VLOOKUP(C126&amp;"|"&amp;D126,rate_tables!$A$21:$B$28,2,FALSE)</f>
        <v>1E-3</v>
      </c>
      <c r="I126">
        <f>VLOOKUP(C126&amp;"|"&amp;D126,rate_tables!$A$32:$B$39,2,FALSE)</f>
        <v>2E-3</v>
      </c>
      <c r="J126">
        <f t="shared" si="5"/>
        <v>88</v>
      </c>
      <c r="K126">
        <f t="shared" si="6"/>
        <v>36</v>
      </c>
      <c r="L126">
        <f t="shared" si="7"/>
        <v>6.0509999999999993</v>
      </c>
      <c r="M126">
        <f t="shared" si="8"/>
        <v>12.101999999999999</v>
      </c>
      <c r="N126">
        <f t="shared" si="9"/>
        <v>142.15299999999999</v>
      </c>
    </row>
    <row r="127" spans="1:14" x14ac:dyDescent="0.45">
      <c r="A127">
        <v>126</v>
      </c>
      <c r="B127" t="s">
        <v>4</v>
      </c>
      <c r="C127" t="s">
        <v>9</v>
      </c>
      <c r="D127" t="s">
        <v>36</v>
      </c>
      <c r="E127">
        <v>49346</v>
      </c>
      <c r="F127">
        <f>VLOOKUP(C127&amp;"|"&amp;B127,rate_tables!$A$3:$B$8,2,FALSE)</f>
        <v>95</v>
      </c>
      <c r="G127">
        <f>VLOOKUP(C127&amp;"|"&amp;B127,rate_tables!$A$12:$B$17,2,FALSE)</f>
        <v>40</v>
      </c>
      <c r="H127">
        <f>VLOOKUP(C127&amp;"|"&amp;D127,rate_tables!$A$21:$B$28,2,FALSE)</f>
        <v>1.2999999999999999E-3</v>
      </c>
      <c r="I127">
        <f>VLOOKUP(C127&amp;"|"&amp;D127,rate_tables!$A$32:$B$39,2,FALSE)</f>
        <v>2.5999999999999999E-3</v>
      </c>
      <c r="J127">
        <f t="shared" si="5"/>
        <v>95</v>
      </c>
      <c r="K127">
        <f t="shared" si="6"/>
        <v>40</v>
      </c>
      <c r="L127">
        <f t="shared" si="7"/>
        <v>5.3458166666666669</v>
      </c>
      <c r="M127">
        <f t="shared" si="8"/>
        <v>10.691633333333334</v>
      </c>
      <c r="N127">
        <f t="shared" si="9"/>
        <v>151.03745000000001</v>
      </c>
    </row>
    <row r="128" spans="1:14" x14ac:dyDescent="0.45">
      <c r="A128">
        <v>127</v>
      </c>
      <c r="B128" t="s">
        <v>6</v>
      </c>
      <c r="C128" t="s">
        <v>8</v>
      </c>
      <c r="D128" t="s">
        <v>36</v>
      </c>
      <c r="E128">
        <v>110389</v>
      </c>
      <c r="F128">
        <f>VLOOKUP(C128&amp;"|"&amp;B128,rate_tables!$A$3:$B$8,2,FALSE)</f>
        <v>88</v>
      </c>
      <c r="G128">
        <f>VLOOKUP(C128&amp;"|"&amp;B128,rate_tables!$A$12:$B$17,2,FALSE)</f>
        <v>36</v>
      </c>
      <c r="H128">
        <f>VLOOKUP(C128&amp;"|"&amp;D128,rate_tables!$A$21:$B$28,2,FALSE)</f>
        <v>1E-3</v>
      </c>
      <c r="I128">
        <f>VLOOKUP(C128&amp;"|"&amp;D128,rate_tables!$A$32:$B$39,2,FALSE)</f>
        <v>2E-3</v>
      </c>
      <c r="J128">
        <f t="shared" si="5"/>
        <v>88</v>
      </c>
      <c r="K128">
        <f t="shared" si="6"/>
        <v>36</v>
      </c>
      <c r="L128">
        <f t="shared" si="7"/>
        <v>9.1990833333333324</v>
      </c>
      <c r="M128">
        <f t="shared" si="8"/>
        <v>18.398166666666665</v>
      </c>
      <c r="N128">
        <f t="shared" si="9"/>
        <v>151.59725</v>
      </c>
    </row>
    <row r="129" spans="1:14" x14ac:dyDescent="0.45">
      <c r="A129">
        <v>128</v>
      </c>
      <c r="B129" t="s">
        <v>4</v>
      </c>
      <c r="C129" t="s">
        <v>9</v>
      </c>
      <c r="D129" t="s">
        <v>35</v>
      </c>
      <c r="E129">
        <v>78357</v>
      </c>
      <c r="F129">
        <f>VLOOKUP(C129&amp;"|"&amp;B129,rate_tables!$A$3:$B$8,2,FALSE)</f>
        <v>95</v>
      </c>
      <c r="G129">
        <f>VLOOKUP(C129&amp;"|"&amp;B129,rate_tables!$A$12:$B$17,2,FALSE)</f>
        <v>40</v>
      </c>
      <c r="H129">
        <f>VLOOKUP(C129&amp;"|"&amp;D129,rate_tables!$A$21:$B$28,2,FALSE)</f>
        <v>1E-3</v>
      </c>
      <c r="I129">
        <f>VLOOKUP(C129&amp;"|"&amp;D129,rate_tables!$A$32:$B$39,2,FALSE)</f>
        <v>2E-3</v>
      </c>
      <c r="J129">
        <f t="shared" si="5"/>
        <v>95</v>
      </c>
      <c r="K129">
        <f t="shared" si="6"/>
        <v>40</v>
      </c>
      <c r="L129">
        <f t="shared" si="7"/>
        <v>6.5297499999999999</v>
      </c>
      <c r="M129">
        <f t="shared" si="8"/>
        <v>13.0595</v>
      </c>
      <c r="N129">
        <f t="shared" si="9"/>
        <v>154.58924999999999</v>
      </c>
    </row>
    <row r="130" spans="1:14" x14ac:dyDescent="0.45">
      <c r="A130">
        <v>129</v>
      </c>
      <c r="B130" t="s">
        <v>4</v>
      </c>
      <c r="C130" t="s">
        <v>8</v>
      </c>
      <c r="D130" t="s">
        <v>35</v>
      </c>
      <c r="E130">
        <v>82612</v>
      </c>
      <c r="F130">
        <f>VLOOKUP(C130&amp;"|"&amp;B130,rate_tables!$A$3:$B$8,2,FALSE)</f>
        <v>85</v>
      </c>
      <c r="G130">
        <f>VLOOKUP(C130&amp;"|"&amp;B130,rate_tables!$A$12:$B$17,2,FALSE)</f>
        <v>35</v>
      </c>
      <c r="H130">
        <f>VLOOKUP(C130&amp;"|"&amp;D130,rate_tables!$A$21:$B$28,2,FALSE)</f>
        <v>8.0000000000000004E-4</v>
      </c>
      <c r="I130">
        <f>VLOOKUP(C130&amp;"|"&amp;D130,rate_tables!$A$32:$B$39,2,FALSE)</f>
        <v>1.6000000000000001E-3</v>
      </c>
      <c r="J130">
        <f t="shared" si="5"/>
        <v>85</v>
      </c>
      <c r="K130">
        <f t="shared" si="6"/>
        <v>35</v>
      </c>
      <c r="L130">
        <f t="shared" si="7"/>
        <v>5.5074666666666667</v>
      </c>
      <c r="M130">
        <f t="shared" si="8"/>
        <v>11.014933333333333</v>
      </c>
      <c r="N130">
        <f t="shared" si="9"/>
        <v>136.5224</v>
      </c>
    </row>
    <row r="131" spans="1:14" x14ac:dyDescent="0.45">
      <c r="A131">
        <v>130</v>
      </c>
      <c r="B131" t="s">
        <v>4</v>
      </c>
      <c r="C131" t="s">
        <v>9</v>
      </c>
      <c r="D131" t="s">
        <v>36</v>
      </c>
      <c r="E131">
        <v>61664</v>
      </c>
      <c r="F131">
        <f>VLOOKUP(C131&amp;"|"&amp;B131,rate_tables!$A$3:$B$8,2,FALSE)</f>
        <v>95</v>
      </c>
      <c r="G131">
        <f>VLOOKUP(C131&amp;"|"&amp;B131,rate_tables!$A$12:$B$17,2,FALSE)</f>
        <v>40</v>
      </c>
      <c r="H131">
        <f>VLOOKUP(C131&amp;"|"&amp;D131,rate_tables!$A$21:$B$28,2,FALSE)</f>
        <v>1.2999999999999999E-3</v>
      </c>
      <c r="I131">
        <f>VLOOKUP(C131&amp;"|"&amp;D131,rate_tables!$A$32:$B$39,2,FALSE)</f>
        <v>2.5999999999999999E-3</v>
      </c>
      <c r="J131">
        <f t="shared" ref="J131:J194" si="10">F131</f>
        <v>95</v>
      </c>
      <c r="K131">
        <f t="shared" ref="K131:K194" si="11">G131</f>
        <v>40</v>
      </c>
      <c r="L131">
        <f t="shared" ref="L131:L194" si="12">H131*E131/12</f>
        <v>6.6802666666666672</v>
      </c>
      <c r="M131">
        <f t="shared" ref="M131:M194" si="13">I131*E131/12</f>
        <v>13.360533333333334</v>
      </c>
      <c r="N131">
        <f t="shared" ref="N131:N194" si="14">SUM(J131:M131)</f>
        <v>155.04079999999999</v>
      </c>
    </row>
    <row r="132" spans="1:14" x14ac:dyDescent="0.45">
      <c r="A132">
        <v>131</v>
      </c>
      <c r="B132" t="s">
        <v>4</v>
      </c>
      <c r="C132" t="s">
        <v>8</v>
      </c>
      <c r="D132" t="s">
        <v>37</v>
      </c>
      <c r="E132">
        <v>118293</v>
      </c>
      <c r="F132">
        <f>VLOOKUP(C132&amp;"|"&amp;B132,rate_tables!$A$3:$B$8,2,FALSE)</f>
        <v>85</v>
      </c>
      <c r="G132">
        <f>VLOOKUP(C132&amp;"|"&amp;B132,rate_tables!$A$12:$B$17,2,FALSE)</f>
        <v>35</v>
      </c>
      <c r="H132">
        <f>VLOOKUP(C132&amp;"|"&amp;D132,rate_tables!$A$21:$B$28,2,FALSE)</f>
        <v>1.4E-3</v>
      </c>
      <c r="I132">
        <f>VLOOKUP(C132&amp;"|"&amp;D132,rate_tables!$A$32:$B$39,2,FALSE)</f>
        <v>3.0000000000000001E-3</v>
      </c>
      <c r="J132">
        <f t="shared" si="10"/>
        <v>85</v>
      </c>
      <c r="K132">
        <f t="shared" si="11"/>
        <v>35</v>
      </c>
      <c r="L132">
        <f t="shared" si="12"/>
        <v>13.800849999999999</v>
      </c>
      <c r="M132">
        <f t="shared" si="13"/>
        <v>29.573250000000002</v>
      </c>
      <c r="N132">
        <f t="shared" si="14"/>
        <v>163.3741</v>
      </c>
    </row>
    <row r="133" spans="1:14" x14ac:dyDescent="0.45">
      <c r="A133">
        <v>132</v>
      </c>
      <c r="B133" t="s">
        <v>4</v>
      </c>
      <c r="C133" t="s">
        <v>8</v>
      </c>
      <c r="D133" t="s">
        <v>36</v>
      </c>
      <c r="E133">
        <v>72234</v>
      </c>
      <c r="F133">
        <f>VLOOKUP(C133&amp;"|"&amp;B133,rate_tables!$A$3:$B$8,2,FALSE)</f>
        <v>85</v>
      </c>
      <c r="G133">
        <f>VLOOKUP(C133&amp;"|"&amp;B133,rate_tables!$A$12:$B$17,2,FALSE)</f>
        <v>35</v>
      </c>
      <c r="H133">
        <f>VLOOKUP(C133&amp;"|"&amp;D133,rate_tables!$A$21:$B$28,2,FALSE)</f>
        <v>1E-3</v>
      </c>
      <c r="I133">
        <f>VLOOKUP(C133&amp;"|"&amp;D133,rate_tables!$A$32:$B$39,2,FALSE)</f>
        <v>2E-3</v>
      </c>
      <c r="J133">
        <f t="shared" si="10"/>
        <v>85</v>
      </c>
      <c r="K133">
        <f t="shared" si="11"/>
        <v>35</v>
      </c>
      <c r="L133">
        <f t="shared" si="12"/>
        <v>6.0194999999999999</v>
      </c>
      <c r="M133">
        <f t="shared" si="13"/>
        <v>12.039</v>
      </c>
      <c r="N133">
        <f t="shared" si="14"/>
        <v>138.05849999999998</v>
      </c>
    </row>
    <row r="134" spans="1:14" x14ac:dyDescent="0.45">
      <c r="A134">
        <v>133</v>
      </c>
      <c r="B134" t="s">
        <v>4</v>
      </c>
      <c r="C134" t="s">
        <v>9</v>
      </c>
      <c r="D134" t="s">
        <v>37</v>
      </c>
      <c r="E134">
        <v>79367</v>
      </c>
      <c r="F134">
        <f>VLOOKUP(C134&amp;"|"&amp;B134,rate_tables!$A$3:$B$8,2,FALSE)</f>
        <v>95</v>
      </c>
      <c r="G134">
        <f>VLOOKUP(C134&amp;"|"&amp;B134,rate_tables!$A$12:$B$17,2,FALSE)</f>
        <v>40</v>
      </c>
      <c r="H134">
        <f>VLOOKUP(C134&amp;"|"&amp;D134,rate_tables!$A$21:$B$28,2,FALSE)</f>
        <v>1.8E-3</v>
      </c>
      <c r="I134">
        <f>VLOOKUP(C134&amp;"|"&amp;D134,rate_tables!$A$32:$B$39,2,FALSE)</f>
        <v>3.8E-3</v>
      </c>
      <c r="J134">
        <f t="shared" si="10"/>
        <v>95</v>
      </c>
      <c r="K134">
        <f t="shared" si="11"/>
        <v>40</v>
      </c>
      <c r="L134">
        <f t="shared" si="12"/>
        <v>11.905050000000001</v>
      </c>
      <c r="M134">
        <f t="shared" si="13"/>
        <v>25.132883333333336</v>
      </c>
      <c r="N134">
        <f t="shared" si="14"/>
        <v>172.03793333333331</v>
      </c>
    </row>
    <row r="135" spans="1:14" x14ac:dyDescent="0.45">
      <c r="A135">
        <v>134</v>
      </c>
      <c r="B135" t="s">
        <v>5</v>
      </c>
      <c r="C135" t="s">
        <v>9</v>
      </c>
      <c r="D135" t="s">
        <v>37</v>
      </c>
      <c r="E135">
        <v>58575</v>
      </c>
      <c r="F135">
        <f>VLOOKUP(C135&amp;"|"&amp;B135,rate_tables!$A$3:$B$8,2,FALSE)</f>
        <v>100</v>
      </c>
      <c r="G135">
        <f>VLOOKUP(C135&amp;"|"&amp;B135,rate_tables!$A$12:$B$17,2,FALSE)</f>
        <v>42</v>
      </c>
      <c r="H135">
        <f>VLOOKUP(C135&amp;"|"&amp;D135,rate_tables!$A$21:$B$28,2,FALSE)</f>
        <v>1.8E-3</v>
      </c>
      <c r="I135">
        <f>VLOOKUP(C135&amp;"|"&amp;D135,rate_tables!$A$32:$B$39,2,FALSE)</f>
        <v>3.8E-3</v>
      </c>
      <c r="J135">
        <f t="shared" si="10"/>
        <v>100</v>
      </c>
      <c r="K135">
        <f t="shared" si="11"/>
        <v>42</v>
      </c>
      <c r="L135">
        <f t="shared" si="12"/>
        <v>8.7862500000000008</v>
      </c>
      <c r="M135">
        <f t="shared" si="13"/>
        <v>18.548750000000002</v>
      </c>
      <c r="N135">
        <f t="shared" si="14"/>
        <v>169.33500000000001</v>
      </c>
    </row>
    <row r="136" spans="1:14" x14ac:dyDescent="0.45">
      <c r="A136">
        <v>135</v>
      </c>
      <c r="B136" t="s">
        <v>4</v>
      </c>
      <c r="C136" t="s">
        <v>9</v>
      </c>
      <c r="D136" t="s">
        <v>36</v>
      </c>
      <c r="E136">
        <v>46448</v>
      </c>
      <c r="F136">
        <f>VLOOKUP(C136&amp;"|"&amp;B136,rate_tables!$A$3:$B$8,2,FALSE)</f>
        <v>95</v>
      </c>
      <c r="G136">
        <f>VLOOKUP(C136&amp;"|"&amp;B136,rate_tables!$A$12:$B$17,2,FALSE)</f>
        <v>40</v>
      </c>
      <c r="H136">
        <f>VLOOKUP(C136&amp;"|"&amp;D136,rate_tables!$A$21:$B$28,2,FALSE)</f>
        <v>1.2999999999999999E-3</v>
      </c>
      <c r="I136">
        <f>VLOOKUP(C136&amp;"|"&amp;D136,rate_tables!$A$32:$B$39,2,FALSE)</f>
        <v>2.5999999999999999E-3</v>
      </c>
      <c r="J136">
        <f t="shared" si="10"/>
        <v>95</v>
      </c>
      <c r="K136">
        <f t="shared" si="11"/>
        <v>40</v>
      </c>
      <c r="L136">
        <f t="shared" si="12"/>
        <v>5.0318666666666667</v>
      </c>
      <c r="M136">
        <f t="shared" si="13"/>
        <v>10.063733333333333</v>
      </c>
      <c r="N136">
        <f t="shared" si="14"/>
        <v>150.09560000000002</v>
      </c>
    </row>
    <row r="137" spans="1:14" x14ac:dyDescent="0.45">
      <c r="A137">
        <v>136</v>
      </c>
      <c r="B137" t="s">
        <v>4</v>
      </c>
      <c r="C137" t="s">
        <v>8</v>
      </c>
      <c r="D137" t="s">
        <v>37</v>
      </c>
      <c r="E137">
        <v>61873</v>
      </c>
      <c r="F137">
        <f>VLOOKUP(C137&amp;"|"&amp;B137,rate_tables!$A$3:$B$8,2,FALSE)</f>
        <v>85</v>
      </c>
      <c r="G137">
        <f>VLOOKUP(C137&amp;"|"&amp;B137,rate_tables!$A$12:$B$17,2,FALSE)</f>
        <v>35</v>
      </c>
      <c r="H137">
        <f>VLOOKUP(C137&amp;"|"&amp;D137,rate_tables!$A$21:$B$28,2,FALSE)</f>
        <v>1.4E-3</v>
      </c>
      <c r="I137">
        <f>VLOOKUP(C137&amp;"|"&amp;D137,rate_tables!$A$32:$B$39,2,FALSE)</f>
        <v>3.0000000000000001E-3</v>
      </c>
      <c r="J137">
        <f t="shared" si="10"/>
        <v>85</v>
      </c>
      <c r="K137">
        <f t="shared" si="11"/>
        <v>35</v>
      </c>
      <c r="L137">
        <f t="shared" si="12"/>
        <v>7.218516666666666</v>
      </c>
      <c r="M137">
        <f t="shared" si="13"/>
        <v>15.468249999999999</v>
      </c>
      <c r="N137">
        <f t="shared" si="14"/>
        <v>142.68676666666667</v>
      </c>
    </row>
    <row r="138" spans="1:14" x14ac:dyDescent="0.45">
      <c r="A138">
        <v>137</v>
      </c>
      <c r="B138" t="s">
        <v>6</v>
      </c>
      <c r="C138" t="s">
        <v>8</v>
      </c>
      <c r="D138" t="s">
        <v>37</v>
      </c>
      <c r="E138">
        <v>54736</v>
      </c>
      <c r="F138">
        <f>VLOOKUP(C138&amp;"|"&amp;B138,rate_tables!$A$3:$B$8,2,FALSE)</f>
        <v>88</v>
      </c>
      <c r="G138">
        <f>VLOOKUP(C138&amp;"|"&amp;B138,rate_tables!$A$12:$B$17,2,FALSE)</f>
        <v>36</v>
      </c>
      <c r="H138">
        <f>VLOOKUP(C138&amp;"|"&amp;D138,rate_tables!$A$21:$B$28,2,FALSE)</f>
        <v>1.4E-3</v>
      </c>
      <c r="I138">
        <f>VLOOKUP(C138&amp;"|"&amp;D138,rate_tables!$A$32:$B$39,2,FALSE)</f>
        <v>3.0000000000000001E-3</v>
      </c>
      <c r="J138">
        <f t="shared" si="10"/>
        <v>88</v>
      </c>
      <c r="K138">
        <f t="shared" si="11"/>
        <v>36</v>
      </c>
      <c r="L138">
        <f t="shared" si="12"/>
        <v>6.3858666666666659</v>
      </c>
      <c r="M138">
        <f t="shared" si="13"/>
        <v>13.683999999999999</v>
      </c>
      <c r="N138">
        <f t="shared" si="14"/>
        <v>144.06986666666666</v>
      </c>
    </row>
    <row r="139" spans="1:14" x14ac:dyDescent="0.45">
      <c r="A139">
        <v>138</v>
      </c>
      <c r="B139" t="s">
        <v>6</v>
      </c>
      <c r="C139" t="s">
        <v>9</v>
      </c>
      <c r="D139" t="s">
        <v>35</v>
      </c>
      <c r="E139">
        <v>61372</v>
      </c>
      <c r="F139">
        <f>VLOOKUP(C139&amp;"|"&amp;B139,rate_tables!$A$3:$B$8,2,FALSE)</f>
        <v>98</v>
      </c>
      <c r="G139">
        <f>VLOOKUP(C139&amp;"|"&amp;B139,rate_tables!$A$12:$B$17,2,FALSE)</f>
        <v>41</v>
      </c>
      <c r="H139">
        <f>VLOOKUP(C139&amp;"|"&amp;D139,rate_tables!$A$21:$B$28,2,FALSE)</f>
        <v>1E-3</v>
      </c>
      <c r="I139">
        <f>VLOOKUP(C139&amp;"|"&amp;D139,rate_tables!$A$32:$B$39,2,FALSE)</f>
        <v>2E-3</v>
      </c>
      <c r="J139">
        <f t="shared" si="10"/>
        <v>98</v>
      </c>
      <c r="K139">
        <f t="shared" si="11"/>
        <v>41</v>
      </c>
      <c r="L139">
        <f t="shared" si="12"/>
        <v>5.1143333333333336</v>
      </c>
      <c r="M139">
        <f t="shared" si="13"/>
        <v>10.228666666666667</v>
      </c>
      <c r="N139">
        <f t="shared" si="14"/>
        <v>154.34299999999999</v>
      </c>
    </row>
    <row r="140" spans="1:14" x14ac:dyDescent="0.45">
      <c r="A140">
        <v>139</v>
      </c>
      <c r="B140" t="s">
        <v>4</v>
      </c>
      <c r="C140" t="s">
        <v>8</v>
      </c>
      <c r="D140" t="s">
        <v>38</v>
      </c>
      <c r="E140">
        <v>80928</v>
      </c>
      <c r="F140">
        <f>VLOOKUP(C140&amp;"|"&amp;B140,rate_tables!$A$3:$B$8,2,FALSE)</f>
        <v>85</v>
      </c>
      <c r="G140">
        <f>VLOOKUP(C140&amp;"|"&amp;B140,rate_tables!$A$12:$B$17,2,FALSE)</f>
        <v>35</v>
      </c>
      <c r="H140">
        <f>VLOOKUP(C140&amp;"|"&amp;D140,rate_tables!$A$21:$B$28,2,FALSE)</f>
        <v>2E-3</v>
      </c>
      <c r="I140">
        <f>VLOOKUP(C140&amp;"|"&amp;D140,rate_tables!$A$32:$B$39,2,FALSE)</f>
        <v>4.4000000000000003E-3</v>
      </c>
      <c r="J140">
        <f t="shared" si="10"/>
        <v>85</v>
      </c>
      <c r="K140">
        <f t="shared" si="11"/>
        <v>35</v>
      </c>
      <c r="L140">
        <f t="shared" si="12"/>
        <v>13.488</v>
      </c>
      <c r="M140">
        <f t="shared" si="13"/>
        <v>29.673600000000004</v>
      </c>
      <c r="N140">
        <f t="shared" si="14"/>
        <v>163.16159999999999</v>
      </c>
    </row>
    <row r="141" spans="1:14" x14ac:dyDescent="0.45">
      <c r="A141">
        <v>140</v>
      </c>
      <c r="B141" t="s">
        <v>4</v>
      </c>
      <c r="C141" t="s">
        <v>8</v>
      </c>
      <c r="D141" t="s">
        <v>38</v>
      </c>
      <c r="E141">
        <v>87134</v>
      </c>
      <c r="F141">
        <f>VLOOKUP(C141&amp;"|"&amp;B141,rate_tables!$A$3:$B$8,2,FALSE)</f>
        <v>85</v>
      </c>
      <c r="G141">
        <f>VLOOKUP(C141&amp;"|"&amp;B141,rate_tables!$A$12:$B$17,2,FALSE)</f>
        <v>35</v>
      </c>
      <c r="H141">
        <f>VLOOKUP(C141&amp;"|"&amp;D141,rate_tables!$A$21:$B$28,2,FALSE)</f>
        <v>2E-3</v>
      </c>
      <c r="I141">
        <f>VLOOKUP(C141&amp;"|"&amp;D141,rate_tables!$A$32:$B$39,2,FALSE)</f>
        <v>4.4000000000000003E-3</v>
      </c>
      <c r="J141">
        <f t="shared" si="10"/>
        <v>85</v>
      </c>
      <c r="K141">
        <f t="shared" si="11"/>
        <v>35</v>
      </c>
      <c r="L141">
        <f t="shared" si="12"/>
        <v>14.522333333333334</v>
      </c>
      <c r="M141">
        <f t="shared" si="13"/>
        <v>31.949133333333336</v>
      </c>
      <c r="N141">
        <f t="shared" si="14"/>
        <v>166.47146666666669</v>
      </c>
    </row>
    <row r="142" spans="1:14" x14ac:dyDescent="0.45">
      <c r="A142">
        <v>141</v>
      </c>
      <c r="B142" t="s">
        <v>6</v>
      </c>
      <c r="C142" t="s">
        <v>8</v>
      </c>
      <c r="D142" t="s">
        <v>36</v>
      </c>
      <c r="E142">
        <v>52582</v>
      </c>
      <c r="F142">
        <f>VLOOKUP(C142&amp;"|"&amp;B142,rate_tables!$A$3:$B$8,2,FALSE)</f>
        <v>88</v>
      </c>
      <c r="G142">
        <f>VLOOKUP(C142&amp;"|"&amp;B142,rate_tables!$A$12:$B$17,2,FALSE)</f>
        <v>36</v>
      </c>
      <c r="H142">
        <f>VLOOKUP(C142&amp;"|"&amp;D142,rate_tables!$A$21:$B$28,2,FALSE)</f>
        <v>1E-3</v>
      </c>
      <c r="I142">
        <f>VLOOKUP(C142&amp;"|"&amp;D142,rate_tables!$A$32:$B$39,2,FALSE)</f>
        <v>2E-3</v>
      </c>
      <c r="J142">
        <f t="shared" si="10"/>
        <v>88</v>
      </c>
      <c r="K142">
        <f t="shared" si="11"/>
        <v>36</v>
      </c>
      <c r="L142">
        <f t="shared" si="12"/>
        <v>4.3818333333333337</v>
      </c>
      <c r="M142">
        <f t="shared" si="13"/>
        <v>8.7636666666666674</v>
      </c>
      <c r="N142">
        <f t="shared" si="14"/>
        <v>137.1455</v>
      </c>
    </row>
    <row r="143" spans="1:14" x14ac:dyDescent="0.45">
      <c r="A143">
        <v>142</v>
      </c>
      <c r="B143" t="s">
        <v>4</v>
      </c>
      <c r="C143" t="s">
        <v>8</v>
      </c>
      <c r="D143" t="s">
        <v>38</v>
      </c>
      <c r="E143">
        <v>55667</v>
      </c>
      <c r="F143">
        <f>VLOOKUP(C143&amp;"|"&amp;B143,rate_tables!$A$3:$B$8,2,FALSE)</f>
        <v>85</v>
      </c>
      <c r="G143">
        <f>VLOOKUP(C143&amp;"|"&amp;B143,rate_tables!$A$12:$B$17,2,FALSE)</f>
        <v>35</v>
      </c>
      <c r="H143">
        <f>VLOOKUP(C143&amp;"|"&amp;D143,rate_tables!$A$21:$B$28,2,FALSE)</f>
        <v>2E-3</v>
      </c>
      <c r="I143">
        <f>VLOOKUP(C143&amp;"|"&amp;D143,rate_tables!$A$32:$B$39,2,FALSE)</f>
        <v>4.4000000000000003E-3</v>
      </c>
      <c r="J143">
        <f t="shared" si="10"/>
        <v>85</v>
      </c>
      <c r="K143">
        <f t="shared" si="11"/>
        <v>35</v>
      </c>
      <c r="L143">
        <f t="shared" si="12"/>
        <v>9.2778333333333336</v>
      </c>
      <c r="M143">
        <f t="shared" si="13"/>
        <v>20.411233333333335</v>
      </c>
      <c r="N143">
        <f t="shared" si="14"/>
        <v>149.68906666666666</v>
      </c>
    </row>
    <row r="144" spans="1:14" x14ac:dyDescent="0.45">
      <c r="A144">
        <v>143</v>
      </c>
      <c r="B144" t="s">
        <v>4</v>
      </c>
      <c r="C144" t="s">
        <v>8</v>
      </c>
      <c r="D144" t="s">
        <v>36</v>
      </c>
      <c r="E144">
        <v>126755</v>
      </c>
      <c r="F144">
        <f>VLOOKUP(C144&amp;"|"&amp;B144,rate_tables!$A$3:$B$8,2,FALSE)</f>
        <v>85</v>
      </c>
      <c r="G144">
        <f>VLOOKUP(C144&amp;"|"&amp;B144,rate_tables!$A$12:$B$17,2,FALSE)</f>
        <v>35</v>
      </c>
      <c r="H144">
        <f>VLOOKUP(C144&amp;"|"&amp;D144,rate_tables!$A$21:$B$28,2,FALSE)</f>
        <v>1E-3</v>
      </c>
      <c r="I144">
        <f>VLOOKUP(C144&amp;"|"&amp;D144,rate_tables!$A$32:$B$39,2,FALSE)</f>
        <v>2E-3</v>
      </c>
      <c r="J144">
        <f t="shared" si="10"/>
        <v>85</v>
      </c>
      <c r="K144">
        <f t="shared" si="11"/>
        <v>35</v>
      </c>
      <c r="L144">
        <f t="shared" si="12"/>
        <v>10.562916666666668</v>
      </c>
      <c r="M144">
        <f t="shared" si="13"/>
        <v>21.125833333333336</v>
      </c>
      <c r="N144">
        <f t="shared" si="14"/>
        <v>151.68875</v>
      </c>
    </row>
    <row r="145" spans="1:14" x14ac:dyDescent="0.45">
      <c r="A145">
        <v>144</v>
      </c>
      <c r="B145" t="s">
        <v>5</v>
      </c>
      <c r="C145" t="s">
        <v>8</v>
      </c>
      <c r="D145" t="s">
        <v>38</v>
      </c>
      <c r="E145">
        <v>50528</v>
      </c>
      <c r="F145">
        <f>VLOOKUP(C145&amp;"|"&amp;B145,rate_tables!$A$3:$B$8,2,FALSE)</f>
        <v>90</v>
      </c>
      <c r="G145">
        <f>VLOOKUP(C145&amp;"|"&amp;B145,rate_tables!$A$12:$B$17,2,FALSE)</f>
        <v>37</v>
      </c>
      <c r="H145">
        <f>VLOOKUP(C145&amp;"|"&amp;D145,rate_tables!$A$21:$B$28,2,FALSE)</f>
        <v>2E-3</v>
      </c>
      <c r="I145">
        <f>VLOOKUP(C145&amp;"|"&amp;D145,rate_tables!$A$32:$B$39,2,FALSE)</f>
        <v>4.4000000000000003E-3</v>
      </c>
      <c r="J145">
        <f t="shared" si="10"/>
        <v>90</v>
      </c>
      <c r="K145">
        <f t="shared" si="11"/>
        <v>37</v>
      </c>
      <c r="L145">
        <f t="shared" si="12"/>
        <v>8.4213333333333331</v>
      </c>
      <c r="M145">
        <f t="shared" si="13"/>
        <v>18.526933333333336</v>
      </c>
      <c r="N145">
        <f t="shared" si="14"/>
        <v>153.94826666666668</v>
      </c>
    </row>
    <row r="146" spans="1:14" x14ac:dyDescent="0.45">
      <c r="A146">
        <v>145</v>
      </c>
      <c r="B146" t="s">
        <v>4</v>
      </c>
      <c r="C146" t="s">
        <v>8</v>
      </c>
      <c r="D146" t="s">
        <v>36</v>
      </c>
      <c r="E146">
        <v>111826</v>
      </c>
      <c r="F146">
        <f>VLOOKUP(C146&amp;"|"&amp;B146,rate_tables!$A$3:$B$8,2,FALSE)</f>
        <v>85</v>
      </c>
      <c r="G146">
        <f>VLOOKUP(C146&amp;"|"&amp;B146,rate_tables!$A$12:$B$17,2,FALSE)</f>
        <v>35</v>
      </c>
      <c r="H146">
        <f>VLOOKUP(C146&amp;"|"&amp;D146,rate_tables!$A$21:$B$28,2,FALSE)</f>
        <v>1E-3</v>
      </c>
      <c r="I146">
        <f>VLOOKUP(C146&amp;"|"&amp;D146,rate_tables!$A$32:$B$39,2,FALSE)</f>
        <v>2E-3</v>
      </c>
      <c r="J146">
        <f t="shared" si="10"/>
        <v>85</v>
      </c>
      <c r="K146">
        <f t="shared" si="11"/>
        <v>35</v>
      </c>
      <c r="L146">
        <f t="shared" si="12"/>
        <v>9.318833333333334</v>
      </c>
      <c r="M146">
        <f t="shared" si="13"/>
        <v>18.637666666666668</v>
      </c>
      <c r="N146">
        <f t="shared" si="14"/>
        <v>147.95650000000001</v>
      </c>
    </row>
    <row r="147" spans="1:14" x14ac:dyDescent="0.45">
      <c r="A147">
        <v>146</v>
      </c>
      <c r="B147" t="s">
        <v>4</v>
      </c>
      <c r="C147" t="s">
        <v>8</v>
      </c>
      <c r="D147" t="s">
        <v>36</v>
      </c>
      <c r="E147">
        <v>84740</v>
      </c>
      <c r="F147">
        <f>VLOOKUP(C147&amp;"|"&amp;B147,rate_tables!$A$3:$B$8,2,FALSE)</f>
        <v>85</v>
      </c>
      <c r="G147">
        <f>VLOOKUP(C147&amp;"|"&amp;B147,rate_tables!$A$12:$B$17,2,FALSE)</f>
        <v>35</v>
      </c>
      <c r="H147">
        <f>VLOOKUP(C147&amp;"|"&amp;D147,rate_tables!$A$21:$B$28,2,FALSE)</f>
        <v>1E-3</v>
      </c>
      <c r="I147">
        <f>VLOOKUP(C147&amp;"|"&amp;D147,rate_tables!$A$32:$B$39,2,FALSE)</f>
        <v>2E-3</v>
      </c>
      <c r="J147">
        <f t="shared" si="10"/>
        <v>85</v>
      </c>
      <c r="K147">
        <f t="shared" si="11"/>
        <v>35</v>
      </c>
      <c r="L147">
        <f t="shared" si="12"/>
        <v>7.0616666666666665</v>
      </c>
      <c r="M147">
        <f t="shared" si="13"/>
        <v>14.123333333333333</v>
      </c>
      <c r="N147">
        <f t="shared" si="14"/>
        <v>141.185</v>
      </c>
    </row>
    <row r="148" spans="1:14" x14ac:dyDescent="0.45">
      <c r="A148">
        <v>147</v>
      </c>
      <c r="B148" t="s">
        <v>4</v>
      </c>
      <c r="C148" t="s">
        <v>8</v>
      </c>
      <c r="D148" t="s">
        <v>37</v>
      </c>
      <c r="E148">
        <v>127618</v>
      </c>
      <c r="F148">
        <f>VLOOKUP(C148&amp;"|"&amp;B148,rate_tables!$A$3:$B$8,2,FALSE)</f>
        <v>85</v>
      </c>
      <c r="G148">
        <f>VLOOKUP(C148&amp;"|"&amp;B148,rate_tables!$A$12:$B$17,2,FALSE)</f>
        <v>35</v>
      </c>
      <c r="H148">
        <f>VLOOKUP(C148&amp;"|"&amp;D148,rate_tables!$A$21:$B$28,2,FALSE)</f>
        <v>1.4E-3</v>
      </c>
      <c r="I148">
        <f>VLOOKUP(C148&amp;"|"&amp;D148,rate_tables!$A$32:$B$39,2,FALSE)</f>
        <v>3.0000000000000001E-3</v>
      </c>
      <c r="J148">
        <f t="shared" si="10"/>
        <v>85</v>
      </c>
      <c r="K148">
        <f t="shared" si="11"/>
        <v>35</v>
      </c>
      <c r="L148">
        <f t="shared" si="12"/>
        <v>14.888766666666667</v>
      </c>
      <c r="M148">
        <f t="shared" si="13"/>
        <v>31.904499999999999</v>
      </c>
      <c r="N148">
        <f t="shared" si="14"/>
        <v>166.79326666666668</v>
      </c>
    </row>
    <row r="149" spans="1:14" x14ac:dyDescent="0.45">
      <c r="A149">
        <v>148</v>
      </c>
      <c r="B149" t="s">
        <v>5</v>
      </c>
      <c r="C149" t="s">
        <v>8</v>
      </c>
      <c r="D149" t="s">
        <v>36</v>
      </c>
      <c r="E149">
        <v>123809</v>
      </c>
      <c r="F149">
        <f>VLOOKUP(C149&amp;"|"&amp;B149,rate_tables!$A$3:$B$8,2,FALSE)</f>
        <v>90</v>
      </c>
      <c r="G149">
        <f>VLOOKUP(C149&amp;"|"&amp;B149,rate_tables!$A$12:$B$17,2,FALSE)</f>
        <v>37</v>
      </c>
      <c r="H149">
        <f>VLOOKUP(C149&amp;"|"&amp;D149,rate_tables!$A$21:$B$28,2,FALSE)</f>
        <v>1E-3</v>
      </c>
      <c r="I149">
        <f>VLOOKUP(C149&amp;"|"&amp;D149,rate_tables!$A$32:$B$39,2,FALSE)</f>
        <v>2E-3</v>
      </c>
      <c r="J149">
        <f t="shared" si="10"/>
        <v>90</v>
      </c>
      <c r="K149">
        <f t="shared" si="11"/>
        <v>37</v>
      </c>
      <c r="L149">
        <f t="shared" si="12"/>
        <v>10.317416666666666</v>
      </c>
      <c r="M149">
        <f t="shared" si="13"/>
        <v>20.634833333333333</v>
      </c>
      <c r="N149">
        <f t="shared" si="14"/>
        <v>157.95224999999999</v>
      </c>
    </row>
    <row r="150" spans="1:14" x14ac:dyDescent="0.45">
      <c r="A150">
        <v>149</v>
      </c>
      <c r="B150" t="s">
        <v>5</v>
      </c>
      <c r="C150" t="s">
        <v>9</v>
      </c>
      <c r="D150" t="s">
        <v>37</v>
      </c>
      <c r="E150">
        <v>49289</v>
      </c>
      <c r="F150">
        <f>VLOOKUP(C150&amp;"|"&amp;B150,rate_tables!$A$3:$B$8,2,FALSE)</f>
        <v>100</v>
      </c>
      <c r="G150">
        <f>VLOOKUP(C150&amp;"|"&amp;B150,rate_tables!$A$12:$B$17,2,FALSE)</f>
        <v>42</v>
      </c>
      <c r="H150">
        <f>VLOOKUP(C150&amp;"|"&amp;D150,rate_tables!$A$21:$B$28,2,FALSE)</f>
        <v>1.8E-3</v>
      </c>
      <c r="I150">
        <f>VLOOKUP(C150&amp;"|"&amp;D150,rate_tables!$A$32:$B$39,2,FALSE)</f>
        <v>3.8E-3</v>
      </c>
      <c r="J150">
        <f t="shared" si="10"/>
        <v>100</v>
      </c>
      <c r="K150">
        <f t="shared" si="11"/>
        <v>42</v>
      </c>
      <c r="L150">
        <f t="shared" si="12"/>
        <v>7.393349999999999</v>
      </c>
      <c r="M150">
        <f t="shared" si="13"/>
        <v>15.608183333333335</v>
      </c>
      <c r="N150">
        <f t="shared" si="14"/>
        <v>165.00153333333333</v>
      </c>
    </row>
    <row r="151" spans="1:14" x14ac:dyDescent="0.45">
      <c r="A151">
        <v>150</v>
      </c>
      <c r="B151" t="s">
        <v>4</v>
      </c>
      <c r="C151" t="s">
        <v>8</v>
      </c>
      <c r="D151" t="s">
        <v>35</v>
      </c>
      <c r="E151">
        <v>73330</v>
      </c>
      <c r="F151">
        <f>VLOOKUP(C151&amp;"|"&amp;B151,rate_tables!$A$3:$B$8,2,FALSE)</f>
        <v>85</v>
      </c>
      <c r="G151">
        <f>VLOOKUP(C151&amp;"|"&amp;B151,rate_tables!$A$12:$B$17,2,FALSE)</f>
        <v>35</v>
      </c>
      <c r="H151">
        <f>VLOOKUP(C151&amp;"|"&amp;D151,rate_tables!$A$21:$B$28,2,FALSE)</f>
        <v>8.0000000000000004E-4</v>
      </c>
      <c r="I151">
        <f>VLOOKUP(C151&amp;"|"&amp;D151,rate_tables!$A$32:$B$39,2,FALSE)</f>
        <v>1.6000000000000001E-3</v>
      </c>
      <c r="J151">
        <f t="shared" si="10"/>
        <v>85</v>
      </c>
      <c r="K151">
        <f t="shared" si="11"/>
        <v>35</v>
      </c>
      <c r="L151">
        <f t="shared" si="12"/>
        <v>4.8886666666666665</v>
      </c>
      <c r="M151">
        <f t="shared" si="13"/>
        <v>9.777333333333333</v>
      </c>
      <c r="N151">
        <f t="shared" si="14"/>
        <v>134.666</v>
      </c>
    </row>
    <row r="152" spans="1:14" x14ac:dyDescent="0.45">
      <c r="A152">
        <v>151</v>
      </c>
      <c r="B152" t="s">
        <v>6</v>
      </c>
      <c r="C152" t="s">
        <v>8</v>
      </c>
      <c r="D152" t="s">
        <v>37</v>
      </c>
      <c r="E152">
        <v>129592</v>
      </c>
      <c r="F152">
        <f>VLOOKUP(C152&amp;"|"&amp;B152,rate_tables!$A$3:$B$8,2,FALSE)</f>
        <v>88</v>
      </c>
      <c r="G152">
        <f>VLOOKUP(C152&amp;"|"&amp;B152,rate_tables!$A$12:$B$17,2,FALSE)</f>
        <v>36</v>
      </c>
      <c r="H152">
        <f>VLOOKUP(C152&amp;"|"&amp;D152,rate_tables!$A$21:$B$28,2,FALSE)</f>
        <v>1.4E-3</v>
      </c>
      <c r="I152">
        <f>VLOOKUP(C152&amp;"|"&amp;D152,rate_tables!$A$32:$B$39,2,FALSE)</f>
        <v>3.0000000000000001E-3</v>
      </c>
      <c r="J152">
        <f t="shared" si="10"/>
        <v>88</v>
      </c>
      <c r="K152">
        <f t="shared" si="11"/>
        <v>36</v>
      </c>
      <c r="L152">
        <f t="shared" si="12"/>
        <v>15.119066666666667</v>
      </c>
      <c r="M152">
        <f t="shared" si="13"/>
        <v>32.398000000000003</v>
      </c>
      <c r="N152">
        <f t="shared" si="14"/>
        <v>171.51706666666666</v>
      </c>
    </row>
    <row r="153" spans="1:14" x14ac:dyDescent="0.45">
      <c r="A153">
        <v>152</v>
      </c>
      <c r="B153" t="s">
        <v>4</v>
      </c>
      <c r="C153" t="s">
        <v>8</v>
      </c>
      <c r="D153" t="s">
        <v>36</v>
      </c>
      <c r="E153">
        <v>101888</v>
      </c>
      <c r="F153">
        <f>VLOOKUP(C153&amp;"|"&amp;B153,rate_tables!$A$3:$B$8,2,FALSE)</f>
        <v>85</v>
      </c>
      <c r="G153">
        <f>VLOOKUP(C153&amp;"|"&amp;B153,rate_tables!$A$12:$B$17,2,FALSE)</f>
        <v>35</v>
      </c>
      <c r="H153">
        <f>VLOOKUP(C153&amp;"|"&amp;D153,rate_tables!$A$21:$B$28,2,FALSE)</f>
        <v>1E-3</v>
      </c>
      <c r="I153">
        <f>VLOOKUP(C153&amp;"|"&amp;D153,rate_tables!$A$32:$B$39,2,FALSE)</f>
        <v>2E-3</v>
      </c>
      <c r="J153">
        <f t="shared" si="10"/>
        <v>85</v>
      </c>
      <c r="K153">
        <f t="shared" si="11"/>
        <v>35</v>
      </c>
      <c r="L153">
        <f t="shared" si="12"/>
        <v>8.4906666666666677</v>
      </c>
      <c r="M153">
        <f t="shared" si="13"/>
        <v>16.981333333333335</v>
      </c>
      <c r="N153">
        <f t="shared" si="14"/>
        <v>145.47200000000001</v>
      </c>
    </row>
    <row r="154" spans="1:14" x14ac:dyDescent="0.45">
      <c r="A154">
        <v>153</v>
      </c>
      <c r="B154" t="s">
        <v>6</v>
      </c>
      <c r="C154" t="s">
        <v>8</v>
      </c>
      <c r="D154" t="s">
        <v>36</v>
      </c>
      <c r="E154">
        <v>120233</v>
      </c>
      <c r="F154">
        <f>VLOOKUP(C154&amp;"|"&amp;B154,rate_tables!$A$3:$B$8,2,FALSE)</f>
        <v>88</v>
      </c>
      <c r="G154">
        <f>VLOOKUP(C154&amp;"|"&amp;B154,rate_tables!$A$12:$B$17,2,FALSE)</f>
        <v>36</v>
      </c>
      <c r="H154">
        <f>VLOOKUP(C154&amp;"|"&amp;D154,rate_tables!$A$21:$B$28,2,FALSE)</f>
        <v>1E-3</v>
      </c>
      <c r="I154">
        <f>VLOOKUP(C154&amp;"|"&amp;D154,rate_tables!$A$32:$B$39,2,FALSE)</f>
        <v>2E-3</v>
      </c>
      <c r="J154">
        <f t="shared" si="10"/>
        <v>88</v>
      </c>
      <c r="K154">
        <f t="shared" si="11"/>
        <v>36</v>
      </c>
      <c r="L154">
        <f t="shared" si="12"/>
        <v>10.019416666666666</v>
      </c>
      <c r="M154">
        <f t="shared" si="13"/>
        <v>20.038833333333333</v>
      </c>
      <c r="N154">
        <f t="shared" si="14"/>
        <v>154.05825000000002</v>
      </c>
    </row>
    <row r="155" spans="1:14" x14ac:dyDescent="0.45">
      <c r="A155">
        <v>154</v>
      </c>
      <c r="B155" t="s">
        <v>5</v>
      </c>
      <c r="C155" t="s">
        <v>8</v>
      </c>
      <c r="D155" t="s">
        <v>36</v>
      </c>
      <c r="E155">
        <v>52946</v>
      </c>
      <c r="F155">
        <f>VLOOKUP(C155&amp;"|"&amp;B155,rate_tables!$A$3:$B$8,2,FALSE)</f>
        <v>90</v>
      </c>
      <c r="G155">
        <f>VLOOKUP(C155&amp;"|"&amp;B155,rate_tables!$A$12:$B$17,2,FALSE)</f>
        <v>37</v>
      </c>
      <c r="H155">
        <f>VLOOKUP(C155&amp;"|"&amp;D155,rate_tables!$A$21:$B$28,2,FALSE)</f>
        <v>1E-3</v>
      </c>
      <c r="I155">
        <f>VLOOKUP(C155&amp;"|"&amp;D155,rate_tables!$A$32:$B$39,2,FALSE)</f>
        <v>2E-3</v>
      </c>
      <c r="J155">
        <f t="shared" si="10"/>
        <v>90</v>
      </c>
      <c r="K155">
        <f t="shared" si="11"/>
        <v>37</v>
      </c>
      <c r="L155">
        <f t="shared" si="12"/>
        <v>4.4121666666666668</v>
      </c>
      <c r="M155">
        <f t="shared" si="13"/>
        <v>8.8243333333333336</v>
      </c>
      <c r="N155">
        <f t="shared" si="14"/>
        <v>140.23650000000001</v>
      </c>
    </row>
    <row r="156" spans="1:14" x14ac:dyDescent="0.45">
      <c r="A156">
        <v>155</v>
      </c>
      <c r="B156" t="s">
        <v>4</v>
      </c>
      <c r="C156" t="s">
        <v>9</v>
      </c>
      <c r="D156" t="s">
        <v>35</v>
      </c>
      <c r="E156">
        <v>62836</v>
      </c>
      <c r="F156">
        <f>VLOOKUP(C156&amp;"|"&amp;B156,rate_tables!$A$3:$B$8,2,FALSE)</f>
        <v>95</v>
      </c>
      <c r="G156">
        <f>VLOOKUP(C156&amp;"|"&amp;B156,rate_tables!$A$12:$B$17,2,FALSE)</f>
        <v>40</v>
      </c>
      <c r="H156">
        <f>VLOOKUP(C156&amp;"|"&amp;D156,rate_tables!$A$21:$B$28,2,FALSE)</f>
        <v>1E-3</v>
      </c>
      <c r="I156">
        <f>VLOOKUP(C156&amp;"|"&amp;D156,rate_tables!$A$32:$B$39,2,FALSE)</f>
        <v>2E-3</v>
      </c>
      <c r="J156">
        <f t="shared" si="10"/>
        <v>95</v>
      </c>
      <c r="K156">
        <f t="shared" si="11"/>
        <v>40</v>
      </c>
      <c r="L156">
        <f t="shared" si="12"/>
        <v>5.2363333333333335</v>
      </c>
      <c r="M156">
        <f t="shared" si="13"/>
        <v>10.472666666666667</v>
      </c>
      <c r="N156">
        <f t="shared" si="14"/>
        <v>150.709</v>
      </c>
    </row>
    <row r="157" spans="1:14" x14ac:dyDescent="0.45">
      <c r="A157">
        <v>156</v>
      </c>
      <c r="B157" t="s">
        <v>4</v>
      </c>
      <c r="C157" t="s">
        <v>8</v>
      </c>
      <c r="D157" t="s">
        <v>35</v>
      </c>
      <c r="E157">
        <v>59564</v>
      </c>
      <c r="F157">
        <f>VLOOKUP(C157&amp;"|"&amp;B157,rate_tables!$A$3:$B$8,2,FALSE)</f>
        <v>85</v>
      </c>
      <c r="G157">
        <f>VLOOKUP(C157&amp;"|"&amp;B157,rate_tables!$A$12:$B$17,2,FALSE)</f>
        <v>35</v>
      </c>
      <c r="H157">
        <f>VLOOKUP(C157&amp;"|"&amp;D157,rate_tables!$A$21:$B$28,2,FALSE)</f>
        <v>8.0000000000000004E-4</v>
      </c>
      <c r="I157">
        <f>VLOOKUP(C157&amp;"|"&amp;D157,rate_tables!$A$32:$B$39,2,FALSE)</f>
        <v>1.6000000000000001E-3</v>
      </c>
      <c r="J157">
        <f t="shared" si="10"/>
        <v>85</v>
      </c>
      <c r="K157">
        <f t="shared" si="11"/>
        <v>35</v>
      </c>
      <c r="L157">
        <f t="shared" si="12"/>
        <v>3.9709333333333334</v>
      </c>
      <c r="M157">
        <f t="shared" si="13"/>
        <v>7.9418666666666669</v>
      </c>
      <c r="N157">
        <f t="shared" si="14"/>
        <v>131.9128</v>
      </c>
    </row>
    <row r="158" spans="1:14" x14ac:dyDescent="0.45">
      <c r="A158">
        <v>157</v>
      </c>
      <c r="B158" t="s">
        <v>4</v>
      </c>
      <c r="C158" t="s">
        <v>8</v>
      </c>
      <c r="D158" t="s">
        <v>36</v>
      </c>
      <c r="E158">
        <v>114596</v>
      </c>
      <c r="F158">
        <f>VLOOKUP(C158&amp;"|"&amp;B158,rate_tables!$A$3:$B$8,2,FALSE)</f>
        <v>85</v>
      </c>
      <c r="G158">
        <f>VLOOKUP(C158&amp;"|"&amp;B158,rate_tables!$A$12:$B$17,2,FALSE)</f>
        <v>35</v>
      </c>
      <c r="H158">
        <f>VLOOKUP(C158&amp;"|"&amp;D158,rate_tables!$A$21:$B$28,2,FALSE)</f>
        <v>1E-3</v>
      </c>
      <c r="I158">
        <f>VLOOKUP(C158&amp;"|"&amp;D158,rate_tables!$A$32:$B$39,2,FALSE)</f>
        <v>2E-3</v>
      </c>
      <c r="J158">
        <f t="shared" si="10"/>
        <v>85</v>
      </c>
      <c r="K158">
        <f t="shared" si="11"/>
        <v>35</v>
      </c>
      <c r="L158">
        <f t="shared" si="12"/>
        <v>9.549666666666667</v>
      </c>
      <c r="M158">
        <f t="shared" si="13"/>
        <v>19.099333333333334</v>
      </c>
      <c r="N158">
        <f t="shared" si="14"/>
        <v>148.649</v>
      </c>
    </row>
    <row r="159" spans="1:14" x14ac:dyDescent="0.45">
      <c r="A159">
        <v>158</v>
      </c>
      <c r="B159" t="s">
        <v>4</v>
      </c>
      <c r="C159" t="s">
        <v>8</v>
      </c>
      <c r="D159" t="s">
        <v>36</v>
      </c>
      <c r="E159">
        <v>86340</v>
      </c>
      <c r="F159">
        <f>VLOOKUP(C159&amp;"|"&amp;B159,rate_tables!$A$3:$B$8,2,FALSE)</f>
        <v>85</v>
      </c>
      <c r="G159">
        <f>VLOOKUP(C159&amp;"|"&amp;B159,rate_tables!$A$12:$B$17,2,FALSE)</f>
        <v>35</v>
      </c>
      <c r="H159">
        <f>VLOOKUP(C159&amp;"|"&amp;D159,rate_tables!$A$21:$B$28,2,FALSE)</f>
        <v>1E-3</v>
      </c>
      <c r="I159">
        <f>VLOOKUP(C159&amp;"|"&amp;D159,rate_tables!$A$32:$B$39,2,FALSE)</f>
        <v>2E-3</v>
      </c>
      <c r="J159">
        <f t="shared" si="10"/>
        <v>85</v>
      </c>
      <c r="K159">
        <f t="shared" si="11"/>
        <v>35</v>
      </c>
      <c r="L159">
        <f t="shared" si="12"/>
        <v>7.1950000000000003</v>
      </c>
      <c r="M159">
        <f t="shared" si="13"/>
        <v>14.39</v>
      </c>
      <c r="N159">
        <f t="shared" si="14"/>
        <v>141.58499999999998</v>
      </c>
    </row>
    <row r="160" spans="1:14" x14ac:dyDescent="0.45">
      <c r="A160">
        <v>159</v>
      </c>
      <c r="B160" t="s">
        <v>5</v>
      </c>
      <c r="C160" t="s">
        <v>9</v>
      </c>
      <c r="D160" t="s">
        <v>38</v>
      </c>
      <c r="E160">
        <v>62769</v>
      </c>
      <c r="F160">
        <f>VLOOKUP(C160&amp;"|"&amp;B160,rate_tables!$A$3:$B$8,2,FALSE)</f>
        <v>100</v>
      </c>
      <c r="G160">
        <f>VLOOKUP(C160&amp;"|"&amp;B160,rate_tables!$A$12:$B$17,2,FALSE)</f>
        <v>42</v>
      </c>
      <c r="H160">
        <f>VLOOKUP(C160&amp;"|"&amp;D160,rate_tables!$A$21:$B$28,2,FALSE)</f>
        <v>2.5999999999999999E-3</v>
      </c>
      <c r="I160">
        <f>VLOOKUP(C160&amp;"|"&amp;D160,rate_tables!$A$32:$B$39,2,FALSE)</f>
        <v>5.5999999999999999E-3</v>
      </c>
      <c r="J160">
        <f t="shared" si="10"/>
        <v>100</v>
      </c>
      <c r="K160">
        <f t="shared" si="11"/>
        <v>42</v>
      </c>
      <c r="L160">
        <f t="shared" si="12"/>
        <v>13.59995</v>
      </c>
      <c r="M160">
        <f t="shared" si="13"/>
        <v>29.292199999999998</v>
      </c>
      <c r="N160">
        <f t="shared" si="14"/>
        <v>184.89215000000002</v>
      </c>
    </row>
    <row r="161" spans="1:14" x14ac:dyDescent="0.45">
      <c r="A161">
        <v>160</v>
      </c>
      <c r="B161" t="s">
        <v>4</v>
      </c>
      <c r="C161" t="s">
        <v>8</v>
      </c>
      <c r="D161" t="s">
        <v>36</v>
      </c>
      <c r="E161">
        <v>58350</v>
      </c>
      <c r="F161">
        <f>VLOOKUP(C161&amp;"|"&amp;B161,rate_tables!$A$3:$B$8,2,FALSE)</f>
        <v>85</v>
      </c>
      <c r="G161">
        <f>VLOOKUP(C161&amp;"|"&amp;B161,rate_tables!$A$12:$B$17,2,FALSE)</f>
        <v>35</v>
      </c>
      <c r="H161">
        <f>VLOOKUP(C161&amp;"|"&amp;D161,rate_tables!$A$21:$B$28,2,FALSE)</f>
        <v>1E-3</v>
      </c>
      <c r="I161">
        <f>VLOOKUP(C161&amp;"|"&amp;D161,rate_tables!$A$32:$B$39,2,FALSE)</f>
        <v>2E-3</v>
      </c>
      <c r="J161">
        <f t="shared" si="10"/>
        <v>85</v>
      </c>
      <c r="K161">
        <f t="shared" si="11"/>
        <v>35</v>
      </c>
      <c r="L161">
        <f t="shared" si="12"/>
        <v>4.8624999999999998</v>
      </c>
      <c r="M161">
        <f t="shared" si="13"/>
        <v>9.7249999999999996</v>
      </c>
      <c r="N161">
        <f t="shared" si="14"/>
        <v>134.58750000000001</v>
      </c>
    </row>
    <row r="162" spans="1:14" x14ac:dyDescent="0.45">
      <c r="A162">
        <v>161</v>
      </c>
      <c r="B162" t="s">
        <v>4</v>
      </c>
      <c r="C162" t="s">
        <v>9</v>
      </c>
      <c r="D162" t="s">
        <v>37</v>
      </c>
      <c r="E162">
        <v>48361</v>
      </c>
      <c r="F162">
        <f>VLOOKUP(C162&amp;"|"&amp;B162,rate_tables!$A$3:$B$8,2,FALSE)</f>
        <v>95</v>
      </c>
      <c r="G162">
        <f>VLOOKUP(C162&amp;"|"&amp;B162,rate_tables!$A$12:$B$17,2,FALSE)</f>
        <v>40</v>
      </c>
      <c r="H162">
        <f>VLOOKUP(C162&amp;"|"&amp;D162,rate_tables!$A$21:$B$28,2,FALSE)</f>
        <v>1.8E-3</v>
      </c>
      <c r="I162">
        <f>VLOOKUP(C162&amp;"|"&amp;D162,rate_tables!$A$32:$B$39,2,FALSE)</f>
        <v>3.8E-3</v>
      </c>
      <c r="J162">
        <f t="shared" si="10"/>
        <v>95</v>
      </c>
      <c r="K162">
        <f t="shared" si="11"/>
        <v>40</v>
      </c>
      <c r="L162">
        <f t="shared" si="12"/>
        <v>7.2541499999999992</v>
      </c>
      <c r="M162">
        <f t="shared" si="13"/>
        <v>15.314316666666668</v>
      </c>
      <c r="N162">
        <f t="shared" si="14"/>
        <v>157.56846666666667</v>
      </c>
    </row>
    <row r="163" spans="1:14" x14ac:dyDescent="0.45">
      <c r="A163">
        <v>162</v>
      </c>
      <c r="B163" t="s">
        <v>4</v>
      </c>
      <c r="C163" t="s">
        <v>9</v>
      </c>
      <c r="D163" t="s">
        <v>35</v>
      </c>
      <c r="E163">
        <v>47067</v>
      </c>
      <c r="F163">
        <f>VLOOKUP(C163&amp;"|"&amp;B163,rate_tables!$A$3:$B$8,2,FALSE)</f>
        <v>95</v>
      </c>
      <c r="G163">
        <f>VLOOKUP(C163&amp;"|"&amp;B163,rate_tables!$A$12:$B$17,2,FALSE)</f>
        <v>40</v>
      </c>
      <c r="H163">
        <f>VLOOKUP(C163&amp;"|"&amp;D163,rate_tables!$A$21:$B$28,2,FALSE)</f>
        <v>1E-3</v>
      </c>
      <c r="I163">
        <f>VLOOKUP(C163&amp;"|"&amp;D163,rate_tables!$A$32:$B$39,2,FALSE)</f>
        <v>2E-3</v>
      </c>
      <c r="J163">
        <f t="shared" si="10"/>
        <v>95</v>
      </c>
      <c r="K163">
        <f t="shared" si="11"/>
        <v>40</v>
      </c>
      <c r="L163">
        <f t="shared" si="12"/>
        <v>3.92225</v>
      </c>
      <c r="M163">
        <f t="shared" si="13"/>
        <v>7.8445</v>
      </c>
      <c r="N163">
        <f t="shared" si="14"/>
        <v>146.76675</v>
      </c>
    </row>
    <row r="164" spans="1:14" x14ac:dyDescent="0.45">
      <c r="A164">
        <v>163</v>
      </c>
      <c r="B164" t="s">
        <v>5</v>
      </c>
      <c r="C164" t="s">
        <v>8</v>
      </c>
      <c r="D164" t="s">
        <v>37</v>
      </c>
      <c r="E164">
        <v>126315</v>
      </c>
      <c r="F164">
        <f>VLOOKUP(C164&amp;"|"&amp;B164,rate_tables!$A$3:$B$8,2,FALSE)</f>
        <v>90</v>
      </c>
      <c r="G164">
        <f>VLOOKUP(C164&amp;"|"&amp;B164,rate_tables!$A$12:$B$17,2,FALSE)</f>
        <v>37</v>
      </c>
      <c r="H164">
        <f>VLOOKUP(C164&amp;"|"&amp;D164,rate_tables!$A$21:$B$28,2,FALSE)</f>
        <v>1.4E-3</v>
      </c>
      <c r="I164">
        <f>VLOOKUP(C164&amp;"|"&amp;D164,rate_tables!$A$32:$B$39,2,FALSE)</f>
        <v>3.0000000000000001E-3</v>
      </c>
      <c r="J164">
        <f t="shared" si="10"/>
        <v>90</v>
      </c>
      <c r="K164">
        <f t="shared" si="11"/>
        <v>37</v>
      </c>
      <c r="L164">
        <f t="shared" si="12"/>
        <v>14.736750000000001</v>
      </c>
      <c r="M164">
        <f t="shared" si="13"/>
        <v>31.578749999999999</v>
      </c>
      <c r="N164">
        <f t="shared" si="14"/>
        <v>173.31549999999999</v>
      </c>
    </row>
    <row r="165" spans="1:14" x14ac:dyDescent="0.45">
      <c r="A165">
        <v>164</v>
      </c>
      <c r="B165" t="s">
        <v>4</v>
      </c>
      <c r="C165" t="s">
        <v>9</v>
      </c>
      <c r="D165" t="s">
        <v>37</v>
      </c>
      <c r="E165">
        <v>56045</v>
      </c>
      <c r="F165">
        <f>VLOOKUP(C165&amp;"|"&amp;B165,rate_tables!$A$3:$B$8,2,FALSE)</f>
        <v>95</v>
      </c>
      <c r="G165">
        <f>VLOOKUP(C165&amp;"|"&amp;B165,rate_tables!$A$12:$B$17,2,FALSE)</f>
        <v>40</v>
      </c>
      <c r="H165">
        <f>VLOOKUP(C165&amp;"|"&amp;D165,rate_tables!$A$21:$B$28,2,FALSE)</f>
        <v>1.8E-3</v>
      </c>
      <c r="I165">
        <f>VLOOKUP(C165&amp;"|"&amp;D165,rate_tables!$A$32:$B$39,2,FALSE)</f>
        <v>3.8E-3</v>
      </c>
      <c r="J165">
        <f t="shared" si="10"/>
        <v>95</v>
      </c>
      <c r="K165">
        <f t="shared" si="11"/>
        <v>40</v>
      </c>
      <c r="L165">
        <f t="shared" si="12"/>
        <v>8.4067500000000006</v>
      </c>
      <c r="M165">
        <f t="shared" si="13"/>
        <v>17.747583333333335</v>
      </c>
      <c r="N165">
        <f t="shared" si="14"/>
        <v>161.15433333333331</v>
      </c>
    </row>
    <row r="166" spans="1:14" x14ac:dyDescent="0.45">
      <c r="A166">
        <v>165</v>
      </c>
      <c r="B166" t="s">
        <v>4</v>
      </c>
      <c r="C166" t="s">
        <v>8</v>
      </c>
      <c r="D166" t="s">
        <v>37</v>
      </c>
      <c r="E166">
        <v>90240</v>
      </c>
      <c r="F166">
        <f>VLOOKUP(C166&amp;"|"&amp;B166,rate_tables!$A$3:$B$8,2,FALSE)</f>
        <v>85</v>
      </c>
      <c r="G166">
        <f>VLOOKUP(C166&amp;"|"&amp;B166,rate_tables!$A$12:$B$17,2,FALSE)</f>
        <v>35</v>
      </c>
      <c r="H166">
        <f>VLOOKUP(C166&amp;"|"&amp;D166,rate_tables!$A$21:$B$28,2,FALSE)</f>
        <v>1.4E-3</v>
      </c>
      <c r="I166">
        <f>VLOOKUP(C166&amp;"|"&amp;D166,rate_tables!$A$32:$B$39,2,FALSE)</f>
        <v>3.0000000000000001E-3</v>
      </c>
      <c r="J166">
        <f t="shared" si="10"/>
        <v>85</v>
      </c>
      <c r="K166">
        <f t="shared" si="11"/>
        <v>35</v>
      </c>
      <c r="L166">
        <f t="shared" si="12"/>
        <v>10.528</v>
      </c>
      <c r="M166">
        <f t="shared" si="13"/>
        <v>22.560000000000002</v>
      </c>
      <c r="N166">
        <f t="shared" si="14"/>
        <v>153.08799999999999</v>
      </c>
    </row>
    <row r="167" spans="1:14" x14ac:dyDescent="0.45">
      <c r="A167">
        <v>166</v>
      </c>
      <c r="B167" t="s">
        <v>4</v>
      </c>
      <c r="C167" t="s">
        <v>9</v>
      </c>
      <c r="D167" t="s">
        <v>37</v>
      </c>
      <c r="E167">
        <v>60928</v>
      </c>
      <c r="F167">
        <f>VLOOKUP(C167&amp;"|"&amp;B167,rate_tables!$A$3:$B$8,2,FALSE)</f>
        <v>95</v>
      </c>
      <c r="G167">
        <f>VLOOKUP(C167&amp;"|"&amp;B167,rate_tables!$A$12:$B$17,2,FALSE)</f>
        <v>40</v>
      </c>
      <c r="H167">
        <f>VLOOKUP(C167&amp;"|"&amp;D167,rate_tables!$A$21:$B$28,2,FALSE)</f>
        <v>1.8E-3</v>
      </c>
      <c r="I167">
        <f>VLOOKUP(C167&amp;"|"&amp;D167,rate_tables!$A$32:$B$39,2,FALSE)</f>
        <v>3.8E-3</v>
      </c>
      <c r="J167">
        <f t="shared" si="10"/>
        <v>95</v>
      </c>
      <c r="K167">
        <f t="shared" si="11"/>
        <v>40</v>
      </c>
      <c r="L167">
        <f t="shared" si="12"/>
        <v>9.1392000000000007</v>
      </c>
      <c r="M167">
        <f t="shared" si="13"/>
        <v>19.293866666666666</v>
      </c>
      <c r="N167">
        <f t="shared" si="14"/>
        <v>163.43306666666666</v>
      </c>
    </row>
    <row r="168" spans="1:14" x14ac:dyDescent="0.45">
      <c r="A168">
        <v>167</v>
      </c>
      <c r="B168" t="s">
        <v>4</v>
      </c>
      <c r="C168" t="s">
        <v>8</v>
      </c>
      <c r="D168" t="s">
        <v>37</v>
      </c>
      <c r="E168">
        <v>102126</v>
      </c>
      <c r="F168">
        <f>VLOOKUP(C168&amp;"|"&amp;B168,rate_tables!$A$3:$B$8,2,FALSE)</f>
        <v>85</v>
      </c>
      <c r="G168">
        <f>VLOOKUP(C168&amp;"|"&amp;B168,rate_tables!$A$12:$B$17,2,FALSE)</f>
        <v>35</v>
      </c>
      <c r="H168">
        <f>VLOOKUP(C168&amp;"|"&amp;D168,rate_tables!$A$21:$B$28,2,FALSE)</f>
        <v>1.4E-3</v>
      </c>
      <c r="I168">
        <f>VLOOKUP(C168&amp;"|"&amp;D168,rate_tables!$A$32:$B$39,2,FALSE)</f>
        <v>3.0000000000000001E-3</v>
      </c>
      <c r="J168">
        <f t="shared" si="10"/>
        <v>85</v>
      </c>
      <c r="K168">
        <f t="shared" si="11"/>
        <v>35</v>
      </c>
      <c r="L168">
        <f t="shared" si="12"/>
        <v>11.914700000000002</v>
      </c>
      <c r="M168">
        <f t="shared" si="13"/>
        <v>25.531499999999998</v>
      </c>
      <c r="N168">
        <f t="shared" si="14"/>
        <v>157.4462</v>
      </c>
    </row>
    <row r="169" spans="1:14" x14ac:dyDescent="0.45">
      <c r="A169">
        <v>168</v>
      </c>
      <c r="B169" t="s">
        <v>4</v>
      </c>
      <c r="C169" t="s">
        <v>8</v>
      </c>
      <c r="D169" t="s">
        <v>35</v>
      </c>
      <c r="E169">
        <v>70391</v>
      </c>
      <c r="F169">
        <f>VLOOKUP(C169&amp;"|"&amp;B169,rate_tables!$A$3:$B$8,2,FALSE)</f>
        <v>85</v>
      </c>
      <c r="G169">
        <f>VLOOKUP(C169&amp;"|"&amp;B169,rate_tables!$A$12:$B$17,2,FALSE)</f>
        <v>35</v>
      </c>
      <c r="H169">
        <f>VLOOKUP(C169&amp;"|"&amp;D169,rate_tables!$A$21:$B$28,2,FALSE)</f>
        <v>8.0000000000000004E-4</v>
      </c>
      <c r="I169">
        <f>VLOOKUP(C169&amp;"|"&amp;D169,rate_tables!$A$32:$B$39,2,FALSE)</f>
        <v>1.6000000000000001E-3</v>
      </c>
      <c r="J169">
        <f t="shared" si="10"/>
        <v>85</v>
      </c>
      <c r="K169">
        <f t="shared" si="11"/>
        <v>35</v>
      </c>
      <c r="L169">
        <f t="shared" si="12"/>
        <v>4.6927333333333339</v>
      </c>
      <c r="M169">
        <f t="shared" si="13"/>
        <v>9.3854666666666677</v>
      </c>
      <c r="N169">
        <f t="shared" si="14"/>
        <v>134.07820000000001</v>
      </c>
    </row>
    <row r="170" spans="1:14" x14ac:dyDescent="0.45">
      <c r="A170">
        <v>169</v>
      </c>
      <c r="B170" t="s">
        <v>4</v>
      </c>
      <c r="C170" t="s">
        <v>8</v>
      </c>
      <c r="D170" t="s">
        <v>36</v>
      </c>
      <c r="E170">
        <v>113657</v>
      </c>
      <c r="F170">
        <f>VLOOKUP(C170&amp;"|"&amp;B170,rate_tables!$A$3:$B$8,2,FALSE)</f>
        <v>85</v>
      </c>
      <c r="G170">
        <f>VLOOKUP(C170&amp;"|"&amp;B170,rate_tables!$A$12:$B$17,2,FALSE)</f>
        <v>35</v>
      </c>
      <c r="H170">
        <f>VLOOKUP(C170&amp;"|"&amp;D170,rate_tables!$A$21:$B$28,2,FALSE)</f>
        <v>1E-3</v>
      </c>
      <c r="I170">
        <f>VLOOKUP(C170&amp;"|"&amp;D170,rate_tables!$A$32:$B$39,2,FALSE)</f>
        <v>2E-3</v>
      </c>
      <c r="J170">
        <f t="shared" si="10"/>
        <v>85</v>
      </c>
      <c r="K170">
        <f t="shared" si="11"/>
        <v>35</v>
      </c>
      <c r="L170">
        <f t="shared" si="12"/>
        <v>9.4714166666666664</v>
      </c>
      <c r="M170">
        <f t="shared" si="13"/>
        <v>18.942833333333333</v>
      </c>
      <c r="N170">
        <f t="shared" si="14"/>
        <v>148.41425000000001</v>
      </c>
    </row>
    <row r="171" spans="1:14" x14ac:dyDescent="0.45">
      <c r="A171">
        <v>170</v>
      </c>
      <c r="B171" t="s">
        <v>4</v>
      </c>
      <c r="C171" t="s">
        <v>8</v>
      </c>
      <c r="D171" t="s">
        <v>37</v>
      </c>
      <c r="E171">
        <v>84532</v>
      </c>
      <c r="F171">
        <f>VLOOKUP(C171&amp;"|"&amp;B171,rate_tables!$A$3:$B$8,2,FALSE)</f>
        <v>85</v>
      </c>
      <c r="G171">
        <f>VLOOKUP(C171&amp;"|"&amp;B171,rate_tables!$A$12:$B$17,2,FALSE)</f>
        <v>35</v>
      </c>
      <c r="H171">
        <f>VLOOKUP(C171&amp;"|"&amp;D171,rate_tables!$A$21:$B$28,2,FALSE)</f>
        <v>1.4E-3</v>
      </c>
      <c r="I171">
        <f>VLOOKUP(C171&amp;"|"&amp;D171,rate_tables!$A$32:$B$39,2,FALSE)</f>
        <v>3.0000000000000001E-3</v>
      </c>
      <c r="J171">
        <f t="shared" si="10"/>
        <v>85</v>
      </c>
      <c r="K171">
        <f t="shared" si="11"/>
        <v>35</v>
      </c>
      <c r="L171">
        <f t="shared" si="12"/>
        <v>9.8620666666666654</v>
      </c>
      <c r="M171">
        <f t="shared" si="13"/>
        <v>21.132999999999999</v>
      </c>
      <c r="N171">
        <f t="shared" si="14"/>
        <v>150.99506666666667</v>
      </c>
    </row>
    <row r="172" spans="1:14" x14ac:dyDescent="0.45">
      <c r="A172">
        <v>171</v>
      </c>
      <c r="B172" t="s">
        <v>6</v>
      </c>
      <c r="C172" t="s">
        <v>8</v>
      </c>
      <c r="D172" t="s">
        <v>37</v>
      </c>
      <c r="E172">
        <v>54401</v>
      </c>
      <c r="F172">
        <f>VLOOKUP(C172&amp;"|"&amp;B172,rate_tables!$A$3:$B$8,2,FALSE)</f>
        <v>88</v>
      </c>
      <c r="G172">
        <f>VLOOKUP(C172&amp;"|"&amp;B172,rate_tables!$A$12:$B$17,2,FALSE)</f>
        <v>36</v>
      </c>
      <c r="H172">
        <f>VLOOKUP(C172&amp;"|"&amp;D172,rate_tables!$A$21:$B$28,2,FALSE)</f>
        <v>1.4E-3</v>
      </c>
      <c r="I172">
        <f>VLOOKUP(C172&amp;"|"&amp;D172,rate_tables!$A$32:$B$39,2,FALSE)</f>
        <v>3.0000000000000001E-3</v>
      </c>
      <c r="J172">
        <f t="shared" si="10"/>
        <v>88</v>
      </c>
      <c r="K172">
        <f t="shared" si="11"/>
        <v>36</v>
      </c>
      <c r="L172">
        <f t="shared" si="12"/>
        <v>6.3467833333333337</v>
      </c>
      <c r="M172">
        <f t="shared" si="13"/>
        <v>13.600250000000001</v>
      </c>
      <c r="N172">
        <f t="shared" si="14"/>
        <v>143.94703333333331</v>
      </c>
    </row>
    <row r="173" spans="1:14" x14ac:dyDescent="0.45">
      <c r="A173">
        <v>172</v>
      </c>
      <c r="B173" t="s">
        <v>6</v>
      </c>
      <c r="C173" t="s">
        <v>8</v>
      </c>
      <c r="D173" t="s">
        <v>37</v>
      </c>
      <c r="E173">
        <v>89188</v>
      </c>
      <c r="F173">
        <f>VLOOKUP(C173&amp;"|"&amp;B173,rate_tables!$A$3:$B$8,2,FALSE)</f>
        <v>88</v>
      </c>
      <c r="G173">
        <f>VLOOKUP(C173&amp;"|"&amp;B173,rate_tables!$A$12:$B$17,2,FALSE)</f>
        <v>36</v>
      </c>
      <c r="H173">
        <f>VLOOKUP(C173&amp;"|"&amp;D173,rate_tables!$A$21:$B$28,2,FALSE)</f>
        <v>1.4E-3</v>
      </c>
      <c r="I173">
        <f>VLOOKUP(C173&amp;"|"&amp;D173,rate_tables!$A$32:$B$39,2,FALSE)</f>
        <v>3.0000000000000001E-3</v>
      </c>
      <c r="J173">
        <f t="shared" si="10"/>
        <v>88</v>
      </c>
      <c r="K173">
        <f t="shared" si="11"/>
        <v>36</v>
      </c>
      <c r="L173">
        <f t="shared" si="12"/>
        <v>10.405266666666666</v>
      </c>
      <c r="M173">
        <f t="shared" si="13"/>
        <v>22.297000000000001</v>
      </c>
      <c r="N173">
        <f t="shared" si="14"/>
        <v>156.70226666666667</v>
      </c>
    </row>
    <row r="174" spans="1:14" x14ac:dyDescent="0.45">
      <c r="A174">
        <v>173</v>
      </c>
      <c r="B174" t="s">
        <v>4</v>
      </c>
      <c r="C174" t="s">
        <v>8</v>
      </c>
      <c r="D174" t="s">
        <v>38</v>
      </c>
      <c r="E174">
        <v>86388</v>
      </c>
      <c r="F174">
        <f>VLOOKUP(C174&amp;"|"&amp;B174,rate_tables!$A$3:$B$8,2,FALSE)</f>
        <v>85</v>
      </c>
      <c r="G174">
        <f>VLOOKUP(C174&amp;"|"&amp;B174,rate_tables!$A$12:$B$17,2,FALSE)</f>
        <v>35</v>
      </c>
      <c r="H174">
        <f>VLOOKUP(C174&amp;"|"&amp;D174,rate_tables!$A$21:$B$28,2,FALSE)</f>
        <v>2E-3</v>
      </c>
      <c r="I174">
        <f>VLOOKUP(C174&amp;"|"&amp;D174,rate_tables!$A$32:$B$39,2,FALSE)</f>
        <v>4.4000000000000003E-3</v>
      </c>
      <c r="J174">
        <f t="shared" si="10"/>
        <v>85</v>
      </c>
      <c r="K174">
        <f t="shared" si="11"/>
        <v>35</v>
      </c>
      <c r="L174">
        <f t="shared" si="12"/>
        <v>14.398000000000001</v>
      </c>
      <c r="M174">
        <f t="shared" si="13"/>
        <v>31.675600000000003</v>
      </c>
      <c r="N174">
        <f t="shared" si="14"/>
        <v>166.0736</v>
      </c>
    </row>
    <row r="175" spans="1:14" x14ac:dyDescent="0.45">
      <c r="A175">
        <v>174</v>
      </c>
      <c r="B175" t="s">
        <v>5</v>
      </c>
      <c r="C175" t="s">
        <v>8</v>
      </c>
      <c r="D175" t="s">
        <v>35</v>
      </c>
      <c r="E175">
        <v>73587</v>
      </c>
      <c r="F175">
        <f>VLOOKUP(C175&amp;"|"&amp;B175,rate_tables!$A$3:$B$8,2,FALSE)</f>
        <v>90</v>
      </c>
      <c r="G175">
        <f>VLOOKUP(C175&amp;"|"&amp;B175,rate_tables!$A$12:$B$17,2,FALSE)</f>
        <v>37</v>
      </c>
      <c r="H175">
        <f>VLOOKUP(C175&amp;"|"&amp;D175,rate_tables!$A$21:$B$28,2,FALSE)</f>
        <v>8.0000000000000004E-4</v>
      </c>
      <c r="I175">
        <f>VLOOKUP(C175&amp;"|"&amp;D175,rate_tables!$A$32:$B$39,2,FALSE)</f>
        <v>1.6000000000000001E-3</v>
      </c>
      <c r="J175">
        <f t="shared" si="10"/>
        <v>90</v>
      </c>
      <c r="K175">
        <f t="shared" si="11"/>
        <v>37</v>
      </c>
      <c r="L175">
        <f t="shared" si="12"/>
        <v>4.9058000000000002</v>
      </c>
      <c r="M175">
        <f t="shared" si="13"/>
        <v>9.8116000000000003</v>
      </c>
      <c r="N175">
        <f t="shared" si="14"/>
        <v>141.7174</v>
      </c>
    </row>
    <row r="176" spans="1:14" x14ac:dyDescent="0.45">
      <c r="A176">
        <v>175</v>
      </c>
      <c r="B176" t="s">
        <v>4</v>
      </c>
      <c r="C176" t="s">
        <v>9</v>
      </c>
      <c r="D176" t="s">
        <v>36</v>
      </c>
      <c r="E176">
        <v>68101</v>
      </c>
      <c r="F176">
        <f>VLOOKUP(C176&amp;"|"&amp;B176,rate_tables!$A$3:$B$8,2,FALSE)</f>
        <v>95</v>
      </c>
      <c r="G176">
        <f>VLOOKUP(C176&amp;"|"&amp;B176,rate_tables!$A$12:$B$17,2,FALSE)</f>
        <v>40</v>
      </c>
      <c r="H176">
        <f>VLOOKUP(C176&amp;"|"&amp;D176,rate_tables!$A$21:$B$28,2,FALSE)</f>
        <v>1.2999999999999999E-3</v>
      </c>
      <c r="I176">
        <f>VLOOKUP(C176&amp;"|"&amp;D176,rate_tables!$A$32:$B$39,2,FALSE)</f>
        <v>2.5999999999999999E-3</v>
      </c>
      <c r="J176">
        <f t="shared" si="10"/>
        <v>95</v>
      </c>
      <c r="K176">
        <f t="shared" si="11"/>
        <v>40</v>
      </c>
      <c r="L176">
        <f t="shared" si="12"/>
        <v>7.3776083333333338</v>
      </c>
      <c r="M176">
        <f t="shared" si="13"/>
        <v>14.755216666666668</v>
      </c>
      <c r="N176">
        <f t="shared" si="14"/>
        <v>157.132825</v>
      </c>
    </row>
    <row r="177" spans="1:14" x14ac:dyDescent="0.45">
      <c r="A177">
        <v>176</v>
      </c>
      <c r="B177" t="s">
        <v>4</v>
      </c>
      <c r="C177" t="s">
        <v>8</v>
      </c>
      <c r="D177" t="s">
        <v>36</v>
      </c>
      <c r="E177">
        <v>71428</v>
      </c>
      <c r="F177">
        <f>VLOOKUP(C177&amp;"|"&amp;B177,rate_tables!$A$3:$B$8,2,FALSE)</f>
        <v>85</v>
      </c>
      <c r="G177">
        <f>VLOOKUP(C177&amp;"|"&amp;B177,rate_tables!$A$12:$B$17,2,FALSE)</f>
        <v>35</v>
      </c>
      <c r="H177">
        <f>VLOOKUP(C177&amp;"|"&amp;D177,rate_tables!$A$21:$B$28,2,FALSE)</f>
        <v>1E-3</v>
      </c>
      <c r="I177">
        <f>VLOOKUP(C177&amp;"|"&amp;D177,rate_tables!$A$32:$B$39,2,FALSE)</f>
        <v>2E-3</v>
      </c>
      <c r="J177">
        <f t="shared" si="10"/>
        <v>85</v>
      </c>
      <c r="K177">
        <f t="shared" si="11"/>
        <v>35</v>
      </c>
      <c r="L177">
        <f t="shared" si="12"/>
        <v>5.9523333333333328</v>
      </c>
      <c r="M177">
        <f t="shared" si="13"/>
        <v>11.904666666666666</v>
      </c>
      <c r="N177">
        <f t="shared" si="14"/>
        <v>137.857</v>
      </c>
    </row>
    <row r="178" spans="1:14" x14ac:dyDescent="0.45">
      <c r="A178">
        <v>177</v>
      </c>
      <c r="B178" t="s">
        <v>5</v>
      </c>
      <c r="C178" t="s">
        <v>8</v>
      </c>
      <c r="D178" t="s">
        <v>38</v>
      </c>
      <c r="E178">
        <v>76703</v>
      </c>
      <c r="F178">
        <f>VLOOKUP(C178&amp;"|"&amp;B178,rate_tables!$A$3:$B$8,2,FALSE)</f>
        <v>90</v>
      </c>
      <c r="G178">
        <f>VLOOKUP(C178&amp;"|"&amp;B178,rate_tables!$A$12:$B$17,2,FALSE)</f>
        <v>37</v>
      </c>
      <c r="H178">
        <f>VLOOKUP(C178&amp;"|"&amp;D178,rate_tables!$A$21:$B$28,2,FALSE)</f>
        <v>2E-3</v>
      </c>
      <c r="I178">
        <f>VLOOKUP(C178&amp;"|"&amp;D178,rate_tables!$A$32:$B$39,2,FALSE)</f>
        <v>4.4000000000000003E-3</v>
      </c>
      <c r="J178">
        <f t="shared" si="10"/>
        <v>90</v>
      </c>
      <c r="K178">
        <f t="shared" si="11"/>
        <v>37</v>
      </c>
      <c r="L178">
        <f t="shared" si="12"/>
        <v>12.783833333333334</v>
      </c>
      <c r="M178">
        <f t="shared" si="13"/>
        <v>28.124433333333332</v>
      </c>
      <c r="N178">
        <f t="shared" si="14"/>
        <v>167.90826666666669</v>
      </c>
    </row>
    <row r="179" spans="1:14" x14ac:dyDescent="0.45">
      <c r="A179">
        <v>178</v>
      </c>
      <c r="B179" t="s">
        <v>4</v>
      </c>
      <c r="C179" t="s">
        <v>9</v>
      </c>
      <c r="D179" t="s">
        <v>35</v>
      </c>
      <c r="E179">
        <v>75744</v>
      </c>
      <c r="F179">
        <f>VLOOKUP(C179&amp;"|"&amp;B179,rate_tables!$A$3:$B$8,2,FALSE)</f>
        <v>95</v>
      </c>
      <c r="G179">
        <f>VLOOKUP(C179&amp;"|"&amp;B179,rate_tables!$A$12:$B$17,2,FALSE)</f>
        <v>40</v>
      </c>
      <c r="H179">
        <f>VLOOKUP(C179&amp;"|"&amp;D179,rate_tables!$A$21:$B$28,2,FALSE)</f>
        <v>1E-3</v>
      </c>
      <c r="I179">
        <f>VLOOKUP(C179&amp;"|"&amp;D179,rate_tables!$A$32:$B$39,2,FALSE)</f>
        <v>2E-3</v>
      </c>
      <c r="J179">
        <f t="shared" si="10"/>
        <v>95</v>
      </c>
      <c r="K179">
        <f t="shared" si="11"/>
        <v>40</v>
      </c>
      <c r="L179">
        <f t="shared" si="12"/>
        <v>6.3120000000000003</v>
      </c>
      <c r="M179">
        <f t="shared" si="13"/>
        <v>12.624000000000001</v>
      </c>
      <c r="N179">
        <f t="shared" si="14"/>
        <v>153.93600000000001</v>
      </c>
    </row>
    <row r="180" spans="1:14" x14ac:dyDescent="0.45">
      <c r="A180">
        <v>179</v>
      </c>
      <c r="B180" t="s">
        <v>4</v>
      </c>
      <c r="C180" t="s">
        <v>9</v>
      </c>
      <c r="D180" t="s">
        <v>35</v>
      </c>
      <c r="E180">
        <v>72041</v>
      </c>
      <c r="F180">
        <f>VLOOKUP(C180&amp;"|"&amp;B180,rate_tables!$A$3:$B$8,2,FALSE)</f>
        <v>95</v>
      </c>
      <c r="G180">
        <f>VLOOKUP(C180&amp;"|"&amp;B180,rate_tables!$A$12:$B$17,2,FALSE)</f>
        <v>40</v>
      </c>
      <c r="H180">
        <f>VLOOKUP(C180&amp;"|"&amp;D180,rate_tables!$A$21:$B$28,2,FALSE)</f>
        <v>1E-3</v>
      </c>
      <c r="I180">
        <f>VLOOKUP(C180&amp;"|"&amp;D180,rate_tables!$A$32:$B$39,2,FALSE)</f>
        <v>2E-3</v>
      </c>
      <c r="J180">
        <f t="shared" si="10"/>
        <v>95</v>
      </c>
      <c r="K180">
        <f t="shared" si="11"/>
        <v>40</v>
      </c>
      <c r="L180">
        <f t="shared" si="12"/>
        <v>6.0034166666666664</v>
      </c>
      <c r="M180">
        <f t="shared" si="13"/>
        <v>12.006833333333333</v>
      </c>
      <c r="N180">
        <f t="shared" si="14"/>
        <v>153.01025000000001</v>
      </c>
    </row>
    <row r="181" spans="1:14" x14ac:dyDescent="0.45">
      <c r="A181">
        <v>180</v>
      </c>
      <c r="B181" t="s">
        <v>6</v>
      </c>
      <c r="C181" t="s">
        <v>8</v>
      </c>
      <c r="D181" t="s">
        <v>37</v>
      </c>
      <c r="E181">
        <v>100538</v>
      </c>
      <c r="F181">
        <f>VLOOKUP(C181&amp;"|"&amp;B181,rate_tables!$A$3:$B$8,2,FALSE)</f>
        <v>88</v>
      </c>
      <c r="G181">
        <f>VLOOKUP(C181&amp;"|"&amp;B181,rate_tables!$A$12:$B$17,2,FALSE)</f>
        <v>36</v>
      </c>
      <c r="H181">
        <f>VLOOKUP(C181&amp;"|"&amp;D181,rate_tables!$A$21:$B$28,2,FALSE)</f>
        <v>1.4E-3</v>
      </c>
      <c r="I181">
        <f>VLOOKUP(C181&amp;"|"&amp;D181,rate_tables!$A$32:$B$39,2,FALSE)</f>
        <v>3.0000000000000001E-3</v>
      </c>
      <c r="J181">
        <f t="shared" si="10"/>
        <v>88</v>
      </c>
      <c r="K181">
        <f t="shared" si="11"/>
        <v>36</v>
      </c>
      <c r="L181">
        <f t="shared" si="12"/>
        <v>11.729433333333333</v>
      </c>
      <c r="M181">
        <f t="shared" si="13"/>
        <v>25.134500000000003</v>
      </c>
      <c r="N181">
        <f t="shared" si="14"/>
        <v>160.86393333333334</v>
      </c>
    </row>
    <row r="182" spans="1:14" x14ac:dyDescent="0.45">
      <c r="A182">
        <v>181</v>
      </c>
      <c r="B182" t="s">
        <v>4</v>
      </c>
      <c r="C182" t="s">
        <v>9</v>
      </c>
      <c r="D182" t="s">
        <v>35</v>
      </c>
      <c r="E182">
        <v>47115</v>
      </c>
      <c r="F182">
        <f>VLOOKUP(C182&amp;"|"&amp;B182,rate_tables!$A$3:$B$8,2,FALSE)</f>
        <v>95</v>
      </c>
      <c r="G182">
        <f>VLOOKUP(C182&amp;"|"&amp;B182,rate_tables!$A$12:$B$17,2,FALSE)</f>
        <v>40</v>
      </c>
      <c r="H182">
        <f>VLOOKUP(C182&amp;"|"&amp;D182,rate_tables!$A$21:$B$28,2,FALSE)</f>
        <v>1E-3</v>
      </c>
      <c r="I182">
        <f>VLOOKUP(C182&amp;"|"&amp;D182,rate_tables!$A$32:$B$39,2,FALSE)</f>
        <v>2E-3</v>
      </c>
      <c r="J182">
        <f t="shared" si="10"/>
        <v>95</v>
      </c>
      <c r="K182">
        <f t="shared" si="11"/>
        <v>40</v>
      </c>
      <c r="L182">
        <f t="shared" si="12"/>
        <v>3.92625</v>
      </c>
      <c r="M182">
        <f t="shared" si="13"/>
        <v>7.8525</v>
      </c>
      <c r="N182">
        <f t="shared" si="14"/>
        <v>146.77875</v>
      </c>
    </row>
    <row r="183" spans="1:14" x14ac:dyDescent="0.45">
      <c r="A183">
        <v>182</v>
      </c>
      <c r="B183" t="s">
        <v>5</v>
      </c>
      <c r="C183" t="s">
        <v>9</v>
      </c>
      <c r="D183" t="s">
        <v>36</v>
      </c>
      <c r="E183">
        <v>50035</v>
      </c>
      <c r="F183">
        <f>VLOOKUP(C183&amp;"|"&amp;B183,rate_tables!$A$3:$B$8,2,FALSE)</f>
        <v>100</v>
      </c>
      <c r="G183">
        <f>VLOOKUP(C183&amp;"|"&amp;B183,rate_tables!$A$12:$B$17,2,FALSE)</f>
        <v>42</v>
      </c>
      <c r="H183">
        <f>VLOOKUP(C183&amp;"|"&amp;D183,rate_tables!$A$21:$B$28,2,FALSE)</f>
        <v>1.2999999999999999E-3</v>
      </c>
      <c r="I183">
        <f>VLOOKUP(C183&amp;"|"&amp;D183,rate_tables!$A$32:$B$39,2,FALSE)</f>
        <v>2.5999999999999999E-3</v>
      </c>
      <c r="J183">
        <f t="shared" si="10"/>
        <v>100</v>
      </c>
      <c r="K183">
        <f t="shared" si="11"/>
        <v>42</v>
      </c>
      <c r="L183">
        <f t="shared" si="12"/>
        <v>5.4204583333333334</v>
      </c>
      <c r="M183">
        <f t="shared" si="13"/>
        <v>10.840916666666667</v>
      </c>
      <c r="N183">
        <f t="shared" si="14"/>
        <v>158.26137499999999</v>
      </c>
    </row>
    <row r="184" spans="1:14" x14ac:dyDescent="0.45">
      <c r="A184">
        <v>183</v>
      </c>
      <c r="B184" t="s">
        <v>5</v>
      </c>
      <c r="C184" t="s">
        <v>8</v>
      </c>
      <c r="D184" t="s">
        <v>35</v>
      </c>
      <c r="E184">
        <v>68272</v>
      </c>
      <c r="F184">
        <f>VLOOKUP(C184&amp;"|"&amp;B184,rate_tables!$A$3:$B$8,2,FALSE)</f>
        <v>90</v>
      </c>
      <c r="G184">
        <f>VLOOKUP(C184&amp;"|"&amp;B184,rate_tables!$A$12:$B$17,2,FALSE)</f>
        <v>37</v>
      </c>
      <c r="H184">
        <f>VLOOKUP(C184&amp;"|"&amp;D184,rate_tables!$A$21:$B$28,2,FALSE)</f>
        <v>8.0000000000000004E-4</v>
      </c>
      <c r="I184">
        <f>VLOOKUP(C184&amp;"|"&amp;D184,rate_tables!$A$32:$B$39,2,FALSE)</f>
        <v>1.6000000000000001E-3</v>
      </c>
      <c r="J184">
        <f t="shared" si="10"/>
        <v>90</v>
      </c>
      <c r="K184">
        <f t="shared" si="11"/>
        <v>37</v>
      </c>
      <c r="L184">
        <f t="shared" si="12"/>
        <v>4.5514666666666672</v>
      </c>
      <c r="M184">
        <f t="shared" si="13"/>
        <v>9.1029333333333344</v>
      </c>
      <c r="N184">
        <f t="shared" si="14"/>
        <v>140.65440000000001</v>
      </c>
    </row>
    <row r="185" spans="1:14" x14ac:dyDescent="0.45">
      <c r="A185">
        <v>184</v>
      </c>
      <c r="B185" t="s">
        <v>4</v>
      </c>
      <c r="C185" t="s">
        <v>9</v>
      </c>
      <c r="D185" t="s">
        <v>36</v>
      </c>
      <c r="E185">
        <v>72530</v>
      </c>
      <c r="F185">
        <f>VLOOKUP(C185&amp;"|"&amp;B185,rate_tables!$A$3:$B$8,2,FALSE)</f>
        <v>95</v>
      </c>
      <c r="G185">
        <f>VLOOKUP(C185&amp;"|"&amp;B185,rate_tables!$A$12:$B$17,2,FALSE)</f>
        <v>40</v>
      </c>
      <c r="H185">
        <f>VLOOKUP(C185&amp;"|"&amp;D185,rate_tables!$A$21:$B$28,2,FALSE)</f>
        <v>1.2999999999999999E-3</v>
      </c>
      <c r="I185">
        <f>VLOOKUP(C185&amp;"|"&amp;D185,rate_tables!$A$32:$B$39,2,FALSE)</f>
        <v>2.5999999999999999E-3</v>
      </c>
      <c r="J185">
        <f t="shared" si="10"/>
        <v>95</v>
      </c>
      <c r="K185">
        <f t="shared" si="11"/>
        <v>40</v>
      </c>
      <c r="L185">
        <f t="shared" si="12"/>
        <v>7.8574166666666665</v>
      </c>
      <c r="M185">
        <f t="shared" si="13"/>
        <v>15.714833333333333</v>
      </c>
      <c r="N185">
        <f t="shared" si="14"/>
        <v>158.57225</v>
      </c>
    </row>
    <row r="186" spans="1:14" x14ac:dyDescent="0.45">
      <c r="A186">
        <v>185</v>
      </c>
      <c r="B186" t="s">
        <v>4</v>
      </c>
      <c r="C186" t="s">
        <v>9</v>
      </c>
      <c r="D186" t="s">
        <v>37</v>
      </c>
      <c r="E186">
        <v>65594</v>
      </c>
      <c r="F186">
        <f>VLOOKUP(C186&amp;"|"&amp;B186,rate_tables!$A$3:$B$8,2,FALSE)</f>
        <v>95</v>
      </c>
      <c r="G186">
        <f>VLOOKUP(C186&amp;"|"&amp;B186,rate_tables!$A$12:$B$17,2,FALSE)</f>
        <v>40</v>
      </c>
      <c r="H186">
        <f>VLOOKUP(C186&amp;"|"&amp;D186,rate_tables!$A$21:$B$28,2,FALSE)</f>
        <v>1.8E-3</v>
      </c>
      <c r="I186">
        <f>VLOOKUP(C186&amp;"|"&amp;D186,rate_tables!$A$32:$B$39,2,FALSE)</f>
        <v>3.8E-3</v>
      </c>
      <c r="J186">
        <f t="shared" si="10"/>
        <v>95</v>
      </c>
      <c r="K186">
        <f t="shared" si="11"/>
        <v>40</v>
      </c>
      <c r="L186">
        <f t="shared" si="12"/>
        <v>9.8391000000000002</v>
      </c>
      <c r="M186">
        <f t="shared" si="13"/>
        <v>20.771433333333334</v>
      </c>
      <c r="N186">
        <f t="shared" si="14"/>
        <v>165.61053333333334</v>
      </c>
    </row>
    <row r="187" spans="1:14" x14ac:dyDescent="0.45">
      <c r="A187">
        <v>186</v>
      </c>
      <c r="B187" t="s">
        <v>6</v>
      </c>
      <c r="C187" t="s">
        <v>9</v>
      </c>
      <c r="D187" t="s">
        <v>35</v>
      </c>
      <c r="E187">
        <v>53752</v>
      </c>
      <c r="F187">
        <f>VLOOKUP(C187&amp;"|"&amp;B187,rate_tables!$A$3:$B$8,2,FALSE)</f>
        <v>98</v>
      </c>
      <c r="G187">
        <f>VLOOKUP(C187&amp;"|"&amp;B187,rate_tables!$A$12:$B$17,2,FALSE)</f>
        <v>41</v>
      </c>
      <c r="H187">
        <f>VLOOKUP(C187&amp;"|"&amp;D187,rate_tables!$A$21:$B$28,2,FALSE)</f>
        <v>1E-3</v>
      </c>
      <c r="I187">
        <f>VLOOKUP(C187&amp;"|"&amp;D187,rate_tables!$A$32:$B$39,2,FALSE)</f>
        <v>2E-3</v>
      </c>
      <c r="J187">
        <f t="shared" si="10"/>
        <v>98</v>
      </c>
      <c r="K187">
        <f t="shared" si="11"/>
        <v>41</v>
      </c>
      <c r="L187">
        <f t="shared" si="12"/>
        <v>4.4793333333333338</v>
      </c>
      <c r="M187">
        <f t="shared" si="13"/>
        <v>8.9586666666666677</v>
      </c>
      <c r="N187">
        <f t="shared" si="14"/>
        <v>152.43799999999999</v>
      </c>
    </row>
    <row r="188" spans="1:14" x14ac:dyDescent="0.45">
      <c r="A188">
        <v>187</v>
      </c>
      <c r="B188" t="s">
        <v>4</v>
      </c>
      <c r="C188" t="s">
        <v>8</v>
      </c>
      <c r="D188" t="s">
        <v>36</v>
      </c>
      <c r="E188">
        <v>121268</v>
      </c>
      <c r="F188">
        <f>VLOOKUP(C188&amp;"|"&amp;B188,rate_tables!$A$3:$B$8,2,FALSE)</f>
        <v>85</v>
      </c>
      <c r="G188">
        <f>VLOOKUP(C188&amp;"|"&amp;B188,rate_tables!$A$12:$B$17,2,FALSE)</f>
        <v>35</v>
      </c>
      <c r="H188">
        <f>VLOOKUP(C188&amp;"|"&amp;D188,rate_tables!$A$21:$B$28,2,FALSE)</f>
        <v>1E-3</v>
      </c>
      <c r="I188">
        <f>VLOOKUP(C188&amp;"|"&amp;D188,rate_tables!$A$32:$B$39,2,FALSE)</f>
        <v>2E-3</v>
      </c>
      <c r="J188">
        <f t="shared" si="10"/>
        <v>85</v>
      </c>
      <c r="K188">
        <f t="shared" si="11"/>
        <v>35</v>
      </c>
      <c r="L188">
        <f t="shared" si="12"/>
        <v>10.105666666666666</v>
      </c>
      <c r="M188">
        <f t="shared" si="13"/>
        <v>20.211333333333332</v>
      </c>
      <c r="N188">
        <f t="shared" si="14"/>
        <v>150.31700000000001</v>
      </c>
    </row>
    <row r="189" spans="1:14" x14ac:dyDescent="0.45">
      <c r="A189">
        <v>188</v>
      </c>
      <c r="B189" t="s">
        <v>4</v>
      </c>
      <c r="C189" t="s">
        <v>8</v>
      </c>
      <c r="D189" t="s">
        <v>37</v>
      </c>
      <c r="E189">
        <v>50946</v>
      </c>
      <c r="F189">
        <f>VLOOKUP(C189&amp;"|"&amp;B189,rate_tables!$A$3:$B$8,2,FALSE)</f>
        <v>85</v>
      </c>
      <c r="G189">
        <f>VLOOKUP(C189&amp;"|"&amp;B189,rate_tables!$A$12:$B$17,2,FALSE)</f>
        <v>35</v>
      </c>
      <c r="H189">
        <f>VLOOKUP(C189&amp;"|"&amp;D189,rate_tables!$A$21:$B$28,2,FALSE)</f>
        <v>1.4E-3</v>
      </c>
      <c r="I189">
        <f>VLOOKUP(C189&amp;"|"&amp;D189,rate_tables!$A$32:$B$39,2,FALSE)</f>
        <v>3.0000000000000001E-3</v>
      </c>
      <c r="J189">
        <f t="shared" si="10"/>
        <v>85</v>
      </c>
      <c r="K189">
        <f t="shared" si="11"/>
        <v>35</v>
      </c>
      <c r="L189">
        <f t="shared" si="12"/>
        <v>5.9436999999999998</v>
      </c>
      <c r="M189">
        <f t="shared" si="13"/>
        <v>12.736499999999999</v>
      </c>
      <c r="N189">
        <f t="shared" si="14"/>
        <v>138.68020000000001</v>
      </c>
    </row>
    <row r="190" spans="1:14" x14ac:dyDescent="0.45">
      <c r="A190">
        <v>189</v>
      </c>
      <c r="B190" t="s">
        <v>4</v>
      </c>
      <c r="C190" t="s">
        <v>9</v>
      </c>
      <c r="D190" t="s">
        <v>37</v>
      </c>
      <c r="E190">
        <v>73987</v>
      </c>
      <c r="F190">
        <f>VLOOKUP(C190&amp;"|"&amp;B190,rate_tables!$A$3:$B$8,2,FALSE)</f>
        <v>95</v>
      </c>
      <c r="G190">
        <f>VLOOKUP(C190&amp;"|"&amp;B190,rate_tables!$A$12:$B$17,2,FALSE)</f>
        <v>40</v>
      </c>
      <c r="H190">
        <f>VLOOKUP(C190&amp;"|"&amp;D190,rate_tables!$A$21:$B$28,2,FALSE)</f>
        <v>1.8E-3</v>
      </c>
      <c r="I190">
        <f>VLOOKUP(C190&amp;"|"&amp;D190,rate_tables!$A$32:$B$39,2,FALSE)</f>
        <v>3.8E-3</v>
      </c>
      <c r="J190">
        <f t="shared" si="10"/>
        <v>95</v>
      </c>
      <c r="K190">
        <f t="shared" si="11"/>
        <v>40</v>
      </c>
      <c r="L190">
        <f t="shared" si="12"/>
        <v>11.098050000000001</v>
      </c>
      <c r="M190">
        <f t="shared" si="13"/>
        <v>23.429216666666665</v>
      </c>
      <c r="N190">
        <f t="shared" si="14"/>
        <v>169.52726666666666</v>
      </c>
    </row>
    <row r="191" spans="1:14" x14ac:dyDescent="0.45">
      <c r="A191">
        <v>190</v>
      </c>
      <c r="B191" t="s">
        <v>4</v>
      </c>
      <c r="C191" t="s">
        <v>8</v>
      </c>
      <c r="D191" t="s">
        <v>36</v>
      </c>
      <c r="E191">
        <v>115922</v>
      </c>
      <c r="F191">
        <f>VLOOKUP(C191&amp;"|"&amp;B191,rate_tables!$A$3:$B$8,2,FALSE)</f>
        <v>85</v>
      </c>
      <c r="G191">
        <f>VLOOKUP(C191&amp;"|"&amp;B191,rate_tables!$A$12:$B$17,2,FALSE)</f>
        <v>35</v>
      </c>
      <c r="H191">
        <f>VLOOKUP(C191&amp;"|"&amp;D191,rate_tables!$A$21:$B$28,2,FALSE)</f>
        <v>1E-3</v>
      </c>
      <c r="I191">
        <f>VLOOKUP(C191&amp;"|"&amp;D191,rate_tables!$A$32:$B$39,2,FALSE)</f>
        <v>2E-3</v>
      </c>
      <c r="J191">
        <f t="shared" si="10"/>
        <v>85</v>
      </c>
      <c r="K191">
        <f t="shared" si="11"/>
        <v>35</v>
      </c>
      <c r="L191">
        <f t="shared" si="12"/>
        <v>9.660166666666667</v>
      </c>
      <c r="M191">
        <f t="shared" si="13"/>
        <v>19.320333333333334</v>
      </c>
      <c r="N191">
        <f t="shared" si="14"/>
        <v>148.98050000000001</v>
      </c>
    </row>
    <row r="192" spans="1:14" x14ac:dyDescent="0.45">
      <c r="A192">
        <v>191</v>
      </c>
      <c r="B192" t="s">
        <v>4</v>
      </c>
      <c r="C192" t="s">
        <v>8</v>
      </c>
      <c r="D192" t="s">
        <v>35</v>
      </c>
      <c r="E192">
        <v>99387</v>
      </c>
      <c r="F192">
        <f>VLOOKUP(C192&amp;"|"&amp;B192,rate_tables!$A$3:$B$8,2,FALSE)</f>
        <v>85</v>
      </c>
      <c r="G192">
        <f>VLOOKUP(C192&amp;"|"&amp;B192,rate_tables!$A$12:$B$17,2,FALSE)</f>
        <v>35</v>
      </c>
      <c r="H192">
        <f>VLOOKUP(C192&amp;"|"&amp;D192,rate_tables!$A$21:$B$28,2,FALSE)</f>
        <v>8.0000000000000004E-4</v>
      </c>
      <c r="I192">
        <f>VLOOKUP(C192&amp;"|"&amp;D192,rate_tables!$A$32:$B$39,2,FALSE)</f>
        <v>1.6000000000000001E-3</v>
      </c>
      <c r="J192">
        <f t="shared" si="10"/>
        <v>85</v>
      </c>
      <c r="K192">
        <f t="shared" si="11"/>
        <v>35</v>
      </c>
      <c r="L192">
        <f t="shared" si="12"/>
        <v>6.6258000000000008</v>
      </c>
      <c r="M192">
        <f t="shared" si="13"/>
        <v>13.251600000000002</v>
      </c>
      <c r="N192">
        <f t="shared" si="14"/>
        <v>139.87739999999999</v>
      </c>
    </row>
    <row r="193" spans="1:14" x14ac:dyDescent="0.45">
      <c r="A193">
        <v>192</v>
      </c>
      <c r="B193" t="s">
        <v>6</v>
      </c>
      <c r="C193" t="s">
        <v>8</v>
      </c>
      <c r="D193" t="s">
        <v>35</v>
      </c>
      <c r="E193">
        <v>117518</v>
      </c>
      <c r="F193">
        <f>VLOOKUP(C193&amp;"|"&amp;B193,rate_tables!$A$3:$B$8,2,FALSE)</f>
        <v>88</v>
      </c>
      <c r="G193">
        <f>VLOOKUP(C193&amp;"|"&amp;B193,rate_tables!$A$12:$B$17,2,FALSE)</f>
        <v>36</v>
      </c>
      <c r="H193">
        <f>VLOOKUP(C193&amp;"|"&amp;D193,rate_tables!$A$21:$B$28,2,FALSE)</f>
        <v>8.0000000000000004E-4</v>
      </c>
      <c r="I193">
        <f>VLOOKUP(C193&amp;"|"&amp;D193,rate_tables!$A$32:$B$39,2,FALSE)</f>
        <v>1.6000000000000001E-3</v>
      </c>
      <c r="J193">
        <f t="shared" si="10"/>
        <v>88</v>
      </c>
      <c r="K193">
        <f t="shared" si="11"/>
        <v>36</v>
      </c>
      <c r="L193">
        <f t="shared" si="12"/>
        <v>7.8345333333333338</v>
      </c>
      <c r="M193">
        <f t="shared" si="13"/>
        <v>15.669066666666668</v>
      </c>
      <c r="N193">
        <f t="shared" si="14"/>
        <v>147.50360000000001</v>
      </c>
    </row>
    <row r="194" spans="1:14" x14ac:dyDescent="0.45">
      <c r="A194">
        <v>193</v>
      </c>
      <c r="B194" t="s">
        <v>6</v>
      </c>
      <c r="C194" t="s">
        <v>8</v>
      </c>
      <c r="D194" t="s">
        <v>35</v>
      </c>
      <c r="E194">
        <v>129729</v>
      </c>
      <c r="F194">
        <f>VLOOKUP(C194&amp;"|"&amp;B194,rate_tables!$A$3:$B$8,2,FALSE)</f>
        <v>88</v>
      </c>
      <c r="G194">
        <f>VLOOKUP(C194&amp;"|"&amp;B194,rate_tables!$A$12:$B$17,2,FALSE)</f>
        <v>36</v>
      </c>
      <c r="H194">
        <f>VLOOKUP(C194&amp;"|"&amp;D194,rate_tables!$A$21:$B$28,2,FALSE)</f>
        <v>8.0000000000000004E-4</v>
      </c>
      <c r="I194">
        <f>VLOOKUP(C194&amp;"|"&amp;D194,rate_tables!$A$32:$B$39,2,FALSE)</f>
        <v>1.6000000000000001E-3</v>
      </c>
      <c r="J194">
        <f t="shared" si="10"/>
        <v>88</v>
      </c>
      <c r="K194">
        <f t="shared" si="11"/>
        <v>36</v>
      </c>
      <c r="L194">
        <f t="shared" si="12"/>
        <v>8.6486000000000001</v>
      </c>
      <c r="M194">
        <f t="shared" si="13"/>
        <v>17.2972</v>
      </c>
      <c r="N194">
        <f t="shared" si="14"/>
        <v>149.94579999999999</v>
      </c>
    </row>
    <row r="195" spans="1:14" x14ac:dyDescent="0.45">
      <c r="A195">
        <v>194</v>
      </c>
      <c r="B195" t="s">
        <v>4</v>
      </c>
      <c r="C195" t="s">
        <v>9</v>
      </c>
      <c r="D195" t="s">
        <v>35</v>
      </c>
      <c r="E195">
        <v>65897</v>
      </c>
      <c r="F195">
        <f>VLOOKUP(C195&amp;"|"&amp;B195,rate_tables!$A$3:$B$8,2,FALSE)</f>
        <v>95</v>
      </c>
      <c r="G195">
        <f>VLOOKUP(C195&amp;"|"&amp;B195,rate_tables!$A$12:$B$17,2,FALSE)</f>
        <v>40</v>
      </c>
      <c r="H195">
        <f>VLOOKUP(C195&amp;"|"&amp;D195,rate_tables!$A$21:$B$28,2,FALSE)</f>
        <v>1E-3</v>
      </c>
      <c r="I195">
        <f>VLOOKUP(C195&amp;"|"&amp;D195,rate_tables!$A$32:$B$39,2,FALSE)</f>
        <v>2E-3</v>
      </c>
      <c r="J195">
        <f t="shared" ref="J195:J258" si="15">F195</f>
        <v>95</v>
      </c>
      <c r="K195">
        <f t="shared" ref="K195:K258" si="16">G195</f>
        <v>40</v>
      </c>
      <c r="L195">
        <f t="shared" ref="L195:L258" si="17">H195*E195/12</f>
        <v>5.4914166666666668</v>
      </c>
      <c r="M195">
        <f t="shared" ref="M195:M258" si="18">I195*E195/12</f>
        <v>10.982833333333334</v>
      </c>
      <c r="N195">
        <f t="shared" ref="N195:N258" si="19">SUM(J195:M195)</f>
        <v>151.47425000000001</v>
      </c>
    </row>
    <row r="196" spans="1:14" x14ac:dyDescent="0.45">
      <c r="A196">
        <v>195</v>
      </c>
      <c r="B196" t="s">
        <v>4</v>
      </c>
      <c r="C196" t="s">
        <v>9</v>
      </c>
      <c r="D196" t="s">
        <v>37</v>
      </c>
      <c r="E196">
        <v>68164</v>
      </c>
      <c r="F196">
        <f>VLOOKUP(C196&amp;"|"&amp;B196,rate_tables!$A$3:$B$8,2,FALSE)</f>
        <v>95</v>
      </c>
      <c r="G196">
        <f>VLOOKUP(C196&amp;"|"&amp;B196,rate_tables!$A$12:$B$17,2,FALSE)</f>
        <v>40</v>
      </c>
      <c r="H196">
        <f>VLOOKUP(C196&amp;"|"&amp;D196,rate_tables!$A$21:$B$28,2,FALSE)</f>
        <v>1.8E-3</v>
      </c>
      <c r="I196">
        <f>VLOOKUP(C196&amp;"|"&amp;D196,rate_tables!$A$32:$B$39,2,FALSE)</f>
        <v>3.8E-3</v>
      </c>
      <c r="J196">
        <f t="shared" si="15"/>
        <v>95</v>
      </c>
      <c r="K196">
        <f t="shared" si="16"/>
        <v>40</v>
      </c>
      <c r="L196">
        <f t="shared" si="17"/>
        <v>10.224600000000001</v>
      </c>
      <c r="M196">
        <f t="shared" si="18"/>
        <v>21.585266666666666</v>
      </c>
      <c r="N196">
        <f t="shared" si="19"/>
        <v>166.80986666666666</v>
      </c>
    </row>
    <row r="197" spans="1:14" x14ac:dyDescent="0.45">
      <c r="A197">
        <v>196</v>
      </c>
      <c r="B197" t="s">
        <v>4</v>
      </c>
      <c r="C197" t="s">
        <v>8</v>
      </c>
      <c r="D197" t="s">
        <v>36</v>
      </c>
      <c r="E197">
        <v>58916</v>
      </c>
      <c r="F197">
        <f>VLOOKUP(C197&amp;"|"&amp;B197,rate_tables!$A$3:$B$8,2,FALSE)</f>
        <v>85</v>
      </c>
      <c r="G197">
        <f>VLOOKUP(C197&amp;"|"&amp;B197,rate_tables!$A$12:$B$17,2,FALSE)</f>
        <v>35</v>
      </c>
      <c r="H197">
        <f>VLOOKUP(C197&amp;"|"&amp;D197,rate_tables!$A$21:$B$28,2,FALSE)</f>
        <v>1E-3</v>
      </c>
      <c r="I197">
        <f>VLOOKUP(C197&amp;"|"&amp;D197,rate_tables!$A$32:$B$39,2,FALSE)</f>
        <v>2E-3</v>
      </c>
      <c r="J197">
        <f t="shared" si="15"/>
        <v>85</v>
      </c>
      <c r="K197">
        <f t="shared" si="16"/>
        <v>35</v>
      </c>
      <c r="L197">
        <f t="shared" si="17"/>
        <v>4.9096666666666673</v>
      </c>
      <c r="M197">
        <f t="shared" si="18"/>
        <v>9.8193333333333346</v>
      </c>
      <c r="N197">
        <f t="shared" si="19"/>
        <v>134.72900000000001</v>
      </c>
    </row>
    <row r="198" spans="1:14" x14ac:dyDescent="0.45">
      <c r="A198">
        <v>197</v>
      </c>
      <c r="B198" t="s">
        <v>4</v>
      </c>
      <c r="C198" t="s">
        <v>8</v>
      </c>
      <c r="D198" t="s">
        <v>37</v>
      </c>
      <c r="E198">
        <v>71034</v>
      </c>
      <c r="F198">
        <f>VLOOKUP(C198&amp;"|"&amp;B198,rate_tables!$A$3:$B$8,2,FALSE)</f>
        <v>85</v>
      </c>
      <c r="G198">
        <f>VLOOKUP(C198&amp;"|"&amp;B198,rate_tables!$A$12:$B$17,2,FALSE)</f>
        <v>35</v>
      </c>
      <c r="H198">
        <f>VLOOKUP(C198&amp;"|"&amp;D198,rate_tables!$A$21:$B$28,2,FALSE)</f>
        <v>1.4E-3</v>
      </c>
      <c r="I198">
        <f>VLOOKUP(C198&amp;"|"&amp;D198,rate_tables!$A$32:$B$39,2,FALSE)</f>
        <v>3.0000000000000001E-3</v>
      </c>
      <c r="J198">
        <f t="shared" si="15"/>
        <v>85</v>
      </c>
      <c r="K198">
        <f t="shared" si="16"/>
        <v>35</v>
      </c>
      <c r="L198">
        <f t="shared" si="17"/>
        <v>8.2873000000000001</v>
      </c>
      <c r="M198">
        <f t="shared" si="18"/>
        <v>17.758500000000002</v>
      </c>
      <c r="N198">
        <f t="shared" si="19"/>
        <v>146.04579999999999</v>
      </c>
    </row>
    <row r="199" spans="1:14" x14ac:dyDescent="0.45">
      <c r="A199">
        <v>198</v>
      </c>
      <c r="B199" t="s">
        <v>6</v>
      </c>
      <c r="C199" t="s">
        <v>8</v>
      </c>
      <c r="D199" t="s">
        <v>36</v>
      </c>
      <c r="E199">
        <v>73502</v>
      </c>
      <c r="F199">
        <f>VLOOKUP(C199&amp;"|"&amp;B199,rate_tables!$A$3:$B$8,2,FALSE)</f>
        <v>88</v>
      </c>
      <c r="G199">
        <f>VLOOKUP(C199&amp;"|"&amp;B199,rate_tables!$A$12:$B$17,2,FALSE)</f>
        <v>36</v>
      </c>
      <c r="H199">
        <f>VLOOKUP(C199&amp;"|"&amp;D199,rate_tables!$A$21:$B$28,2,FALSE)</f>
        <v>1E-3</v>
      </c>
      <c r="I199">
        <f>VLOOKUP(C199&amp;"|"&amp;D199,rate_tables!$A$32:$B$39,2,FALSE)</f>
        <v>2E-3</v>
      </c>
      <c r="J199">
        <f t="shared" si="15"/>
        <v>88</v>
      </c>
      <c r="K199">
        <f t="shared" si="16"/>
        <v>36</v>
      </c>
      <c r="L199">
        <f t="shared" si="17"/>
        <v>6.125166666666666</v>
      </c>
      <c r="M199">
        <f t="shared" si="18"/>
        <v>12.250333333333332</v>
      </c>
      <c r="N199">
        <f t="shared" si="19"/>
        <v>142.37550000000002</v>
      </c>
    </row>
    <row r="200" spans="1:14" x14ac:dyDescent="0.45">
      <c r="A200">
        <v>199</v>
      </c>
      <c r="B200" t="s">
        <v>4</v>
      </c>
      <c r="C200" t="s">
        <v>8</v>
      </c>
      <c r="D200" t="s">
        <v>37</v>
      </c>
      <c r="E200">
        <v>111850</v>
      </c>
      <c r="F200">
        <f>VLOOKUP(C200&amp;"|"&amp;B200,rate_tables!$A$3:$B$8,2,FALSE)</f>
        <v>85</v>
      </c>
      <c r="G200">
        <f>VLOOKUP(C200&amp;"|"&amp;B200,rate_tables!$A$12:$B$17,2,FALSE)</f>
        <v>35</v>
      </c>
      <c r="H200">
        <f>VLOOKUP(C200&amp;"|"&amp;D200,rate_tables!$A$21:$B$28,2,FALSE)</f>
        <v>1.4E-3</v>
      </c>
      <c r="I200">
        <f>VLOOKUP(C200&amp;"|"&amp;D200,rate_tables!$A$32:$B$39,2,FALSE)</f>
        <v>3.0000000000000001E-3</v>
      </c>
      <c r="J200">
        <f t="shared" si="15"/>
        <v>85</v>
      </c>
      <c r="K200">
        <f t="shared" si="16"/>
        <v>35</v>
      </c>
      <c r="L200">
        <f t="shared" si="17"/>
        <v>13.049166666666666</v>
      </c>
      <c r="M200">
        <f t="shared" si="18"/>
        <v>27.962500000000002</v>
      </c>
      <c r="N200">
        <f t="shared" si="19"/>
        <v>161.01166666666668</v>
      </c>
    </row>
    <row r="201" spans="1:14" x14ac:dyDescent="0.45">
      <c r="A201">
        <v>200</v>
      </c>
      <c r="B201" t="s">
        <v>4</v>
      </c>
      <c r="C201" t="s">
        <v>8</v>
      </c>
      <c r="D201" t="s">
        <v>36</v>
      </c>
      <c r="E201">
        <v>74822</v>
      </c>
      <c r="F201">
        <f>VLOOKUP(C201&amp;"|"&amp;B201,rate_tables!$A$3:$B$8,2,FALSE)</f>
        <v>85</v>
      </c>
      <c r="G201">
        <f>VLOOKUP(C201&amp;"|"&amp;B201,rate_tables!$A$12:$B$17,2,FALSE)</f>
        <v>35</v>
      </c>
      <c r="H201">
        <f>VLOOKUP(C201&amp;"|"&amp;D201,rate_tables!$A$21:$B$28,2,FALSE)</f>
        <v>1E-3</v>
      </c>
      <c r="I201">
        <f>VLOOKUP(C201&amp;"|"&amp;D201,rate_tables!$A$32:$B$39,2,FALSE)</f>
        <v>2E-3</v>
      </c>
      <c r="J201">
        <f t="shared" si="15"/>
        <v>85</v>
      </c>
      <c r="K201">
        <f t="shared" si="16"/>
        <v>35</v>
      </c>
      <c r="L201">
        <f t="shared" si="17"/>
        <v>6.2351666666666672</v>
      </c>
      <c r="M201">
        <f t="shared" si="18"/>
        <v>12.470333333333334</v>
      </c>
      <c r="N201">
        <f t="shared" si="19"/>
        <v>138.7055</v>
      </c>
    </row>
    <row r="202" spans="1:14" x14ac:dyDescent="0.45">
      <c r="A202">
        <v>201</v>
      </c>
      <c r="B202" t="s">
        <v>4</v>
      </c>
      <c r="C202" t="s">
        <v>8</v>
      </c>
      <c r="D202" t="s">
        <v>37</v>
      </c>
      <c r="E202">
        <v>61368</v>
      </c>
      <c r="F202">
        <f>VLOOKUP(C202&amp;"|"&amp;B202,rate_tables!$A$3:$B$8,2,FALSE)</f>
        <v>85</v>
      </c>
      <c r="G202">
        <f>VLOOKUP(C202&amp;"|"&amp;B202,rate_tables!$A$12:$B$17,2,FALSE)</f>
        <v>35</v>
      </c>
      <c r="H202">
        <f>VLOOKUP(C202&amp;"|"&amp;D202,rate_tables!$A$21:$B$28,2,FALSE)</f>
        <v>1.4E-3</v>
      </c>
      <c r="I202">
        <f>VLOOKUP(C202&amp;"|"&amp;D202,rate_tables!$A$32:$B$39,2,FALSE)</f>
        <v>3.0000000000000001E-3</v>
      </c>
      <c r="J202">
        <f t="shared" si="15"/>
        <v>85</v>
      </c>
      <c r="K202">
        <f t="shared" si="16"/>
        <v>35</v>
      </c>
      <c r="L202">
        <f t="shared" si="17"/>
        <v>7.1596000000000002</v>
      </c>
      <c r="M202">
        <f t="shared" si="18"/>
        <v>15.342000000000001</v>
      </c>
      <c r="N202">
        <f t="shared" si="19"/>
        <v>142.5016</v>
      </c>
    </row>
    <row r="203" spans="1:14" x14ac:dyDescent="0.45">
      <c r="A203">
        <v>202</v>
      </c>
      <c r="B203" t="s">
        <v>6</v>
      </c>
      <c r="C203" t="s">
        <v>8</v>
      </c>
      <c r="D203" t="s">
        <v>37</v>
      </c>
      <c r="E203">
        <v>70878</v>
      </c>
      <c r="F203">
        <f>VLOOKUP(C203&amp;"|"&amp;B203,rate_tables!$A$3:$B$8,2,FALSE)</f>
        <v>88</v>
      </c>
      <c r="G203">
        <f>VLOOKUP(C203&amp;"|"&amp;B203,rate_tables!$A$12:$B$17,2,FALSE)</f>
        <v>36</v>
      </c>
      <c r="H203">
        <f>VLOOKUP(C203&amp;"|"&amp;D203,rate_tables!$A$21:$B$28,2,FALSE)</f>
        <v>1.4E-3</v>
      </c>
      <c r="I203">
        <f>VLOOKUP(C203&amp;"|"&amp;D203,rate_tables!$A$32:$B$39,2,FALSE)</f>
        <v>3.0000000000000001E-3</v>
      </c>
      <c r="J203">
        <f t="shared" si="15"/>
        <v>88</v>
      </c>
      <c r="K203">
        <f t="shared" si="16"/>
        <v>36</v>
      </c>
      <c r="L203">
        <f t="shared" si="17"/>
        <v>8.2690999999999999</v>
      </c>
      <c r="M203">
        <f t="shared" si="18"/>
        <v>17.7195</v>
      </c>
      <c r="N203">
        <f t="shared" si="19"/>
        <v>149.98860000000002</v>
      </c>
    </row>
    <row r="204" spans="1:14" x14ac:dyDescent="0.45">
      <c r="A204">
        <v>203</v>
      </c>
      <c r="B204" t="s">
        <v>6</v>
      </c>
      <c r="C204" t="s">
        <v>8</v>
      </c>
      <c r="D204" t="s">
        <v>35</v>
      </c>
      <c r="E204">
        <v>58648</v>
      </c>
      <c r="F204">
        <f>VLOOKUP(C204&amp;"|"&amp;B204,rate_tables!$A$3:$B$8,2,FALSE)</f>
        <v>88</v>
      </c>
      <c r="G204">
        <f>VLOOKUP(C204&amp;"|"&amp;B204,rate_tables!$A$12:$B$17,2,FALSE)</f>
        <v>36</v>
      </c>
      <c r="H204">
        <f>VLOOKUP(C204&amp;"|"&amp;D204,rate_tables!$A$21:$B$28,2,FALSE)</f>
        <v>8.0000000000000004E-4</v>
      </c>
      <c r="I204">
        <f>VLOOKUP(C204&amp;"|"&amp;D204,rate_tables!$A$32:$B$39,2,FALSE)</f>
        <v>1.6000000000000001E-3</v>
      </c>
      <c r="J204">
        <f t="shared" si="15"/>
        <v>88</v>
      </c>
      <c r="K204">
        <f t="shared" si="16"/>
        <v>36</v>
      </c>
      <c r="L204">
        <f t="shared" si="17"/>
        <v>3.9098666666666673</v>
      </c>
      <c r="M204">
        <f t="shared" si="18"/>
        <v>7.8197333333333345</v>
      </c>
      <c r="N204">
        <f t="shared" si="19"/>
        <v>135.7296</v>
      </c>
    </row>
    <row r="205" spans="1:14" x14ac:dyDescent="0.45">
      <c r="A205">
        <v>204</v>
      </c>
      <c r="B205" t="s">
        <v>4</v>
      </c>
      <c r="C205" t="s">
        <v>9</v>
      </c>
      <c r="D205" t="s">
        <v>35</v>
      </c>
      <c r="E205">
        <v>78488</v>
      </c>
      <c r="F205">
        <f>VLOOKUP(C205&amp;"|"&amp;B205,rate_tables!$A$3:$B$8,2,FALSE)</f>
        <v>95</v>
      </c>
      <c r="G205">
        <f>VLOOKUP(C205&amp;"|"&amp;B205,rate_tables!$A$12:$B$17,2,FALSE)</f>
        <v>40</v>
      </c>
      <c r="H205">
        <f>VLOOKUP(C205&amp;"|"&amp;D205,rate_tables!$A$21:$B$28,2,FALSE)</f>
        <v>1E-3</v>
      </c>
      <c r="I205">
        <f>VLOOKUP(C205&amp;"|"&amp;D205,rate_tables!$A$32:$B$39,2,FALSE)</f>
        <v>2E-3</v>
      </c>
      <c r="J205">
        <f t="shared" si="15"/>
        <v>95</v>
      </c>
      <c r="K205">
        <f t="shared" si="16"/>
        <v>40</v>
      </c>
      <c r="L205">
        <f t="shared" si="17"/>
        <v>6.5406666666666666</v>
      </c>
      <c r="M205">
        <f t="shared" si="18"/>
        <v>13.081333333333333</v>
      </c>
      <c r="N205">
        <f t="shared" si="19"/>
        <v>154.62199999999999</v>
      </c>
    </row>
    <row r="206" spans="1:14" x14ac:dyDescent="0.45">
      <c r="A206">
        <v>205</v>
      </c>
      <c r="B206" t="s">
        <v>4</v>
      </c>
      <c r="C206" t="s">
        <v>8</v>
      </c>
      <c r="D206" t="s">
        <v>37</v>
      </c>
      <c r="E206">
        <v>95016</v>
      </c>
      <c r="F206">
        <f>VLOOKUP(C206&amp;"|"&amp;B206,rate_tables!$A$3:$B$8,2,FALSE)</f>
        <v>85</v>
      </c>
      <c r="G206">
        <f>VLOOKUP(C206&amp;"|"&amp;B206,rate_tables!$A$12:$B$17,2,FALSE)</f>
        <v>35</v>
      </c>
      <c r="H206">
        <f>VLOOKUP(C206&amp;"|"&amp;D206,rate_tables!$A$21:$B$28,2,FALSE)</f>
        <v>1.4E-3</v>
      </c>
      <c r="I206">
        <f>VLOOKUP(C206&amp;"|"&amp;D206,rate_tables!$A$32:$B$39,2,FALSE)</f>
        <v>3.0000000000000001E-3</v>
      </c>
      <c r="J206">
        <f t="shared" si="15"/>
        <v>85</v>
      </c>
      <c r="K206">
        <f t="shared" si="16"/>
        <v>35</v>
      </c>
      <c r="L206">
        <f t="shared" si="17"/>
        <v>11.0852</v>
      </c>
      <c r="M206">
        <f t="shared" si="18"/>
        <v>23.754000000000001</v>
      </c>
      <c r="N206">
        <f t="shared" si="19"/>
        <v>154.83919999999998</v>
      </c>
    </row>
    <row r="207" spans="1:14" x14ac:dyDescent="0.45">
      <c r="A207">
        <v>206</v>
      </c>
      <c r="B207" t="s">
        <v>5</v>
      </c>
      <c r="C207" t="s">
        <v>8</v>
      </c>
      <c r="D207" t="s">
        <v>37</v>
      </c>
      <c r="E207">
        <v>72685</v>
      </c>
      <c r="F207">
        <f>VLOOKUP(C207&amp;"|"&amp;B207,rate_tables!$A$3:$B$8,2,FALSE)</f>
        <v>90</v>
      </c>
      <c r="G207">
        <f>VLOOKUP(C207&amp;"|"&amp;B207,rate_tables!$A$12:$B$17,2,FALSE)</f>
        <v>37</v>
      </c>
      <c r="H207">
        <f>VLOOKUP(C207&amp;"|"&amp;D207,rate_tables!$A$21:$B$28,2,FALSE)</f>
        <v>1.4E-3</v>
      </c>
      <c r="I207">
        <f>VLOOKUP(C207&amp;"|"&amp;D207,rate_tables!$A$32:$B$39,2,FALSE)</f>
        <v>3.0000000000000001E-3</v>
      </c>
      <c r="J207">
        <f t="shared" si="15"/>
        <v>90</v>
      </c>
      <c r="K207">
        <f t="shared" si="16"/>
        <v>37</v>
      </c>
      <c r="L207">
        <f t="shared" si="17"/>
        <v>8.4799166666666661</v>
      </c>
      <c r="M207">
        <f t="shared" si="18"/>
        <v>18.171250000000001</v>
      </c>
      <c r="N207">
        <f t="shared" si="19"/>
        <v>153.65116666666665</v>
      </c>
    </row>
    <row r="208" spans="1:14" x14ac:dyDescent="0.45">
      <c r="A208">
        <v>207</v>
      </c>
      <c r="B208" t="s">
        <v>4</v>
      </c>
      <c r="C208" t="s">
        <v>9</v>
      </c>
      <c r="D208" t="s">
        <v>35</v>
      </c>
      <c r="E208">
        <v>53073</v>
      </c>
      <c r="F208">
        <f>VLOOKUP(C208&amp;"|"&amp;B208,rate_tables!$A$3:$B$8,2,FALSE)</f>
        <v>95</v>
      </c>
      <c r="G208">
        <f>VLOOKUP(C208&amp;"|"&amp;B208,rate_tables!$A$12:$B$17,2,FALSE)</f>
        <v>40</v>
      </c>
      <c r="H208">
        <f>VLOOKUP(C208&amp;"|"&amp;D208,rate_tables!$A$21:$B$28,2,FALSE)</f>
        <v>1E-3</v>
      </c>
      <c r="I208">
        <f>VLOOKUP(C208&amp;"|"&amp;D208,rate_tables!$A$32:$B$39,2,FALSE)</f>
        <v>2E-3</v>
      </c>
      <c r="J208">
        <f t="shared" si="15"/>
        <v>95</v>
      </c>
      <c r="K208">
        <f t="shared" si="16"/>
        <v>40</v>
      </c>
      <c r="L208">
        <f t="shared" si="17"/>
        <v>4.4227499999999997</v>
      </c>
      <c r="M208">
        <f t="shared" si="18"/>
        <v>8.8454999999999995</v>
      </c>
      <c r="N208">
        <f t="shared" si="19"/>
        <v>148.26824999999999</v>
      </c>
    </row>
    <row r="209" spans="1:14" x14ac:dyDescent="0.45">
      <c r="A209">
        <v>208</v>
      </c>
      <c r="B209" t="s">
        <v>5</v>
      </c>
      <c r="C209" t="s">
        <v>8</v>
      </c>
      <c r="D209" t="s">
        <v>38</v>
      </c>
      <c r="E209">
        <v>70648</v>
      </c>
      <c r="F209">
        <f>VLOOKUP(C209&amp;"|"&amp;B209,rate_tables!$A$3:$B$8,2,FALSE)</f>
        <v>90</v>
      </c>
      <c r="G209">
        <f>VLOOKUP(C209&amp;"|"&amp;B209,rate_tables!$A$12:$B$17,2,FALSE)</f>
        <v>37</v>
      </c>
      <c r="H209">
        <f>VLOOKUP(C209&amp;"|"&amp;D209,rate_tables!$A$21:$B$28,2,FALSE)</f>
        <v>2E-3</v>
      </c>
      <c r="I209">
        <f>VLOOKUP(C209&amp;"|"&amp;D209,rate_tables!$A$32:$B$39,2,FALSE)</f>
        <v>4.4000000000000003E-3</v>
      </c>
      <c r="J209">
        <f t="shared" si="15"/>
        <v>90</v>
      </c>
      <c r="K209">
        <f t="shared" si="16"/>
        <v>37</v>
      </c>
      <c r="L209">
        <f t="shared" si="17"/>
        <v>11.774666666666667</v>
      </c>
      <c r="M209">
        <f t="shared" si="18"/>
        <v>25.904266666666668</v>
      </c>
      <c r="N209">
        <f t="shared" si="19"/>
        <v>164.67893333333333</v>
      </c>
    </row>
    <row r="210" spans="1:14" x14ac:dyDescent="0.45">
      <c r="A210">
        <v>209</v>
      </c>
      <c r="B210" t="s">
        <v>4</v>
      </c>
      <c r="C210" t="s">
        <v>8</v>
      </c>
      <c r="D210" t="s">
        <v>36</v>
      </c>
      <c r="E210">
        <v>54179</v>
      </c>
      <c r="F210">
        <f>VLOOKUP(C210&amp;"|"&amp;B210,rate_tables!$A$3:$B$8,2,FALSE)</f>
        <v>85</v>
      </c>
      <c r="G210">
        <f>VLOOKUP(C210&amp;"|"&amp;B210,rate_tables!$A$12:$B$17,2,FALSE)</f>
        <v>35</v>
      </c>
      <c r="H210">
        <f>VLOOKUP(C210&amp;"|"&amp;D210,rate_tables!$A$21:$B$28,2,FALSE)</f>
        <v>1E-3</v>
      </c>
      <c r="I210">
        <f>VLOOKUP(C210&amp;"|"&amp;D210,rate_tables!$A$32:$B$39,2,FALSE)</f>
        <v>2E-3</v>
      </c>
      <c r="J210">
        <f t="shared" si="15"/>
        <v>85</v>
      </c>
      <c r="K210">
        <f t="shared" si="16"/>
        <v>35</v>
      </c>
      <c r="L210">
        <f t="shared" si="17"/>
        <v>4.5149166666666671</v>
      </c>
      <c r="M210">
        <f t="shared" si="18"/>
        <v>9.0298333333333343</v>
      </c>
      <c r="N210">
        <f t="shared" si="19"/>
        <v>133.54474999999999</v>
      </c>
    </row>
    <row r="211" spans="1:14" x14ac:dyDescent="0.45">
      <c r="A211">
        <v>210</v>
      </c>
      <c r="B211" t="s">
        <v>4</v>
      </c>
      <c r="C211" t="s">
        <v>8</v>
      </c>
      <c r="D211" t="s">
        <v>36</v>
      </c>
      <c r="E211">
        <v>94805</v>
      </c>
      <c r="F211">
        <f>VLOOKUP(C211&amp;"|"&amp;B211,rate_tables!$A$3:$B$8,2,FALSE)</f>
        <v>85</v>
      </c>
      <c r="G211">
        <f>VLOOKUP(C211&amp;"|"&amp;B211,rate_tables!$A$12:$B$17,2,FALSE)</f>
        <v>35</v>
      </c>
      <c r="H211">
        <f>VLOOKUP(C211&amp;"|"&amp;D211,rate_tables!$A$21:$B$28,2,FALSE)</f>
        <v>1E-3</v>
      </c>
      <c r="I211">
        <f>VLOOKUP(C211&amp;"|"&amp;D211,rate_tables!$A$32:$B$39,2,FALSE)</f>
        <v>2E-3</v>
      </c>
      <c r="J211">
        <f t="shared" si="15"/>
        <v>85</v>
      </c>
      <c r="K211">
        <f t="shared" si="16"/>
        <v>35</v>
      </c>
      <c r="L211">
        <f t="shared" si="17"/>
        <v>7.9004166666666675</v>
      </c>
      <c r="M211">
        <f t="shared" si="18"/>
        <v>15.800833333333335</v>
      </c>
      <c r="N211">
        <f t="shared" si="19"/>
        <v>143.70125000000002</v>
      </c>
    </row>
    <row r="212" spans="1:14" x14ac:dyDescent="0.45">
      <c r="A212">
        <v>211</v>
      </c>
      <c r="B212" t="s">
        <v>4</v>
      </c>
      <c r="C212" t="s">
        <v>9</v>
      </c>
      <c r="D212" t="s">
        <v>37</v>
      </c>
      <c r="E212">
        <v>73385</v>
      </c>
      <c r="F212">
        <f>VLOOKUP(C212&amp;"|"&amp;B212,rate_tables!$A$3:$B$8,2,FALSE)</f>
        <v>95</v>
      </c>
      <c r="G212">
        <f>VLOOKUP(C212&amp;"|"&amp;B212,rate_tables!$A$12:$B$17,2,FALSE)</f>
        <v>40</v>
      </c>
      <c r="H212">
        <f>VLOOKUP(C212&amp;"|"&amp;D212,rate_tables!$A$21:$B$28,2,FALSE)</f>
        <v>1.8E-3</v>
      </c>
      <c r="I212">
        <f>VLOOKUP(C212&amp;"|"&amp;D212,rate_tables!$A$32:$B$39,2,FALSE)</f>
        <v>3.8E-3</v>
      </c>
      <c r="J212">
        <f t="shared" si="15"/>
        <v>95</v>
      </c>
      <c r="K212">
        <f t="shared" si="16"/>
        <v>40</v>
      </c>
      <c r="L212">
        <f t="shared" si="17"/>
        <v>11.00775</v>
      </c>
      <c r="M212">
        <f t="shared" si="18"/>
        <v>23.238583333333334</v>
      </c>
      <c r="N212">
        <f t="shared" si="19"/>
        <v>169.24633333333333</v>
      </c>
    </row>
    <row r="213" spans="1:14" x14ac:dyDescent="0.45">
      <c r="A213">
        <v>212</v>
      </c>
      <c r="B213" t="s">
        <v>4</v>
      </c>
      <c r="C213" t="s">
        <v>8</v>
      </c>
      <c r="D213" t="s">
        <v>37</v>
      </c>
      <c r="E213">
        <v>66217</v>
      </c>
      <c r="F213">
        <f>VLOOKUP(C213&amp;"|"&amp;B213,rate_tables!$A$3:$B$8,2,FALSE)</f>
        <v>85</v>
      </c>
      <c r="G213">
        <f>VLOOKUP(C213&amp;"|"&amp;B213,rate_tables!$A$12:$B$17,2,FALSE)</f>
        <v>35</v>
      </c>
      <c r="H213">
        <f>VLOOKUP(C213&amp;"|"&amp;D213,rate_tables!$A$21:$B$28,2,FALSE)</f>
        <v>1.4E-3</v>
      </c>
      <c r="I213">
        <f>VLOOKUP(C213&amp;"|"&amp;D213,rate_tables!$A$32:$B$39,2,FALSE)</f>
        <v>3.0000000000000001E-3</v>
      </c>
      <c r="J213">
        <f t="shared" si="15"/>
        <v>85</v>
      </c>
      <c r="K213">
        <f t="shared" si="16"/>
        <v>35</v>
      </c>
      <c r="L213">
        <f t="shared" si="17"/>
        <v>7.7253166666666671</v>
      </c>
      <c r="M213">
        <f t="shared" si="18"/>
        <v>16.55425</v>
      </c>
      <c r="N213">
        <f t="shared" si="19"/>
        <v>144.27956666666668</v>
      </c>
    </row>
    <row r="214" spans="1:14" x14ac:dyDescent="0.45">
      <c r="A214">
        <v>213</v>
      </c>
      <c r="B214" t="s">
        <v>6</v>
      </c>
      <c r="C214" t="s">
        <v>8</v>
      </c>
      <c r="D214" t="s">
        <v>36</v>
      </c>
      <c r="E214">
        <v>73544</v>
      </c>
      <c r="F214">
        <f>VLOOKUP(C214&amp;"|"&amp;B214,rate_tables!$A$3:$B$8,2,FALSE)</f>
        <v>88</v>
      </c>
      <c r="G214">
        <f>VLOOKUP(C214&amp;"|"&amp;B214,rate_tables!$A$12:$B$17,2,FALSE)</f>
        <v>36</v>
      </c>
      <c r="H214">
        <f>VLOOKUP(C214&amp;"|"&amp;D214,rate_tables!$A$21:$B$28,2,FALSE)</f>
        <v>1E-3</v>
      </c>
      <c r="I214">
        <f>VLOOKUP(C214&amp;"|"&amp;D214,rate_tables!$A$32:$B$39,2,FALSE)</f>
        <v>2E-3</v>
      </c>
      <c r="J214">
        <f t="shared" si="15"/>
        <v>88</v>
      </c>
      <c r="K214">
        <f t="shared" si="16"/>
        <v>36</v>
      </c>
      <c r="L214">
        <f t="shared" si="17"/>
        <v>6.1286666666666667</v>
      </c>
      <c r="M214">
        <f t="shared" si="18"/>
        <v>12.257333333333333</v>
      </c>
      <c r="N214">
        <f t="shared" si="19"/>
        <v>142.386</v>
      </c>
    </row>
    <row r="215" spans="1:14" x14ac:dyDescent="0.45">
      <c r="A215">
        <v>214</v>
      </c>
      <c r="B215" t="s">
        <v>4</v>
      </c>
      <c r="C215" t="s">
        <v>8</v>
      </c>
      <c r="D215" t="s">
        <v>37</v>
      </c>
      <c r="E215">
        <v>92622</v>
      </c>
      <c r="F215">
        <f>VLOOKUP(C215&amp;"|"&amp;B215,rate_tables!$A$3:$B$8,2,FALSE)</f>
        <v>85</v>
      </c>
      <c r="G215">
        <f>VLOOKUP(C215&amp;"|"&amp;B215,rate_tables!$A$12:$B$17,2,FALSE)</f>
        <v>35</v>
      </c>
      <c r="H215">
        <f>VLOOKUP(C215&amp;"|"&amp;D215,rate_tables!$A$21:$B$28,2,FALSE)</f>
        <v>1.4E-3</v>
      </c>
      <c r="I215">
        <f>VLOOKUP(C215&amp;"|"&amp;D215,rate_tables!$A$32:$B$39,2,FALSE)</f>
        <v>3.0000000000000001E-3</v>
      </c>
      <c r="J215">
        <f t="shared" si="15"/>
        <v>85</v>
      </c>
      <c r="K215">
        <f t="shared" si="16"/>
        <v>35</v>
      </c>
      <c r="L215">
        <f t="shared" si="17"/>
        <v>10.805899999999999</v>
      </c>
      <c r="M215">
        <f t="shared" si="18"/>
        <v>23.1555</v>
      </c>
      <c r="N215">
        <f t="shared" si="19"/>
        <v>153.9614</v>
      </c>
    </row>
    <row r="216" spans="1:14" x14ac:dyDescent="0.45">
      <c r="A216">
        <v>215</v>
      </c>
      <c r="B216" t="s">
        <v>4</v>
      </c>
      <c r="C216" t="s">
        <v>9</v>
      </c>
      <c r="D216" t="s">
        <v>36</v>
      </c>
      <c r="E216">
        <v>65702</v>
      </c>
      <c r="F216">
        <f>VLOOKUP(C216&amp;"|"&amp;B216,rate_tables!$A$3:$B$8,2,FALSE)</f>
        <v>95</v>
      </c>
      <c r="G216">
        <f>VLOOKUP(C216&amp;"|"&amp;B216,rate_tables!$A$12:$B$17,2,FALSE)</f>
        <v>40</v>
      </c>
      <c r="H216">
        <f>VLOOKUP(C216&amp;"|"&amp;D216,rate_tables!$A$21:$B$28,2,FALSE)</f>
        <v>1.2999999999999999E-3</v>
      </c>
      <c r="I216">
        <f>VLOOKUP(C216&amp;"|"&amp;D216,rate_tables!$A$32:$B$39,2,FALSE)</f>
        <v>2.5999999999999999E-3</v>
      </c>
      <c r="J216">
        <f t="shared" si="15"/>
        <v>95</v>
      </c>
      <c r="K216">
        <f t="shared" si="16"/>
        <v>40</v>
      </c>
      <c r="L216">
        <f t="shared" si="17"/>
        <v>7.1177166666666665</v>
      </c>
      <c r="M216">
        <f t="shared" si="18"/>
        <v>14.235433333333333</v>
      </c>
      <c r="N216">
        <f t="shared" si="19"/>
        <v>156.35315</v>
      </c>
    </row>
    <row r="217" spans="1:14" x14ac:dyDescent="0.45">
      <c r="A217">
        <v>216</v>
      </c>
      <c r="B217" t="s">
        <v>4</v>
      </c>
      <c r="C217" t="s">
        <v>8</v>
      </c>
      <c r="D217" t="s">
        <v>37</v>
      </c>
      <c r="E217">
        <v>65730</v>
      </c>
      <c r="F217">
        <f>VLOOKUP(C217&amp;"|"&amp;B217,rate_tables!$A$3:$B$8,2,FALSE)</f>
        <v>85</v>
      </c>
      <c r="G217">
        <f>VLOOKUP(C217&amp;"|"&amp;B217,rate_tables!$A$12:$B$17,2,FALSE)</f>
        <v>35</v>
      </c>
      <c r="H217">
        <f>VLOOKUP(C217&amp;"|"&amp;D217,rate_tables!$A$21:$B$28,2,FALSE)</f>
        <v>1.4E-3</v>
      </c>
      <c r="I217">
        <f>VLOOKUP(C217&amp;"|"&amp;D217,rate_tables!$A$32:$B$39,2,FALSE)</f>
        <v>3.0000000000000001E-3</v>
      </c>
      <c r="J217">
        <f t="shared" si="15"/>
        <v>85</v>
      </c>
      <c r="K217">
        <f t="shared" si="16"/>
        <v>35</v>
      </c>
      <c r="L217">
        <f t="shared" si="17"/>
        <v>7.6685000000000008</v>
      </c>
      <c r="M217">
        <f t="shared" si="18"/>
        <v>16.432500000000001</v>
      </c>
      <c r="N217">
        <f t="shared" si="19"/>
        <v>144.101</v>
      </c>
    </row>
    <row r="218" spans="1:14" x14ac:dyDescent="0.45">
      <c r="A218">
        <v>217</v>
      </c>
      <c r="B218" t="s">
        <v>4</v>
      </c>
      <c r="C218" t="s">
        <v>8</v>
      </c>
      <c r="D218" t="s">
        <v>38</v>
      </c>
      <c r="E218">
        <v>88018</v>
      </c>
      <c r="F218">
        <f>VLOOKUP(C218&amp;"|"&amp;B218,rate_tables!$A$3:$B$8,2,FALSE)</f>
        <v>85</v>
      </c>
      <c r="G218">
        <f>VLOOKUP(C218&amp;"|"&amp;B218,rate_tables!$A$12:$B$17,2,FALSE)</f>
        <v>35</v>
      </c>
      <c r="H218">
        <f>VLOOKUP(C218&amp;"|"&amp;D218,rate_tables!$A$21:$B$28,2,FALSE)</f>
        <v>2E-3</v>
      </c>
      <c r="I218">
        <f>VLOOKUP(C218&amp;"|"&amp;D218,rate_tables!$A$32:$B$39,2,FALSE)</f>
        <v>4.4000000000000003E-3</v>
      </c>
      <c r="J218">
        <f t="shared" si="15"/>
        <v>85</v>
      </c>
      <c r="K218">
        <f t="shared" si="16"/>
        <v>35</v>
      </c>
      <c r="L218">
        <f t="shared" si="17"/>
        <v>14.669666666666666</v>
      </c>
      <c r="M218">
        <f t="shared" si="18"/>
        <v>32.273266666666665</v>
      </c>
      <c r="N218">
        <f t="shared" si="19"/>
        <v>166.94293333333334</v>
      </c>
    </row>
    <row r="219" spans="1:14" x14ac:dyDescent="0.45">
      <c r="A219">
        <v>218</v>
      </c>
      <c r="B219" t="s">
        <v>4</v>
      </c>
      <c r="C219" t="s">
        <v>9</v>
      </c>
      <c r="D219" t="s">
        <v>37</v>
      </c>
      <c r="E219">
        <v>78394</v>
      </c>
      <c r="F219">
        <f>VLOOKUP(C219&amp;"|"&amp;B219,rate_tables!$A$3:$B$8,2,FALSE)</f>
        <v>95</v>
      </c>
      <c r="G219">
        <f>VLOOKUP(C219&amp;"|"&amp;B219,rate_tables!$A$12:$B$17,2,FALSE)</f>
        <v>40</v>
      </c>
      <c r="H219">
        <f>VLOOKUP(C219&amp;"|"&amp;D219,rate_tables!$A$21:$B$28,2,FALSE)</f>
        <v>1.8E-3</v>
      </c>
      <c r="I219">
        <f>VLOOKUP(C219&amp;"|"&amp;D219,rate_tables!$A$32:$B$39,2,FALSE)</f>
        <v>3.8E-3</v>
      </c>
      <c r="J219">
        <f t="shared" si="15"/>
        <v>95</v>
      </c>
      <c r="K219">
        <f t="shared" si="16"/>
        <v>40</v>
      </c>
      <c r="L219">
        <f t="shared" si="17"/>
        <v>11.759099999999998</v>
      </c>
      <c r="M219">
        <f t="shared" si="18"/>
        <v>24.824766666666665</v>
      </c>
      <c r="N219">
        <f t="shared" si="19"/>
        <v>171.58386666666667</v>
      </c>
    </row>
    <row r="220" spans="1:14" x14ac:dyDescent="0.45">
      <c r="A220">
        <v>219</v>
      </c>
      <c r="B220" t="s">
        <v>5</v>
      </c>
      <c r="C220" t="s">
        <v>8</v>
      </c>
      <c r="D220" t="s">
        <v>38</v>
      </c>
      <c r="E220">
        <v>127238</v>
      </c>
      <c r="F220">
        <f>VLOOKUP(C220&amp;"|"&amp;B220,rate_tables!$A$3:$B$8,2,FALSE)</f>
        <v>90</v>
      </c>
      <c r="G220">
        <f>VLOOKUP(C220&amp;"|"&amp;B220,rate_tables!$A$12:$B$17,2,FALSE)</f>
        <v>37</v>
      </c>
      <c r="H220">
        <f>VLOOKUP(C220&amp;"|"&amp;D220,rate_tables!$A$21:$B$28,2,FALSE)</f>
        <v>2E-3</v>
      </c>
      <c r="I220">
        <f>VLOOKUP(C220&amp;"|"&amp;D220,rate_tables!$A$32:$B$39,2,FALSE)</f>
        <v>4.4000000000000003E-3</v>
      </c>
      <c r="J220">
        <f t="shared" si="15"/>
        <v>90</v>
      </c>
      <c r="K220">
        <f t="shared" si="16"/>
        <v>37</v>
      </c>
      <c r="L220">
        <f t="shared" si="17"/>
        <v>21.206333333333333</v>
      </c>
      <c r="M220">
        <f t="shared" si="18"/>
        <v>46.653933333333335</v>
      </c>
      <c r="N220">
        <f t="shared" si="19"/>
        <v>194.86026666666666</v>
      </c>
    </row>
    <row r="221" spans="1:14" x14ac:dyDescent="0.45">
      <c r="A221">
        <v>220</v>
      </c>
      <c r="B221" t="s">
        <v>5</v>
      </c>
      <c r="C221" t="s">
        <v>8</v>
      </c>
      <c r="D221" t="s">
        <v>37</v>
      </c>
      <c r="E221">
        <v>105334</v>
      </c>
      <c r="F221">
        <f>VLOOKUP(C221&amp;"|"&amp;B221,rate_tables!$A$3:$B$8,2,FALSE)</f>
        <v>90</v>
      </c>
      <c r="G221">
        <f>VLOOKUP(C221&amp;"|"&amp;B221,rate_tables!$A$12:$B$17,2,FALSE)</f>
        <v>37</v>
      </c>
      <c r="H221">
        <f>VLOOKUP(C221&amp;"|"&amp;D221,rate_tables!$A$21:$B$28,2,FALSE)</f>
        <v>1.4E-3</v>
      </c>
      <c r="I221">
        <f>VLOOKUP(C221&amp;"|"&amp;D221,rate_tables!$A$32:$B$39,2,FALSE)</f>
        <v>3.0000000000000001E-3</v>
      </c>
      <c r="J221">
        <f t="shared" si="15"/>
        <v>90</v>
      </c>
      <c r="K221">
        <f t="shared" si="16"/>
        <v>37</v>
      </c>
      <c r="L221">
        <f t="shared" si="17"/>
        <v>12.288966666666667</v>
      </c>
      <c r="M221">
        <f t="shared" si="18"/>
        <v>26.333500000000001</v>
      </c>
      <c r="N221">
        <f t="shared" si="19"/>
        <v>165.6224666666667</v>
      </c>
    </row>
    <row r="222" spans="1:14" x14ac:dyDescent="0.45">
      <c r="A222">
        <v>221</v>
      </c>
      <c r="B222" t="s">
        <v>6</v>
      </c>
      <c r="C222" t="s">
        <v>8</v>
      </c>
      <c r="D222" t="s">
        <v>36</v>
      </c>
      <c r="E222">
        <v>124965</v>
      </c>
      <c r="F222">
        <f>VLOOKUP(C222&amp;"|"&amp;B222,rate_tables!$A$3:$B$8,2,FALSE)</f>
        <v>88</v>
      </c>
      <c r="G222">
        <f>VLOOKUP(C222&amp;"|"&amp;B222,rate_tables!$A$12:$B$17,2,FALSE)</f>
        <v>36</v>
      </c>
      <c r="H222">
        <f>VLOOKUP(C222&amp;"|"&amp;D222,rate_tables!$A$21:$B$28,2,FALSE)</f>
        <v>1E-3</v>
      </c>
      <c r="I222">
        <f>VLOOKUP(C222&amp;"|"&amp;D222,rate_tables!$A$32:$B$39,2,FALSE)</f>
        <v>2E-3</v>
      </c>
      <c r="J222">
        <f t="shared" si="15"/>
        <v>88</v>
      </c>
      <c r="K222">
        <f t="shared" si="16"/>
        <v>36</v>
      </c>
      <c r="L222">
        <f t="shared" si="17"/>
        <v>10.41375</v>
      </c>
      <c r="M222">
        <f t="shared" si="18"/>
        <v>20.827500000000001</v>
      </c>
      <c r="N222">
        <f t="shared" si="19"/>
        <v>155.24124999999998</v>
      </c>
    </row>
    <row r="223" spans="1:14" x14ac:dyDescent="0.45">
      <c r="A223">
        <v>222</v>
      </c>
      <c r="B223" t="s">
        <v>4</v>
      </c>
      <c r="C223" t="s">
        <v>9</v>
      </c>
      <c r="D223" t="s">
        <v>36</v>
      </c>
      <c r="E223">
        <v>53557</v>
      </c>
      <c r="F223">
        <f>VLOOKUP(C223&amp;"|"&amp;B223,rate_tables!$A$3:$B$8,2,FALSE)</f>
        <v>95</v>
      </c>
      <c r="G223">
        <f>VLOOKUP(C223&amp;"|"&amp;B223,rate_tables!$A$12:$B$17,2,FALSE)</f>
        <v>40</v>
      </c>
      <c r="H223">
        <f>VLOOKUP(C223&amp;"|"&amp;D223,rate_tables!$A$21:$B$28,2,FALSE)</f>
        <v>1.2999999999999999E-3</v>
      </c>
      <c r="I223">
        <f>VLOOKUP(C223&amp;"|"&amp;D223,rate_tables!$A$32:$B$39,2,FALSE)</f>
        <v>2.5999999999999999E-3</v>
      </c>
      <c r="J223">
        <f t="shared" si="15"/>
        <v>95</v>
      </c>
      <c r="K223">
        <f t="shared" si="16"/>
        <v>40</v>
      </c>
      <c r="L223">
        <f t="shared" si="17"/>
        <v>5.8020083333333332</v>
      </c>
      <c r="M223">
        <f t="shared" si="18"/>
        <v>11.604016666666666</v>
      </c>
      <c r="N223">
        <f t="shared" si="19"/>
        <v>152.406025</v>
      </c>
    </row>
    <row r="224" spans="1:14" x14ac:dyDescent="0.45">
      <c r="A224">
        <v>223</v>
      </c>
      <c r="B224" t="s">
        <v>4</v>
      </c>
      <c r="C224" t="s">
        <v>8</v>
      </c>
      <c r="D224" t="s">
        <v>36</v>
      </c>
      <c r="E224">
        <v>76822</v>
      </c>
      <c r="F224">
        <f>VLOOKUP(C224&amp;"|"&amp;B224,rate_tables!$A$3:$B$8,2,FALSE)</f>
        <v>85</v>
      </c>
      <c r="G224">
        <f>VLOOKUP(C224&amp;"|"&amp;B224,rate_tables!$A$12:$B$17,2,FALSE)</f>
        <v>35</v>
      </c>
      <c r="H224">
        <f>VLOOKUP(C224&amp;"|"&amp;D224,rate_tables!$A$21:$B$28,2,FALSE)</f>
        <v>1E-3</v>
      </c>
      <c r="I224">
        <f>VLOOKUP(C224&amp;"|"&amp;D224,rate_tables!$A$32:$B$39,2,FALSE)</f>
        <v>2E-3</v>
      </c>
      <c r="J224">
        <f t="shared" si="15"/>
        <v>85</v>
      </c>
      <c r="K224">
        <f t="shared" si="16"/>
        <v>35</v>
      </c>
      <c r="L224">
        <f t="shared" si="17"/>
        <v>6.4018333333333333</v>
      </c>
      <c r="M224">
        <f t="shared" si="18"/>
        <v>12.803666666666667</v>
      </c>
      <c r="N224">
        <f t="shared" si="19"/>
        <v>139.2055</v>
      </c>
    </row>
    <row r="225" spans="1:14" x14ac:dyDescent="0.45">
      <c r="A225">
        <v>224</v>
      </c>
      <c r="B225" t="s">
        <v>4</v>
      </c>
      <c r="C225" t="s">
        <v>9</v>
      </c>
      <c r="D225" t="s">
        <v>37</v>
      </c>
      <c r="E225">
        <v>70330</v>
      </c>
      <c r="F225">
        <f>VLOOKUP(C225&amp;"|"&amp;B225,rate_tables!$A$3:$B$8,2,FALSE)</f>
        <v>95</v>
      </c>
      <c r="G225">
        <f>VLOOKUP(C225&amp;"|"&amp;B225,rate_tables!$A$12:$B$17,2,FALSE)</f>
        <v>40</v>
      </c>
      <c r="H225">
        <f>VLOOKUP(C225&amp;"|"&amp;D225,rate_tables!$A$21:$B$28,2,FALSE)</f>
        <v>1.8E-3</v>
      </c>
      <c r="I225">
        <f>VLOOKUP(C225&amp;"|"&amp;D225,rate_tables!$A$32:$B$39,2,FALSE)</f>
        <v>3.8E-3</v>
      </c>
      <c r="J225">
        <f t="shared" si="15"/>
        <v>95</v>
      </c>
      <c r="K225">
        <f t="shared" si="16"/>
        <v>40</v>
      </c>
      <c r="L225">
        <f t="shared" si="17"/>
        <v>10.5495</v>
      </c>
      <c r="M225">
        <f t="shared" si="18"/>
        <v>22.271166666666669</v>
      </c>
      <c r="N225">
        <f t="shared" si="19"/>
        <v>167.82066666666665</v>
      </c>
    </row>
    <row r="226" spans="1:14" x14ac:dyDescent="0.45">
      <c r="A226">
        <v>225</v>
      </c>
      <c r="B226" t="s">
        <v>6</v>
      </c>
      <c r="C226" t="s">
        <v>8</v>
      </c>
      <c r="D226" t="s">
        <v>36</v>
      </c>
      <c r="E226">
        <v>108560</v>
      </c>
      <c r="F226">
        <f>VLOOKUP(C226&amp;"|"&amp;B226,rate_tables!$A$3:$B$8,2,FALSE)</f>
        <v>88</v>
      </c>
      <c r="G226">
        <f>VLOOKUP(C226&amp;"|"&amp;B226,rate_tables!$A$12:$B$17,2,FALSE)</f>
        <v>36</v>
      </c>
      <c r="H226">
        <f>VLOOKUP(C226&amp;"|"&amp;D226,rate_tables!$A$21:$B$28,2,FALSE)</f>
        <v>1E-3</v>
      </c>
      <c r="I226">
        <f>VLOOKUP(C226&amp;"|"&amp;D226,rate_tables!$A$32:$B$39,2,FALSE)</f>
        <v>2E-3</v>
      </c>
      <c r="J226">
        <f t="shared" si="15"/>
        <v>88</v>
      </c>
      <c r="K226">
        <f t="shared" si="16"/>
        <v>36</v>
      </c>
      <c r="L226">
        <f t="shared" si="17"/>
        <v>9.0466666666666669</v>
      </c>
      <c r="M226">
        <f t="shared" si="18"/>
        <v>18.093333333333334</v>
      </c>
      <c r="N226">
        <f t="shared" si="19"/>
        <v>151.14000000000001</v>
      </c>
    </row>
    <row r="227" spans="1:14" x14ac:dyDescent="0.45">
      <c r="A227">
        <v>226</v>
      </c>
      <c r="B227" t="s">
        <v>4</v>
      </c>
      <c r="C227" t="s">
        <v>8</v>
      </c>
      <c r="D227" t="s">
        <v>37</v>
      </c>
      <c r="E227">
        <v>56500</v>
      </c>
      <c r="F227">
        <f>VLOOKUP(C227&amp;"|"&amp;B227,rate_tables!$A$3:$B$8,2,FALSE)</f>
        <v>85</v>
      </c>
      <c r="G227">
        <f>VLOOKUP(C227&amp;"|"&amp;B227,rate_tables!$A$12:$B$17,2,FALSE)</f>
        <v>35</v>
      </c>
      <c r="H227">
        <f>VLOOKUP(C227&amp;"|"&amp;D227,rate_tables!$A$21:$B$28,2,FALSE)</f>
        <v>1.4E-3</v>
      </c>
      <c r="I227">
        <f>VLOOKUP(C227&amp;"|"&amp;D227,rate_tables!$A$32:$B$39,2,FALSE)</f>
        <v>3.0000000000000001E-3</v>
      </c>
      <c r="J227">
        <f t="shared" si="15"/>
        <v>85</v>
      </c>
      <c r="K227">
        <f t="shared" si="16"/>
        <v>35</v>
      </c>
      <c r="L227">
        <f t="shared" si="17"/>
        <v>6.5916666666666659</v>
      </c>
      <c r="M227">
        <f t="shared" si="18"/>
        <v>14.125</v>
      </c>
      <c r="N227">
        <f t="shared" si="19"/>
        <v>140.71666666666667</v>
      </c>
    </row>
    <row r="228" spans="1:14" x14ac:dyDescent="0.45">
      <c r="A228">
        <v>227</v>
      </c>
      <c r="B228" t="s">
        <v>6</v>
      </c>
      <c r="C228" t="s">
        <v>9</v>
      </c>
      <c r="D228" t="s">
        <v>35</v>
      </c>
      <c r="E228">
        <v>54020</v>
      </c>
      <c r="F228">
        <f>VLOOKUP(C228&amp;"|"&amp;B228,rate_tables!$A$3:$B$8,2,FALSE)</f>
        <v>98</v>
      </c>
      <c r="G228">
        <f>VLOOKUP(C228&amp;"|"&amp;B228,rate_tables!$A$12:$B$17,2,FALSE)</f>
        <v>41</v>
      </c>
      <c r="H228">
        <f>VLOOKUP(C228&amp;"|"&amp;D228,rate_tables!$A$21:$B$28,2,FALSE)</f>
        <v>1E-3</v>
      </c>
      <c r="I228">
        <f>VLOOKUP(C228&amp;"|"&amp;D228,rate_tables!$A$32:$B$39,2,FALSE)</f>
        <v>2E-3</v>
      </c>
      <c r="J228">
        <f t="shared" si="15"/>
        <v>98</v>
      </c>
      <c r="K228">
        <f t="shared" si="16"/>
        <v>41</v>
      </c>
      <c r="L228">
        <f t="shared" si="17"/>
        <v>4.5016666666666669</v>
      </c>
      <c r="M228">
        <f t="shared" si="18"/>
        <v>9.0033333333333339</v>
      </c>
      <c r="N228">
        <f t="shared" si="19"/>
        <v>152.505</v>
      </c>
    </row>
    <row r="229" spans="1:14" x14ac:dyDescent="0.45">
      <c r="A229">
        <v>228</v>
      </c>
      <c r="B229" t="s">
        <v>5</v>
      </c>
      <c r="C229" t="s">
        <v>8</v>
      </c>
      <c r="D229" t="s">
        <v>37</v>
      </c>
      <c r="E229">
        <v>113401</v>
      </c>
      <c r="F229">
        <f>VLOOKUP(C229&amp;"|"&amp;B229,rate_tables!$A$3:$B$8,2,FALSE)</f>
        <v>90</v>
      </c>
      <c r="G229">
        <f>VLOOKUP(C229&amp;"|"&amp;B229,rate_tables!$A$12:$B$17,2,FALSE)</f>
        <v>37</v>
      </c>
      <c r="H229">
        <f>VLOOKUP(C229&amp;"|"&amp;D229,rate_tables!$A$21:$B$28,2,FALSE)</f>
        <v>1.4E-3</v>
      </c>
      <c r="I229">
        <f>VLOOKUP(C229&amp;"|"&amp;D229,rate_tables!$A$32:$B$39,2,FALSE)</f>
        <v>3.0000000000000001E-3</v>
      </c>
      <c r="J229">
        <f t="shared" si="15"/>
        <v>90</v>
      </c>
      <c r="K229">
        <f t="shared" si="16"/>
        <v>37</v>
      </c>
      <c r="L229">
        <f t="shared" si="17"/>
        <v>13.230116666666667</v>
      </c>
      <c r="M229">
        <f t="shared" si="18"/>
        <v>28.350250000000003</v>
      </c>
      <c r="N229">
        <f t="shared" si="19"/>
        <v>168.58036666666669</v>
      </c>
    </row>
    <row r="230" spans="1:14" x14ac:dyDescent="0.45">
      <c r="A230">
        <v>229</v>
      </c>
      <c r="B230" t="s">
        <v>6</v>
      </c>
      <c r="C230" t="s">
        <v>8</v>
      </c>
      <c r="D230" t="s">
        <v>35</v>
      </c>
      <c r="E230">
        <v>104416</v>
      </c>
      <c r="F230">
        <f>VLOOKUP(C230&amp;"|"&amp;B230,rate_tables!$A$3:$B$8,2,FALSE)</f>
        <v>88</v>
      </c>
      <c r="G230">
        <f>VLOOKUP(C230&amp;"|"&amp;B230,rate_tables!$A$12:$B$17,2,FALSE)</f>
        <v>36</v>
      </c>
      <c r="H230">
        <f>VLOOKUP(C230&amp;"|"&amp;D230,rate_tables!$A$21:$B$28,2,FALSE)</f>
        <v>8.0000000000000004E-4</v>
      </c>
      <c r="I230">
        <f>VLOOKUP(C230&amp;"|"&amp;D230,rate_tables!$A$32:$B$39,2,FALSE)</f>
        <v>1.6000000000000001E-3</v>
      </c>
      <c r="J230">
        <f t="shared" si="15"/>
        <v>88</v>
      </c>
      <c r="K230">
        <f t="shared" si="16"/>
        <v>36</v>
      </c>
      <c r="L230">
        <f t="shared" si="17"/>
        <v>6.9610666666666674</v>
      </c>
      <c r="M230">
        <f t="shared" si="18"/>
        <v>13.922133333333335</v>
      </c>
      <c r="N230">
        <f t="shared" si="19"/>
        <v>144.88320000000002</v>
      </c>
    </row>
    <row r="231" spans="1:14" x14ac:dyDescent="0.45">
      <c r="A231">
        <v>230</v>
      </c>
      <c r="B231" t="s">
        <v>5</v>
      </c>
      <c r="C231" t="s">
        <v>8</v>
      </c>
      <c r="D231" t="s">
        <v>35</v>
      </c>
      <c r="E231">
        <v>112347</v>
      </c>
      <c r="F231">
        <f>VLOOKUP(C231&amp;"|"&amp;B231,rate_tables!$A$3:$B$8,2,FALSE)</f>
        <v>90</v>
      </c>
      <c r="G231">
        <f>VLOOKUP(C231&amp;"|"&amp;B231,rate_tables!$A$12:$B$17,2,FALSE)</f>
        <v>37</v>
      </c>
      <c r="H231">
        <f>VLOOKUP(C231&amp;"|"&amp;D231,rate_tables!$A$21:$B$28,2,FALSE)</f>
        <v>8.0000000000000004E-4</v>
      </c>
      <c r="I231">
        <f>VLOOKUP(C231&amp;"|"&amp;D231,rate_tables!$A$32:$B$39,2,FALSE)</f>
        <v>1.6000000000000001E-3</v>
      </c>
      <c r="J231">
        <f t="shared" si="15"/>
        <v>90</v>
      </c>
      <c r="K231">
        <f t="shared" si="16"/>
        <v>37</v>
      </c>
      <c r="L231">
        <f t="shared" si="17"/>
        <v>7.4897999999999998</v>
      </c>
      <c r="M231">
        <f t="shared" si="18"/>
        <v>14.9796</v>
      </c>
      <c r="N231">
        <f t="shared" si="19"/>
        <v>149.46940000000001</v>
      </c>
    </row>
    <row r="232" spans="1:14" x14ac:dyDescent="0.45">
      <c r="A232">
        <v>231</v>
      </c>
      <c r="B232" t="s">
        <v>4</v>
      </c>
      <c r="C232" t="s">
        <v>8</v>
      </c>
      <c r="D232" t="s">
        <v>35</v>
      </c>
      <c r="E232">
        <v>106377</v>
      </c>
      <c r="F232">
        <f>VLOOKUP(C232&amp;"|"&amp;B232,rate_tables!$A$3:$B$8,2,FALSE)</f>
        <v>85</v>
      </c>
      <c r="G232">
        <f>VLOOKUP(C232&amp;"|"&amp;B232,rate_tables!$A$12:$B$17,2,FALSE)</f>
        <v>35</v>
      </c>
      <c r="H232">
        <f>VLOOKUP(C232&amp;"|"&amp;D232,rate_tables!$A$21:$B$28,2,FALSE)</f>
        <v>8.0000000000000004E-4</v>
      </c>
      <c r="I232">
        <f>VLOOKUP(C232&amp;"|"&amp;D232,rate_tables!$A$32:$B$39,2,FALSE)</f>
        <v>1.6000000000000001E-3</v>
      </c>
      <c r="J232">
        <f t="shared" si="15"/>
        <v>85</v>
      </c>
      <c r="K232">
        <f t="shared" si="16"/>
        <v>35</v>
      </c>
      <c r="L232">
        <f t="shared" si="17"/>
        <v>7.0918000000000001</v>
      </c>
      <c r="M232">
        <f t="shared" si="18"/>
        <v>14.1836</v>
      </c>
      <c r="N232">
        <f t="shared" si="19"/>
        <v>141.27540000000002</v>
      </c>
    </row>
    <row r="233" spans="1:14" x14ac:dyDescent="0.45">
      <c r="A233">
        <v>232</v>
      </c>
      <c r="B233" t="s">
        <v>4</v>
      </c>
      <c r="C233" t="s">
        <v>8</v>
      </c>
      <c r="D233" t="s">
        <v>35</v>
      </c>
      <c r="E233">
        <v>99235</v>
      </c>
      <c r="F233">
        <f>VLOOKUP(C233&amp;"|"&amp;B233,rate_tables!$A$3:$B$8,2,FALSE)</f>
        <v>85</v>
      </c>
      <c r="G233">
        <f>VLOOKUP(C233&amp;"|"&amp;B233,rate_tables!$A$12:$B$17,2,FALSE)</f>
        <v>35</v>
      </c>
      <c r="H233">
        <f>VLOOKUP(C233&amp;"|"&amp;D233,rate_tables!$A$21:$B$28,2,FALSE)</f>
        <v>8.0000000000000004E-4</v>
      </c>
      <c r="I233">
        <f>VLOOKUP(C233&amp;"|"&amp;D233,rate_tables!$A$32:$B$39,2,FALSE)</f>
        <v>1.6000000000000001E-3</v>
      </c>
      <c r="J233">
        <f t="shared" si="15"/>
        <v>85</v>
      </c>
      <c r="K233">
        <f t="shared" si="16"/>
        <v>35</v>
      </c>
      <c r="L233">
        <f t="shared" si="17"/>
        <v>6.6156666666666668</v>
      </c>
      <c r="M233">
        <f t="shared" si="18"/>
        <v>13.231333333333334</v>
      </c>
      <c r="N233">
        <f t="shared" si="19"/>
        <v>139.84700000000001</v>
      </c>
    </row>
    <row r="234" spans="1:14" x14ac:dyDescent="0.45">
      <c r="A234">
        <v>233</v>
      </c>
      <c r="B234" t="s">
        <v>6</v>
      </c>
      <c r="C234" t="s">
        <v>9</v>
      </c>
      <c r="D234" t="s">
        <v>36</v>
      </c>
      <c r="E234">
        <v>77227</v>
      </c>
      <c r="F234">
        <f>VLOOKUP(C234&amp;"|"&amp;B234,rate_tables!$A$3:$B$8,2,FALSE)</f>
        <v>98</v>
      </c>
      <c r="G234">
        <f>VLOOKUP(C234&amp;"|"&amp;B234,rate_tables!$A$12:$B$17,2,FALSE)</f>
        <v>41</v>
      </c>
      <c r="H234">
        <f>VLOOKUP(C234&amp;"|"&amp;D234,rate_tables!$A$21:$B$28,2,FALSE)</f>
        <v>1.2999999999999999E-3</v>
      </c>
      <c r="I234">
        <f>VLOOKUP(C234&amp;"|"&amp;D234,rate_tables!$A$32:$B$39,2,FALSE)</f>
        <v>2.5999999999999999E-3</v>
      </c>
      <c r="J234">
        <f t="shared" si="15"/>
        <v>98</v>
      </c>
      <c r="K234">
        <f t="shared" si="16"/>
        <v>41</v>
      </c>
      <c r="L234">
        <f t="shared" si="17"/>
        <v>8.3662583333333327</v>
      </c>
      <c r="M234">
        <f t="shared" si="18"/>
        <v>16.732516666666665</v>
      </c>
      <c r="N234">
        <f t="shared" si="19"/>
        <v>164.09877499999999</v>
      </c>
    </row>
    <row r="235" spans="1:14" x14ac:dyDescent="0.45">
      <c r="A235">
        <v>234</v>
      </c>
      <c r="B235" t="s">
        <v>4</v>
      </c>
      <c r="C235" t="s">
        <v>8</v>
      </c>
      <c r="D235" t="s">
        <v>36</v>
      </c>
      <c r="E235">
        <v>76895</v>
      </c>
      <c r="F235">
        <f>VLOOKUP(C235&amp;"|"&amp;B235,rate_tables!$A$3:$B$8,2,FALSE)</f>
        <v>85</v>
      </c>
      <c r="G235">
        <f>VLOOKUP(C235&amp;"|"&amp;B235,rate_tables!$A$12:$B$17,2,FALSE)</f>
        <v>35</v>
      </c>
      <c r="H235">
        <f>VLOOKUP(C235&amp;"|"&amp;D235,rate_tables!$A$21:$B$28,2,FALSE)</f>
        <v>1E-3</v>
      </c>
      <c r="I235">
        <f>VLOOKUP(C235&amp;"|"&amp;D235,rate_tables!$A$32:$B$39,2,FALSE)</f>
        <v>2E-3</v>
      </c>
      <c r="J235">
        <f t="shared" si="15"/>
        <v>85</v>
      </c>
      <c r="K235">
        <f t="shared" si="16"/>
        <v>35</v>
      </c>
      <c r="L235">
        <f t="shared" si="17"/>
        <v>6.407916666666666</v>
      </c>
      <c r="M235">
        <f t="shared" si="18"/>
        <v>12.815833333333332</v>
      </c>
      <c r="N235">
        <f t="shared" si="19"/>
        <v>139.22375</v>
      </c>
    </row>
    <row r="236" spans="1:14" x14ac:dyDescent="0.45">
      <c r="A236">
        <v>235</v>
      </c>
      <c r="B236" t="s">
        <v>5</v>
      </c>
      <c r="C236" t="s">
        <v>9</v>
      </c>
      <c r="D236" t="s">
        <v>36</v>
      </c>
      <c r="E236">
        <v>75315</v>
      </c>
      <c r="F236">
        <f>VLOOKUP(C236&amp;"|"&amp;B236,rate_tables!$A$3:$B$8,2,FALSE)</f>
        <v>100</v>
      </c>
      <c r="G236">
        <f>VLOOKUP(C236&amp;"|"&amp;B236,rate_tables!$A$12:$B$17,2,FALSE)</f>
        <v>42</v>
      </c>
      <c r="H236">
        <f>VLOOKUP(C236&amp;"|"&amp;D236,rate_tables!$A$21:$B$28,2,FALSE)</f>
        <v>1.2999999999999999E-3</v>
      </c>
      <c r="I236">
        <f>VLOOKUP(C236&amp;"|"&amp;D236,rate_tables!$A$32:$B$39,2,FALSE)</f>
        <v>2.5999999999999999E-3</v>
      </c>
      <c r="J236">
        <f t="shared" si="15"/>
        <v>100</v>
      </c>
      <c r="K236">
        <f t="shared" si="16"/>
        <v>42</v>
      </c>
      <c r="L236">
        <f t="shared" si="17"/>
        <v>8.1591249999999995</v>
      </c>
      <c r="M236">
        <f t="shared" si="18"/>
        <v>16.318249999999999</v>
      </c>
      <c r="N236">
        <f t="shared" si="19"/>
        <v>166.47737499999999</v>
      </c>
    </row>
    <row r="237" spans="1:14" x14ac:dyDescent="0.45">
      <c r="A237">
        <v>236</v>
      </c>
      <c r="B237" t="s">
        <v>5</v>
      </c>
      <c r="C237" t="s">
        <v>8</v>
      </c>
      <c r="D237" t="s">
        <v>36</v>
      </c>
      <c r="E237">
        <v>103574</v>
      </c>
      <c r="F237">
        <f>VLOOKUP(C237&amp;"|"&amp;B237,rate_tables!$A$3:$B$8,2,FALSE)</f>
        <v>90</v>
      </c>
      <c r="G237">
        <f>VLOOKUP(C237&amp;"|"&amp;B237,rate_tables!$A$12:$B$17,2,FALSE)</f>
        <v>37</v>
      </c>
      <c r="H237">
        <f>VLOOKUP(C237&amp;"|"&amp;D237,rate_tables!$A$21:$B$28,2,FALSE)</f>
        <v>1E-3</v>
      </c>
      <c r="I237">
        <f>VLOOKUP(C237&amp;"|"&amp;D237,rate_tables!$A$32:$B$39,2,FALSE)</f>
        <v>2E-3</v>
      </c>
      <c r="J237">
        <f t="shared" si="15"/>
        <v>90</v>
      </c>
      <c r="K237">
        <f t="shared" si="16"/>
        <v>37</v>
      </c>
      <c r="L237">
        <f t="shared" si="17"/>
        <v>8.6311666666666671</v>
      </c>
      <c r="M237">
        <f t="shared" si="18"/>
        <v>17.262333333333334</v>
      </c>
      <c r="N237">
        <f t="shared" si="19"/>
        <v>152.89350000000002</v>
      </c>
    </row>
    <row r="238" spans="1:14" x14ac:dyDescent="0.45">
      <c r="A238">
        <v>237</v>
      </c>
      <c r="B238" t="s">
        <v>4</v>
      </c>
      <c r="C238" t="s">
        <v>8</v>
      </c>
      <c r="D238" t="s">
        <v>36</v>
      </c>
      <c r="E238">
        <v>78272</v>
      </c>
      <c r="F238">
        <f>VLOOKUP(C238&amp;"|"&amp;B238,rate_tables!$A$3:$B$8,2,FALSE)</f>
        <v>85</v>
      </c>
      <c r="G238">
        <f>VLOOKUP(C238&amp;"|"&amp;B238,rate_tables!$A$12:$B$17,2,FALSE)</f>
        <v>35</v>
      </c>
      <c r="H238">
        <f>VLOOKUP(C238&amp;"|"&amp;D238,rate_tables!$A$21:$B$28,2,FALSE)</f>
        <v>1E-3</v>
      </c>
      <c r="I238">
        <f>VLOOKUP(C238&amp;"|"&amp;D238,rate_tables!$A$32:$B$39,2,FALSE)</f>
        <v>2E-3</v>
      </c>
      <c r="J238">
        <f t="shared" si="15"/>
        <v>85</v>
      </c>
      <c r="K238">
        <f t="shared" si="16"/>
        <v>35</v>
      </c>
      <c r="L238">
        <f t="shared" si="17"/>
        <v>6.5226666666666668</v>
      </c>
      <c r="M238">
        <f t="shared" si="18"/>
        <v>13.045333333333334</v>
      </c>
      <c r="N238">
        <f t="shared" si="19"/>
        <v>139.56800000000001</v>
      </c>
    </row>
    <row r="239" spans="1:14" x14ac:dyDescent="0.45">
      <c r="A239">
        <v>238</v>
      </c>
      <c r="B239" t="s">
        <v>5</v>
      </c>
      <c r="C239" t="s">
        <v>8</v>
      </c>
      <c r="D239" t="s">
        <v>36</v>
      </c>
      <c r="E239">
        <v>99087</v>
      </c>
      <c r="F239">
        <f>VLOOKUP(C239&amp;"|"&amp;B239,rate_tables!$A$3:$B$8,2,FALSE)</f>
        <v>90</v>
      </c>
      <c r="G239">
        <f>VLOOKUP(C239&amp;"|"&amp;B239,rate_tables!$A$12:$B$17,2,FALSE)</f>
        <v>37</v>
      </c>
      <c r="H239">
        <f>VLOOKUP(C239&amp;"|"&amp;D239,rate_tables!$A$21:$B$28,2,FALSE)</f>
        <v>1E-3</v>
      </c>
      <c r="I239">
        <f>VLOOKUP(C239&amp;"|"&amp;D239,rate_tables!$A$32:$B$39,2,FALSE)</f>
        <v>2E-3</v>
      </c>
      <c r="J239">
        <f t="shared" si="15"/>
        <v>90</v>
      </c>
      <c r="K239">
        <f t="shared" si="16"/>
        <v>37</v>
      </c>
      <c r="L239">
        <f t="shared" si="17"/>
        <v>8.2572500000000009</v>
      </c>
      <c r="M239">
        <f t="shared" si="18"/>
        <v>16.514500000000002</v>
      </c>
      <c r="N239">
        <f t="shared" si="19"/>
        <v>151.77175</v>
      </c>
    </row>
    <row r="240" spans="1:14" x14ac:dyDescent="0.45">
      <c r="A240">
        <v>239</v>
      </c>
      <c r="B240" t="s">
        <v>4</v>
      </c>
      <c r="C240" t="s">
        <v>9</v>
      </c>
      <c r="D240" t="s">
        <v>37</v>
      </c>
      <c r="E240">
        <v>77662</v>
      </c>
      <c r="F240">
        <f>VLOOKUP(C240&amp;"|"&amp;B240,rate_tables!$A$3:$B$8,2,FALSE)</f>
        <v>95</v>
      </c>
      <c r="G240">
        <f>VLOOKUP(C240&amp;"|"&amp;B240,rate_tables!$A$12:$B$17,2,FALSE)</f>
        <v>40</v>
      </c>
      <c r="H240">
        <f>VLOOKUP(C240&amp;"|"&amp;D240,rate_tables!$A$21:$B$28,2,FALSE)</f>
        <v>1.8E-3</v>
      </c>
      <c r="I240">
        <f>VLOOKUP(C240&amp;"|"&amp;D240,rate_tables!$A$32:$B$39,2,FALSE)</f>
        <v>3.8E-3</v>
      </c>
      <c r="J240">
        <f t="shared" si="15"/>
        <v>95</v>
      </c>
      <c r="K240">
        <f t="shared" si="16"/>
        <v>40</v>
      </c>
      <c r="L240">
        <f t="shared" si="17"/>
        <v>11.649299999999998</v>
      </c>
      <c r="M240">
        <f t="shared" si="18"/>
        <v>24.592966666666666</v>
      </c>
      <c r="N240">
        <f t="shared" si="19"/>
        <v>171.24226666666667</v>
      </c>
    </row>
    <row r="241" spans="1:14" x14ac:dyDescent="0.45">
      <c r="A241">
        <v>240</v>
      </c>
      <c r="B241" t="s">
        <v>6</v>
      </c>
      <c r="C241" t="s">
        <v>8</v>
      </c>
      <c r="D241" t="s">
        <v>35</v>
      </c>
      <c r="E241">
        <v>113302</v>
      </c>
      <c r="F241">
        <f>VLOOKUP(C241&amp;"|"&amp;B241,rate_tables!$A$3:$B$8,2,FALSE)</f>
        <v>88</v>
      </c>
      <c r="G241">
        <f>VLOOKUP(C241&amp;"|"&amp;B241,rate_tables!$A$12:$B$17,2,FALSE)</f>
        <v>36</v>
      </c>
      <c r="H241">
        <f>VLOOKUP(C241&amp;"|"&amp;D241,rate_tables!$A$21:$B$28,2,FALSE)</f>
        <v>8.0000000000000004E-4</v>
      </c>
      <c r="I241">
        <f>VLOOKUP(C241&amp;"|"&amp;D241,rate_tables!$A$32:$B$39,2,FALSE)</f>
        <v>1.6000000000000001E-3</v>
      </c>
      <c r="J241">
        <f t="shared" si="15"/>
        <v>88</v>
      </c>
      <c r="K241">
        <f t="shared" si="16"/>
        <v>36</v>
      </c>
      <c r="L241">
        <f t="shared" si="17"/>
        <v>7.5534666666666679</v>
      </c>
      <c r="M241">
        <f t="shared" si="18"/>
        <v>15.106933333333336</v>
      </c>
      <c r="N241">
        <f t="shared" si="19"/>
        <v>146.66040000000001</v>
      </c>
    </row>
    <row r="242" spans="1:14" x14ac:dyDescent="0.45">
      <c r="A242">
        <v>241</v>
      </c>
      <c r="B242" t="s">
        <v>4</v>
      </c>
      <c r="C242" t="s">
        <v>8</v>
      </c>
      <c r="D242" t="s">
        <v>36</v>
      </c>
      <c r="E242">
        <v>91272</v>
      </c>
      <c r="F242">
        <f>VLOOKUP(C242&amp;"|"&amp;B242,rate_tables!$A$3:$B$8,2,FALSE)</f>
        <v>85</v>
      </c>
      <c r="G242">
        <f>VLOOKUP(C242&amp;"|"&amp;B242,rate_tables!$A$12:$B$17,2,FALSE)</f>
        <v>35</v>
      </c>
      <c r="H242">
        <f>VLOOKUP(C242&amp;"|"&amp;D242,rate_tables!$A$21:$B$28,2,FALSE)</f>
        <v>1E-3</v>
      </c>
      <c r="I242">
        <f>VLOOKUP(C242&amp;"|"&amp;D242,rate_tables!$A$32:$B$39,2,FALSE)</f>
        <v>2E-3</v>
      </c>
      <c r="J242">
        <f t="shared" si="15"/>
        <v>85</v>
      </c>
      <c r="K242">
        <f t="shared" si="16"/>
        <v>35</v>
      </c>
      <c r="L242">
        <f t="shared" si="17"/>
        <v>7.6060000000000008</v>
      </c>
      <c r="M242">
        <f t="shared" si="18"/>
        <v>15.212000000000002</v>
      </c>
      <c r="N242">
        <f t="shared" si="19"/>
        <v>142.81799999999998</v>
      </c>
    </row>
    <row r="243" spans="1:14" x14ac:dyDescent="0.45">
      <c r="A243">
        <v>242</v>
      </c>
      <c r="B243" t="s">
        <v>4</v>
      </c>
      <c r="C243" t="s">
        <v>9</v>
      </c>
      <c r="D243" t="s">
        <v>35</v>
      </c>
      <c r="E243">
        <v>78563</v>
      </c>
      <c r="F243">
        <f>VLOOKUP(C243&amp;"|"&amp;B243,rate_tables!$A$3:$B$8,2,FALSE)</f>
        <v>95</v>
      </c>
      <c r="G243">
        <f>VLOOKUP(C243&amp;"|"&amp;B243,rate_tables!$A$12:$B$17,2,FALSE)</f>
        <v>40</v>
      </c>
      <c r="H243">
        <f>VLOOKUP(C243&amp;"|"&amp;D243,rate_tables!$A$21:$B$28,2,FALSE)</f>
        <v>1E-3</v>
      </c>
      <c r="I243">
        <f>VLOOKUP(C243&amp;"|"&amp;D243,rate_tables!$A$32:$B$39,2,FALSE)</f>
        <v>2E-3</v>
      </c>
      <c r="J243">
        <f t="shared" si="15"/>
        <v>95</v>
      </c>
      <c r="K243">
        <f t="shared" si="16"/>
        <v>40</v>
      </c>
      <c r="L243">
        <f t="shared" si="17"/>
        <v>6.5469166666666672</v>
      </c>
      <c r="M243">
        <f t="shared" si="18"/>
        <v>13.093833333333334</v>
      </c>
      <c r="N243">
        <f t="shared" si="19"/>
        <v>154.64075</v>
      </c>
    </row>
    <row r="244" spans="1:14" x14ac:dyDescent="0.45">
      <c r="A244">
        <v>243</v>
      </c>
      <c r="B244" t="s">
        <v>4</v>
      </c>
      <c r="C244" t="s">
        <v>9</v>
      </c>
      <c r="D244" t="s">
        <v>37</v>
      </c>
      <c r="E244">
        <v>62513</v>
      </c>
      <c r="F244">
        <f>VLOOKUP(C244&amp;"|"&amp;B244,rate_tables!$A$3:$B$8,2,FALSE)</f>
        <v>95</v>
      </c>
      <c r="G244">
        <f>VLOOKUP(C244&amp;"|"&amp;B244,rate_tables!$A$12:$B$17,2,FALSE)</f>
        <v>40</v>
      </c>
      <c r="H244">
        <f>VLOOKUP(C244&amp;"|"&amp;D244,rate_tables!$A$21:$B$28,2,FALSE)</f>
        <v>1.8E-3</v>
      </c>
      <c r="I244">
        <f>VLOOKUP(C244&amp;"|"&amp;D244,rate_tables!$A$32:$B$39,2,FALSE)</f>
        <v>3.8E-3</v>
      </c>
      <c r="J244">
        <f t="shared" si="15"/>
        <v>95</v>
      </c>
      <c r="K244">
        <f t="shared" si="16"/>
        <v>40</v>
      </c>
      <c r="L244">
        <f t="shared" si="17"/>
        <v>9.376949999999999</v>
      </c>
      <c r="M244">
        <f t="shared" si="18"/>
        <v>19.795783333333333</v>
      </c>
      <c r="N244">
        <f t="shared" si="19"/>
        <v>164.17273333333333</v>
      </c>
    </row>
    <row r="245" spans="1:14" x14ac:dyDescent="0.45">
      <c r="A245">
        <v>244</v>
      </c>
      <c r="B245" t="s">
        <v>4</v>
      </c>
      <c r="C245" t="s">
        <v>8</v>
      </c>
      <c r="D245" t="s">
        <v>38</v>
      </c>
      <c r="E245">
        <v>74220</v>
      </c>
      <c r="F245">
        <f>VLOOKUP(C245&amp;"|"&amp;B245,rate_tables!$A$3:$B$8,2,FALSE)</f>
        <v>85</v>
      </c>
      <c r="G245">
        <f>VLOOKUP(C245&amp;"|"&amp;B245,rate_tables!$A$12:$B$17,2,FALSE)</f>
        <v>35</v>
      </c>
      <c r="H245">
        <f>VLOOKUP(C245&amp;"|"&amp;D245,rate_tables!$A$21:$B$28,2,FALSE)</f>
        <v>2E-3</v>
      </c>
      <c r="I245">
        <f>VLOOKUP(C245&amp;"|"&amp;D245,rate_tables!$A$32:$B$39,2,FALSE)</f>
        <v>4.4000000000000003E-3</v>
      </c>
      <c r="J245">
        <f t="shared" si="15"/>
        <v>85</v>
      </c>
      <c r="K245">
        <f t="shared" si="16"/>
        <v>35</v>
      </c>
      <c r="L245">
        <f t="shared" si="17"/>
        <v>12.37</v>
      </c>
      <c r="M245">
        <f t="shared" si="18"/>
        <v>27.214000000000002</v>
      </c>
      <c r="N245">
        <f t="shared" si="19"/>
        <v>159.584</v>
      </c>
    </row>
    <row r="246" spans="1:14" x14ac:dyDescent="0.45">
      <c r="A246">
        <v>245</v>
      </c>
      <c r="B246" t="s">
        <v>5</v>
      </c>
      <c r="C246" t="s">
        <v>8</v>
      </c>
      <c r="D246" t="s">
        <v>35</v>
      </c>
      <c r="E246">
        <v>113204</v>
      </c>
      <c r="F246">
        <f>VLOOKUP(C246&amp;"|"&amp;B246,rate_tables!$A$3:$B$8,2,FALSE)</f>
        <v>90</v>
      </c>
      <c r="G246">
        <f>VLOOKUP(C246&amp;"|"&amp;B246,rate_tables!$A$12:$B$17,2,FALSE)</f>
        <v>37</v>
      </c>
      <c r="H246">
        <f>VLOOKUP(C246&amp;"|"&amp;D246,rate_tables!$A$21:$B$28,2,FALSE)</f>
        <v>8.0000000000000004E-4</v>
      </c>
      <c r="I246">
        <f>VLOOKUP(C246&amp;"|"&amp;D246,rate_tables!$A$32:$B$39,2,FALSE)</f>
        <v>1.6000000000000001E-3</v>
      </c>
      <c r="J246">
        <f t="shared" si="15"/>
        <v>90</v>
      </c>
      <c r="K246">
        <f t="shared" si="16"/>
        <v>37</v>
      </c>
      <c r="L246">
        <f t="shared" si="17"/>
        <v>7.5469333333333344</v>
      </c>
      <c r="M246">
        <f t="shared" si="18"/>
        <v>15.093866666666669</v>
      </c>
      <c r="N246">
        <f t="shared" si="19"/>
        <v>149.64079999999998</v>
      </c>
    </row>
    <row r="247" spans="1:14" x14ac:dyDescent="0.45">
      <c r="A247">
        <v>246</v>
      </c>
      <c r="B247" t="s">
        <v>6</v>
      </c>
      <c r="C247" t="s">
        <v>8</v>
      </c>
      <c r="D247" t="s">
        <v>35</v>
      </c>
      <c r="E247">
        <v>112403</v>
      </c>
      <c r="F247">
        <f>VLOOKUP(C247&amp;"|"&amp;B247,rate_tables!$A$3:$B$8,2,FALSE)</f>
        <v>88</v>
      </c>
      <c r="G247">
        <f>VLOOKUP(C247&amp;"|"&amp;B247,rate_tables!$A$12:$B$17,2,FALSE)</f>
        <v>36</v>
      </c>
      <c r="H247">
        <f>VLOOKUP(C247&amp;"|"&amp;D247,rate_tables!$A$21:$B$28,2,FALSE)</f>
        <v>8.0000000000000004E-4</v>
      </c>
      <c r="I247">
        <f>VLOOKUP(C247&amp;"|"&amp;D247,rate_tables!$A$32:$B$39,2,FALSE)</f>
        <v>1.6000000000000001E-3</v>
      </c>
      <c r="J247">
        <f t="shared" si="15"/>
        <v>88</v>
      </c>
      <c r="K247">
        <f t="shared" si="16"/>
        <v>36</v>
      </c>
      <c r="L247">
        <f t="shared" si="17"/>
        <v>7.4935333333333345</v>
      </c>
      <c r="M247">
        <f t="shared" si="18"/>
        <v>14.987066666666669</v>
      </c>
      <c r="N247">
        <f t="shared" si="19"/>
        <v>146.48060000000001</v>
      </c>
    </row>
    <row r="248" spans="1:14" x14ac:dyDescent="0.45">
      <c r="A248">
        <v>247</v>
      </c>
      <c r="B248" t="s">
        <v>6</v>
      </c>
      <c r="C248" t="s">
        <v>8</v>
      </c>
      <c r="D248" t="s">
        <v>36</v>
      </c>
      <c r="E248">
        <v>96064</v>
      </c>
      <c r="F248">
        <f>VLOOKUP(C248&amp;"|"&amp;B248,rate_tables!$A$3:$B$8,2,FALSE)</f>
        <v>88</v>
      </c>
      <c r="G248">
        <f>VLOOKUP(C248&amp;"|"&amp;B248,rate_tables!$A$12:$B$17,2,FALSE)</f>
        <v>36</v>
      </c>
      <c r="H248">
        <f>VLOOKUP(C248&amp;"|"&amp;D248,rate_tables!$A$21:$B$28,2,FALSE)</f>
        <v>1E-3</v>
      </c>
      <c r="I248">
        <f>VLOOKUP(C248&amp;"|"&amp;D248,rate_tables!$A$32:$B$39,2,FALSE)</f>
        <v>2E-3</v>
      </c>
      <c r="J248">
        <f t="shared" si="15"/>
        <v>88</v>
      </c>
      <c r="K248">
        <f t="shared" si="16"/>
        <v>36</v>
      </c>
      <c r="L248">
        <f t="shared" si="17"/>
        <v>8.0053333333333345</v>
      </c>
      <c r="M248">
        <f t="shared" si="18"/>
        <v>16.010666666666669</v>
      </c>
      <c r="N248">
        <f t="shared" si="19"/>
        <v>148.01600000000002</v>
      </c>
    </row>
    <row r="249" spans="1:14" x14ac:dyDescent="0.45">
      <c r="A249">
        <v>248</v>
      </c>
      <c r="B249" t="s">
        <v>4</v>
      </c>
      <c r="C249" t="s">
        <v>8</v>
      </c>
      <c r="D249" t="s">
        <v>36</v>
      </c>
      <c r="E249">
        <v>112459</v>
      </c>
      <c r="F249">
        <f>VLOOKUP(C249&amp;"|"&amp;B249,rate_tables!$A$3:$B$8,2,FALSE)</f>
        <v>85</v>
      </c>
      <c r="G249">
        <f>VLOOKUP(C249&amp;"|"&amp;B249,rate_tables!$A$12:$B$17,2,FALSE)</f>
        <v>35</v>
      </c>
      <c r="H249">
        <f>VLOOKUP(C249&amp;"|"&amp;D249,rate_tables!$A$21:$B$28,2,FALSE)</f>
        <v>1E-3</v>
      </c>
      <c r="I249">
        <f>VLOOKUP(C249&amp;"|"&amp;D249,rate_tables!$A$32:$B$39,2,FALSE)</f>
        <v>2E-3</v>
      </c>
      <c r="J249">
        <f t="shared" si="15"/>
        <v>85</v>
      </c>
      <c r="K249">
        <f t="shared" si="16"/>
        <v>35</v>
      </c>
      <c r="L249">
        <f t="shared" si="17"/>
        <v>9.3715833333333336</v>
      </c>
      <c r="M249">
        <f t="shared" si="18"/>
        <v>18.743166666666667</v>
      </c>
      <c r="N249">
        <f t="shared" si="19"/>
        <v>148.11474999999999</v>
      </c>
    </row>
    <row r="250" spans="1:14" x14ac:dyDescent="0.45">
      <c r="A250">
        <v>249</v>
      </c>
      <c r="B250" t="s">
        <v>6</v>
      </c>
      <c r="C250" t="s">
        <v>9</v>
      </c>
      <c r="D250" t="s">
        <v>37</v>
      </c>
      <c r="E250">
        <v>69761</v>
      </c>
      <c r="F250">
        <f>VLOOKUP(C250&amp;"|"&amp;B250,rate_tables!$A$3:$B$8,2,FALSE)</f>
        <v>98</v>
      </c>
      <c r="G250">
        <f>VLOOKUP(C250&amp;"|"&amp;B250,rate_tables!$A$12:$B$17,2,FALSE)</f>
        <v>41</v>
      </c>
      <c r="H250">
        <f>VLOOKUP(C250&amp;"|"&amp;D250,rate_tables!$A$21:$B$28,2,FALSE)</f>
        <v>1.8E-3</v>
      </c>
      <c r="I250">
        <f>VLOOKUP(C250&amp;"|"&amp;D250,rate_tables!$A$32:$B$39,2,FALSE)</f>
        <v>3.8E-3</v>
      </c>
      <c r="J250">
        <f t="shared" si="15"/>
        <v>98</v>
      </c>
      <c r="K250">
        <f t="shared" si="16"/>
        <v>41</v>
      </c>
      <c r="L250">
        <f t="shared" si="17"/>
        <v>10.46415</v>
      </c>
      <c r="M250">
        <f t="shared" si="18"/>
        <v>22.09098333333333</v>
      </c>
      <c r="N250">
        <f t="shared" si="19"/>
        <v>171.55513333333332</v>
      </c>
    </row>
    <row r="251" spans="1:14" x14ac:dyDescent="0.45">
      <c r="A251">
        <v>250</v>
      </c>
      <c r="B251" t="s">
        <v>4</v>
      </c>
      <c r="C251" t="s">
        <v>8</v>
      </c>
      <c r="D251" t="s">
        <v>37</v>
      </c>
      <c r="E251">
        <v>83520</v>
      </c>
      <c r="F251">
        <f>VLOOKUP(C251&amp;"|"&amp;B251,rate_tables!$A$3:$B$8,2,FALSE)</f>
        <v>85</v>
      </c>
      <c r="G251">
        <f>VLOOKUP(C251&amp;"|"&amp;B251,rate_tables!$A$12:$B$17,2,FALSE)</f>
        <v>35</v>
      </c>
      <c r="H251">
        <f>VLOOKUP(C251&amp;"|"&amp;D251,rate_tables!$A$21:$B$28,2,FALSE)</f>
        <v>1.4E-3</v>
      </c>
      <c r="I251">
        <f>VLOOKUP(C251&amp;"|"&amp;D251,rate_tables!$A$32:$B$39,2,FALSE)</f>
        <v>3.0000000000000001E-3</v>
      </c>
      <c r="J251">
        <f t="shared" si="15"/>
        <v>85</v>
      </c>
      <c r="K251">
        <f t="shared" si="16"/>
        <v>35</v>
      </c>
      <c r="L251">
        <f t="shared" si="17"/>
        <v>9.7439999999999998</v>
      </c>
      <c r="M251">
        <f t="shared" si="18"/>
        <v>20.88</v>
      </c>
      <c r="N251">
        <f t="shared" si="19"/>
        <v>150.624</v>
      </c>
    </row>
    <row r="252" spans="1:14" x14ac:dyDescent="0.45">
      <c r="A252">
        <v>251</v>
      </c>
      <c r="B252" t="s">
        <v>4</v>
      </c>
      <c r="C252" t="s">
        <v>9</v>
      </c>
      <c r="D252" t="s">
        <v>35</v>
      </c>
      <c r="E252">
        <v>60376</v>
      </c>
      <c r="F252">
        <f>VLOOKUP(C252&amp;"|"&amp;B252,rate_tables!$A$3:$B$8,2,FALSE)</f>
        <v>95</v>
      </c>
      <c r="G252">
        <f>VLOOKUP(C252&amp;"|"&amp;B252,rate_tables!$A$12:$B$17,2,FALSE)</f>
        <v>40</v>
      </c>
      <c r="H252">
        <f>VLOOKUP(C252&amp;"|"&amp;D252,rate_tables!$A$21:$B$28,2,FALSE)</f>
        <v>1E-3</v>
      </c>
      <c r="I252">
        <f>VLOOKUP(C252&amp;"|"&amp;D252,rate_tables!$A$32:$B$39,2,FALSE)</f>
        <v>2E-3</v>
      </c>
      <c r="J252">
        <f t="shared" si="15"/>
        <v>95</v>
      </c>
      <c r="K252">
        <f t="shared" si="16"/>
        <v>40</v>
      </c>
      <c r="L252">
        <f t="shared" si="17"/>
        <v>5.0313333333333334</v>
      </c>
      <c r="M252">
        <f t="shared" si="18"/>
        <v>10.062666666666667</v>
      </c>
      <c r="N252">
        <f t="shared" si="19"/>
        <v>150.09399999999999</v>
      </c>
    </row>
    <row r="253" spans="1:14" x14ac:dyDescent="0.45">
      <c r="A253">
        <v>252</v>
      </c>
      <c r="B253" t="s">
        <v>4</v>
      </c>
      <c r="C253" t="s">
        <v>8</v>
      </c>
      <c r="D253" t="s">
        <v>35</v>
      </c>
      <c r="E253">
        <v>78174</v>
      </c>
      <c r="F253">
        <f>VLOOKUP(C253&amp;"|"&amp;B253,rate_tables!$A$3:$B$8,2,FALSE)</f>
        <v>85</v>
      </c>
      <c r="G253">
        <f>VLOOKUP(C253&amp;"|"&amp;B253,rate_tables!$A$12:$B$17,2,FALSE)</f>
        <v>35</v>
      </c>
      <c r="H253">
        <f>VLOOKUP(C253&amp;"|"&amp;D253,rate_tables!$A$21:$B$28,2,FALSE)</f>
        <v>8.0000000000000004E-4</v>
      </c>
      <c r="I253">
        <f>VLOOKUP(C253&amp;"|"&amp;D253,rate_tables!$A$32:$B$39,2,FALSE)</f>
        <v>1.6000000000000001E-3</v>
      </c>
      <c r="J253">
        <f t="shared" si="15"/>
        <v>85</v>
      </c>
      <c r="K253">
        <f t="shared" si="16"/>
        <v>35</v>
      </c>
      <c r="L253">
        <f t="shared" si="17"/>
        <v>5.2115999999999998</v>
      </c>
      <c r="M253">
        <f t="shared" si="18"/>
        <v>10.4232</v>
      </c>
      <c r="N253">
        <f t="shared" si="19"/>
        <v>135.63480000000001</v>
      </c>
    </row>
    <row r="254" spans="1:14" x14ac:dyDescent="0.45">
      <c r="A254">
        <v>253</v>
      </c>
      <c r="B254" t="s">
        <v>4</v>
      </c>
      <c r="C254" t="s">
        <v>9</v>
      </c>
      <c r="D254" t="s">
        <v>36</v>
      </c>
      <c r="E254">
        <v>71244</v>
      </c>
      <c r="F254">
        <f>VLOOKUP(C254&amp;"|"&amp;B254,rate_tables!$A$3:$B$8,2,FALSE)</f>
        <v>95</v>
      </c>
      <c r="G254">
        <f>VLOOKUP(C254&amp;"|"&amp;B254,rate_tables!$A$12:$B$17,2,FALSE)</f>
        <v>40</v>
      </c>
      <c r="H254">
        <f>VLOOKUP(C254&amp;"|"&amp;D254,rate_tables!$A$21:$B$28,2,FALSE)</f>
        <v>1.2999999999999999E-3</v>
      </c>
      <c r="I254">
        <f>VLOOKUP(C254&amp;"|"&amp;D254,rate_tables!$A$32:$B$39,2,FALSE)</f>
        <v>2.5999999999999999E-3</v>
      </c>
      <c r="J254">
        <f t="shared" si="15"/>
        <v>95</v>
      </c>
      <c r="K254">
        <f t="shared" si="16"/>
        <v>40</v>
      </c>
      <c r="L254">
        <f t="shared" si="17"/>
        <v>7.7180999999999997</v>
      </c>
      <c r="M254">
        <f t="shared" si="18"/>
        <v>15.436199999999999</v>
      </c>
      <c r="N254">
        <f t="shared" si="19"/>
        <v>158.15429999999998</v>
      </c>
    </row>
    <row r="255" spans="1:14" x14ac:dyDescent="0.45">
      <c r="A255">
        <v>254</v>
      </c>
      <c r="B255" t="s">
        <v>6</v>
      </c>
      <c r="C255" t="s">
        <v>8</v>
      </c>
      <c r="D255" t="s">
        <v>37</v>
      </c>
      <c r="E255">
        <v>115548</v>
      </c>
      <c r="F255">
        <f>VLOOKUP(C255&amp;"|"&amp;B255,rate_tables!$A$3:$B$8,2,FALSE)</f>
        <v>88</v>
      </c>
      <c r="G255">
        <f>VLOOKUP(C255&amp;"|"&amp;B255,rate_tables!$A$12:$B$17,2,FALSE)</f>
        <v>36</v>
      </c>
      <c r="H255">
        <f>VLOOKUP(C255&amp;"|"&amp;D255,rate_tables!$A$21:$B$28,2,FALSE)</f>
        <v>1.4E-3</v>
      </c>
      <c r="I255">
        <f>VLOOKUP(C255&amp;"|"&amp;D255,rate_tables!$A$32:$B$39,2,FALSE)</f>
        <v>3.0000000000000001E-3</v>
      </c>
      <c r="J255">
        <f t="shared" si="15"/>
        <v>88</v>
      </c>
      <c r="K255">
        <f t="shared" si="16"/>
        <v>36</v>
      </c>
      <c r="L255">
        <f t="shared" si="17"/>
        <v>13.480600000000001</v>
      </c>
      <c r="M255">
        <f t="shared" si="18"/>
        <v>28.887</v>
      </c>
      <c r="N255">
        <f t="shared" si="19"/>
        <v>166.36760000000001</v>
      </c>
    </row>
    <row r="256" spans="1:14" x14ac:dyDescent="0.45">
      <c r="A256">
        <v>255</v>
      </c>
      <c r="B256" t="s">
        <v>4</v>
      </c>
      <c r="C256" t="s">
        <v>8</v>
      </c>
      <c r="D256" t="s">
        <v>35</v>
      </c>
      <c r="E256">
        <v>61292</v>
      </c>
      <c r="F256">
        <f>VLOOKUP(C256&amp;"|"&amp;B256,rate_tables!$A$3:$B$8,2,FALSE)</f>
        <v>85</v>
      </c>
      <c r="G256">
        <f>VLOOKUP(C256&amp;"|"&amp;B256,rate_tables!$A$12:$B$17,2,FALSE)</f>
        <v>35</v>
      </c>
      <c r="H256">
        <f>VLOOKUP(C256&amp;"|"&amp;D256,rate_tables!$A$21:$B$28,2,FALSE)</f>
        <v>8.0000000000000004E-4</v>
      </c>
      <c r="I256">
        <f>VLOOKUP(C256&amp;"|"&amp;D256,rate_tables!$A$32:$B$39,2,FALSE)</f>
        <v>1.6000000000000001E-3</v>
      </c>
      <c r="J256">
        <f t="shared" si="15"/>
        <v>85</v>
      </c>
      <c r="K256">
        <f t="shared" si="16"/>
        <v>35</v>
      </c>
      <c r="L256">
        <f t="shared" si="17"/>
        <v>4.0861333333333336</v>
      </c>
      <c r="M256">
        <f t="shared" si="18"/>
        <v>8.1722666666666672</v>
      </c>
      <c r="N256">
        <f t="shared" si="19"/>
        <v>132.25839999999999</v>
      </c>
    </row>
    <row r="257" spans="1:14" x14ac:dyDescent="0.45">
      <c r="A257">
        <v>256</v>
      </c>
      <c r="B257" t="s">
        <v>4</v>
      </c>
      <c r="C257" t="s">
        <v>9</v>
      </c>
      <c r="D257" t="s">
        <v>36</v>
      </c>
      <c r="E257">
        <v>75603</v>
      </c>
      <c r="F257">
        <f>VLOOKUP(C257&amp;"|"&amp;B257,rate_tables!$A$3:$B$8,2,FALSE)</f>
        <v>95</v>
      </c>
      <c r="G257">
        <f>VLOOKUP(C257&amp;"|"&amp;B257,rate_tables!$A$12:$B$17,2,FALSE)</f>
        <v>40</v>
      </c>
      <c r="H257">
        <f>VLOOKUP(C257&amp;"|"&amp;D257,rate_tables!$A$21:$B$28,2,FALSE)</f>
        <v>1.2999999999999999E-3</v>
      </c>
      <c r="I257">
        <f>VLOOKUP(C257&amp;"|"&amp;D257,rate_tables!$A$32:$B$39,2,FALSE)</f>
        <v>2.5999999999999999E-3</v>
      </c>
      <c r="J257">
        <f t="shared" si="15"/>
        <v>95</v>
      </c>
      <c r="K257">
        <f t="shared" si="16"/>
        <v>40</v>
      </c>
      <c r="L257">
        <f t="shared" si="17"/>
        <v>8.1903249999999996</v>
      </c>
      <c r="M257">
        <f t="shared" si="18"/>
        <v>16.380649999999999</v>
      </c>
      <c r="N257">
        <f t="shared" si="19"/>
        <v>159.570975</v>
      </c>
    </row>
    <row r="258" spans="1:14" x14ac:dyDescent="0.45">
      <c r="A258">
        <v>257</v>
      </c>
      <c r="B258" t="s">
        <v>6</v>
      </c>
      <c r="C258" t="s">
        <v>8</v>
      </c>
      <c r="D258" t="s">
        <v>35</v>
      </c>
      <c r="E258">
        <v>80236</v>
      </c>
      <c r="F258">
        <f>VLOOKUP(C258&amp;"|"&amp;B258,rate_tables!$A$3:$B$8,2,FALSE)</f>
        <v>88</v>
      </c>
      <c r="G258">
        <f>VLOOKUP(C258&amp;"|"&amp;B258,rate_tables!$A$12:$B$17,2,FALSE)</f>
        <v>36</v>
      </c>
      <c r="H258">
        <f>VLOOKUP(C258&amp;"|"&amp;D258,rate_tables!$A$21:$B$28,2,FALSE)</f>
        <v>8.0000000000000004E-4</v>
      </c>
      <c r="I258">
        <f>VLOOKUP(C258&amp;"|"&amp;D258,rate_tables!$A$32:$B$39,2,FALSE)</f>
        <v>1.6000000000000001E-3</v>
      </c>
      <c r="J258">
        <f t="shared" si="15"/>
        <v>88</v>
      </c>
      <c r="K258">
        <f t="shared" si="16"/>
        <v>36</v>
      </c>
      <c r="L258">
        <f t="shared" si="17"/>
        <v>5.3490666666666664</v>
      </c>
      <c r="M258">
        <f t="shared" si="18"/>
        <v>10.698133333333333</v>
      </c>
      <c r="N258">
        <f t="shared" si="19"/>
        <v>140.0472</v>
      </c>
    </row>
    <row r="259" spans="1:14" x14ac:dyDescent="0.45">
      <c r="A259">
        <v>258</v>
      </c>
      <c r="B259" t="s">
        <v>4</v>
      </c>
      <c r="C259" t="s">
        <v>9</v>
      </c>
      <c r="D259" t="s">
        <v>37</v>
      </c>
      <c r="E259">
        <v>73334</v>
      </c>
      <c r="F259">
        <f>VLOOKUP(C259&amp;"|"&amp;B259,rate_tables!$A$3:$B$8,2,FALSE)</f>
        <v>95</v>
      </c>
      <c r="G259">
        <f>VLOOKUP(C259&amp;"|"&amp;B259,rate_tables!$A$12:$B$17,2,FALSE)</f>
        <v>40</v>
      </c>
      <c r="H259">
        <f>VLOOKUP(C259&amp;"|"&amp;D259,rate_tables!$A$21:$B$28,2,FALSE)</f>
        <v>1.8E-3</v>
      </c>
      <c r="I259">
        <f>VLOOKUP(C259&amp;"|"&amp;D259,rate_tables!$A$32:$B$39,2,FALSE)</f>
        <v>3.8E-3</v>
      </c>
      <c r="J259">
        <f t="shared" ref="J259:J322" si="20">F259</f>
        <v>95</v>
      </c>
      <c r="K259">
        <f t="shared" ref="K259:K322" si="21">G259</f>
        <v>40</v>
      </c>
      <c r="L259">
        <f t="shared" ref="L259:L322" si="22">H259*E259/12</f>
        <v>11.000099999999998</v>
      </c>
      <c r="M259">
        <f t="shared" ref="M259:M322" si="23">I259*E259/12</f>
        <v>23.222433333333331</v>
      </c>
      <c r="N259">
        <f t="shared" ref="N259:N322" si="24">SUM(J259:M259)</f>
        <v>169.22253333333333</v>
      </c>
    </row>
    <row r="260" spans="1:14" x14ac:dyDescent="0.45">
      <c r="A260">
        <v>259</v>
      </c>
      <c r="B260" t="s">
        <v>4</v>
      </c>
      <c r="C260" t="s">
        <v>8</v>
      </c>
      <c r="D260" t="s">
        <v>36</v>
      </c>
      <c r="E260">
        <v>60803</v>
      </c>
      <c r="F260">
        <f>VLOOKUP(C260&amp;"|"&amp;B260,rate_tables!$A$3:$B$8,2,FALSE)</f>
        <v>85</v>
      </c>
      <c r="G260">
        <f>VLOOKUP(C260&amp;"|"&amp;B260,rate_tables!$A$12:$B$17,2,FALSE)</f>
        <v>35</v>
      </c>
      <c r="H260">
        <f>VLOOKUP(C260&amp;"|"&amp;D260,rate_tables!$A$21:$B$28,2,FALSE)</f>
        <v>1E-3</v>
      </c>
      <c r="I260">
        <f>VLOOKUP(C260&amp;"|"&amp;D260,rate_tables!$A$32:$B$39,2,FALSE)</f>
        <v>2E-3</v>
      </c>
      <c r="J260">
        <f t="shared" si="20"/>
        <v>85</v>
      </c>
      <c r="K260">
        <f t="shared" si="21"/>
        <v>35</v>
      </c>
      <c r="L260">
        <f t="shared" si="22"/>
        <v>5.0669166666666667</v>
      </c>
      <c r="M260">
        <f t="shared" si="23"/>
        <v>10.133833333333333</v>
      </c>
      <c r="N260">
        <f t="shared" si="24"/>
        <v>135.20075</v>
      </c>
    </row>
    <row r="261" spans="1:14" x14ac:dyDescent="0.45">
      <c r="A261">
        <v>260</v>
      </c>
      <c r="B261" t="s">
        <v>5</v>
      </c>
      <c r="C261" t="s">
        <v>9</v>
      </c>
      <c r="D261" t="s">
        <v>38</v>
      </c>
      <c r="E261">
        <v>45657</v>
      </c>
      <c r="F261">
        <f>VLOOKUP(C261&amp;"|"&amp;B261,rate_tables!$A$3:$B$8,2,FALSE)</f>
        <v>100</v>
      </c>
      <c r="G261">
        <f>VLOOKUP(C261&amp;"|"&amp;B261,rate_tables!$A$12:$B$17,2,FALSE)</f>
        <v>42</v>
      </c>
      <c r="H261">
        <f>VLOOKUP(C261&amp;"|"&amp;D261,rate_tables!$A$21:$B$28,2,FALSE)</f>
        <v>2.5999999999999999E-3</v>
      </c>
      <c r="I261">
        <f>VLOOKUP(C261&amp;"|"&amp;D261,rate_tables!$A$32:$B$39,2,FALSE)</f>
        <v>5.5999999999999999E-3</v>
      </c>
      <c r="J261">
        <f t="shared" si="20"/>
        <v>100</v>
      </c>
      <c r="K261">
        <f t="shared" si="21"/>
        <v>42</v>
      </c>
      <c r="L261">
        <f t="shared" si="22"/>
        <v>9.8923499999999986</v>
      </c>
      <c r="M261">
        <f t="shared" si="23"/>
        <v>21.3066</v>
      </c>
      <c r="N261">
        <f t="shared" si="24"/>
        <v>173.19895</v>
      </c>
    </row>
    <row r="262" spans="1:14" x14ac:dyDescent="0.45">
      <c r="A262">
        <v>261</v>
      </c>
      <c r="B262" t="s">
        <v>6</v>
      </c>
      <c r="C262" t="s">
        <v>8</v>
      </c>
      <c r="D262" t="s">
        <v>35</v>
      </c>
      <c r="E262">
        <v>83697</v>
      </c>
      <c r="F262">
        <f>VLOOKUP(C262&amp;"|"&amp;B262,rate_tables!$A$3:$B$8,2,FALSE)</f>
        <v>88</v>
      </c>
      <c r="G262">
        <f>VLOOKUP(C262&amp;"|"&amp;B262,rate_tables!$A$12:$B$17,2,FALSE)</f>
        <v>36</v>
      </c>
      <c r="H262">
        <f>VLOOKUP(C262&amp;"|"&amp;D262,rate_tables!$A$21:$B$28,2,FALSE)</f>
        <v>8.0000000000000004E-4</v>
      </c>
      <c r="I262">
        <f>VLOOKUP(C262&amp;"|"&amp;D262,rate_tables!$A$32:$B$39,2,FALSE)</f>
        <v>1.6000000000000001E-3</v>
      </c>
      <c r="J262">
        <f t="shared" si="20"/>
        <v>88</v>
      </c>
      <c r="K262">
        <f t="shared" si="21"/>
        <v>36</v>
      </c>
      <c r="L262">
        <f t="shared" si="22"/>
        <v>5.5797999999999996</v>
      </c>
      <c r="M262">
        <f t="shared" si="23"/>
        <v>11.159599999999999</v>
      </c>
      <c r="N262">
        <f t="shared" si="24"/>
        <v>140.73940000000002</v>
      </c>
    </row>
    <row r="263" spans="1:14" x14ac:dyDescent="0.45">
      <c r="A263">
        <v>262</v>
      </c>
      <c r="B263" t="s">
        <v>5</v>
      </c>
      <c r="C263" t="s">
        <v>9</v>
      </c>
      <c r="D263" t="s">
        <v>38</v>
      </c>
      <c r="E263">
        <v>56724</v>
      </c>
      <c r="F263">
        <f>VLOOKUP(C263&amp;"|"&amp;B263,rate_tables!$A$3:$B$8,2,FALSE)</f>
        <v>100</v>
      </c>
      <c r="G263">
        <f>VLOOKUP(C263&amp;"|"&amp;B263,rate_tables!$A$12:$B$17,2,FALSE)</f>
        <v>42</v>
      </c>
      <c r="H263">
        <f>VLOOKUP(C263&amp;"|"&amp;D263,rate_tables!$A$21:$B$28,2,FALSE)</f>
        <v>2.5999999999999999E-3</v>
      </c>
      <c r="I263">
        <f>VLOOKUP(C263&amp;"|"&amp;D263,rate_tables!$A$32:$B$39,2,FALSE)</f>
        <v>5.5999999999999999E-3</v>
      </c>
      <c r="J263">
        <f t="shared" si="20"/>
        <v>100</v>
      </c>
      <c r="K263">
        <f t="shared" si="21"/>
        <v>42</v>
      </c>
      <c r="L263">
        <f t="shared" si="22"/>
        <v>12.290199999999999</v>
      </c>
      <c r="M263">
        <f t="shared" si="23"/>
        <v>26.4712</v>
      </c>
      <c r="N263">
        <f t="shared" si="24"/>
        <v>180.76140000000001</v>
      </c>
    </row>
    <row r="264" spans="1:14" x14ac:dyDescent="0.45">
      <c r="A264">
        <v>263</v>
      </c>
      <c r="B264" t="s">
        <v>5</v>
      </c>
      <c r="C264" t="s">
        <v>8</v>
      </c>
      <c r="D264" t="s">
        <v>36</v>
      </c>
      <c r="E264">
        <v>129181</v>
      </c>
      <c r="F264">
        <f>VLOOKUP(C264&amp;"|"&amp;B264,rate_tables!$A$3:$B$8,2,FALSE)</f>
        <v>90</v>
      </c>
      <c r="G264">
        <f>VLOOKUP(C264&amp;"|"&amp;B264,rate_tables!$A$12:$B$17,2,FALSE)</f>
        <v>37</v>
      </c>
      <c r="H264">
        <f>VLOOKUP(C264&amp;"|"&amp;D264,rate_tables!$A$21:$B$28,2,FALSE)</f>
        <v>1E-3</v>
      </c>
      <c r="I264">
        <f>VLOOKUP(C264&amp;"|"&amp;D264,rate_tables!$A$32:$B$39,2,FALSE)</f>
        <v>2E-3</v>
      </c>
      <c r="J264">
        <f t="shared" si="20"/>
        <v>90</v>
      </c>
      <c r="K264">
        <f t="shared" si="21"/>
        <v>37</v>
      </c>
      <c r="L264">
        <f t="shared" si="22"/>
        <v>10.765083333333335</v>
      </c>
      <c r="M264">
        <f t="shared" si="23"/>
        <v>21.53016666666667</v>
      </c>
      <c r="N264">
        <f t="shared" si="24"/>
        <v>159.29525000000001</v>
      </c>
    </row>
    <row r="265" spans="1:14" x14ac:dyDescent="0.45">
      <c r="A265">
        <v>264</v>
      </c>
      <c r="B265" t="s">
        <v>4</v>
      </c>
      <c r="C265" t="s">
        <v>9</v>
      </c>
      <c r="D265" t="s">
        <v>38</v>
      </c>
      <c r="E265">
        <v>79227</v>
      </c>
      <c r="F265">
        <f>VLOOKUP(C265&amp;"|"&amp;B265,rate_tables!$A$3:$B$8,2,FALSE)</f>
        <v>95</v>
      </c>
      <c r="G265">
        <f>VLOOKUP(C265&amp;"|"&amp;B265,rate_tables!$A$12:$B$17,2,FALSE)</f>
        <v>40</v>
      </c>
      <c r="H265">
        <f>VLOOKUP(C265&amp;"|"&amp;D265,rate_tables!$A$21:$B$28,2,FALSE)</f>
        <v>2.5999999999999999E-3</v>
      </c>
      <c r="I265">
        <f>VLOOKUP(C265&amp;"|"&amp;D265,rate_tables!$A$32:$B$39,2,FALSE)</f>
        <v>5.5999999999999999E-3</v>
      </c>
      <c r="J265">
        <f t="shared" si="20"/>
        <v>95</v>
      </c>
      <c r="K265">
        <f t="shared" si="21"/>
        <v>40</v>
      </c>
      <c r="L265">
        <f t="shared" si="22"/>
        <v>17.165849999999999</v>
      </c>
      <c r="M265">
        <f t="shared" si="23"/>
        <v>36.9726</v>
      </c>
      <c r="N265">
        <f t="shared" si="24"/>
        <v>189.13845000000001</v>
      </c>
    </row>
    <row r="266" spans="1:14" x14ac:dyDescent="0.45">
      <c r="A266">
        <v>265</v>
      </c>
      <c r="B266" t="s">
        <v>5</v>
      </c>
      <c r="C266" t="s">
        <v>8</v>
      </c>
      <c r="D266" t="s">
        <v>36</v>
      </c>
      <c r="E266">
        <v>97857</v>
      </c>
      <c r="F266">
        <f>VLOOKUP(C266&amp;"|"&amp;B266,rate_tables!$A$3:$B$8,2,FALSE)</f>
        <v>90</v>
      </c>
      <c r="G266">
        <f>VLOOKUP(C266&amp;"|"&amp;B266,rate_tables!$A$12:$B$17,2,FALSE)</f>
        <v>37</v>
      </c>
      <c r="H266">
        <f>VLOOKUP(C266&amp;"|"&amp;D266,rate_tables!$A$21:$B$28,2,FALSE)</f>
        <v>1E-3</v>
      </c>
      <c r="I266">
        <f>VLOOKUP(C266&amp;"|"&amp;D266,rate_tables!$A$32:$B$39,2,FALSE)</f>
        <v>2E-3</v>
      </c>
      <c r="J266">
        <f t="shared" si="20"/>
        <v>90</v>
      </c>
      <c r="K266">
        <f t="shared" si="21"/>
        <v>37</v>
      </c>
      <c r="L266">
        <f t="shared" si="22"/>
        <v>8.1547499999999999</v>
      </c>
      <c r="M266">
        <f t="shared" si="23"/>
        <v>16.3095</v>
      </c>
      <c r="N266">
        <f t="shared" si="24"/>
        <v>151.46424999999999</v>
      </c>
    </row>
    <row r="267" spans="1:14" x14ac:dyDescent="0.45">
      <c r="A267">
        <v>266</v>
      </c>
      <c r="B267" t="s">
        <v>5</v>
      </c>
      <c r="C267" t="s">
        <v>8</v>
      </c>
      <c r="D267" t="s">
        <v>35</v>
      </c>
      <c r="E267">
        <v>123808</v>
      </c>
      <c r="F267">
        <f>VLOOKUP(C267&amp;"|"&amp;B267,rate_tables!$A$3:$B$8,2,FALSE)</f>
        <v>90</v>
      </c>
      <c r="G267">
        <f>VLOOKUP(C267&amp;"|"&amp;B267,rate_tables!$A$12:$B$17,2,FALSE)</f>
        <v>37</v>
      </c>
      <c r="H267">
        <f>VLOOKUP(C267&amp;"|"&amp;D267,rate_tables!$A$21:$B$28,2,FALSE)</f>
        <v>8.0000000000000004E-4</v>
      </c>
      <c r="I267">
        <f>VLOOKUP(C267&amp;"|"&amp;D267,rate_tables!$A$32:$B$39,2,FALSE)</f>
        <v>1.6000000000000001E-3</v>
      </c>
      <c r="J267">
        <f t="shared" si="20"/>
        <v>90</v>
      </c>
      <c r="K267">
        <f t="shared" si="21"/>
        <v>37</v>
      </c>
      <c r="L267">
        <f t="shared" si="22"/>
        <v>8.2538666666666671</v>
      </c>
      <c r="M267">
        <f t="shared" si="23"/>
        <v>16.507733333333334</v>
      </c>
      <c r="N267">
        <f t="shared" si="24"/>
        <v>151.76160000000002</v>
      </c>
    </row>
    <row r="268" spans="1:14" x14ac:dyDescent="0.45">
      <c r="A268">
        <v>267</v>
      </c>
      <c r="B268" t="s">
        <v>5</v>
      </c>
      <c r="C268" t="s">
        <v>8</v>
      </c>
      <c r="D268" t="s">
        <v>36</v>
      </c>
      <c r="E268">
        <v>122989</v>
      </c>
      <c r="F268">
        <f>VLOOKUP(C268&amp;"|"&amp;B268,rate_tables!$A$3:$B$8,2,FALSE)</f>
        <v>90</v>
      </c>
      <c r="G268">
        <f>VLOOKUP(C268&amp;"|"&amp;B268,rate_tables!$A$12:$B$17,2,FALSE)</f>
        <v>37</v>
      </c>
      <c r="H268">
        <f>VLOOKUP(C268&amp;"|"&amp;D268,rate_tables!$A$21:$B$28,2,FALSE)</f>
        <v>1E-3</v>
      </c>
      <c r="I268">
        <f>VLOOKUP(C268&amp;"|"&amp;D268,rate_tables!$A$32:$B$39,2,FALSE)</f>
        <v>2E-3</v>
      </c>
      <c r="J268">
        <f t="shared" si="20"/>
        <v>90</v>
      </c>
      <c r="K268">
        <f t="shared" si="21"/>
        <v>37</v>
      </c>
      <c r="L268">
        <f t="shared" si="22"/>
        <v>10.249083333333333</v>
      </c>
      <c r="M268">
        <f t="shared" si="23"/>
        <v>20.498166666666666</v>
      </c>
      <c r="N268">
        <f t="shared" si="24"/>
        <v>157.74725000000001</v>
      </c>
    </row>
    <row r="269" spans="1:14" x14ac:dyDescent="0.45">
      <c r="A269">
        <v>268</v>
      </c>
      <c r="B269" t="s">
        <v>4</v>
      </c>
      <c r="C269" t="s">
        <v>8</v>
      </c>
      <c r="D269" t="s">
        <v>37</v>
      </c>
      <c r="E269">
        <v>86501</v>
      </c>
      <c r="F269">
        <f>VLOOKUP(C269&amp;"|"&amp;B269,rate_tables!$A$3:$B$8,2,FALSE)</f>
        <v>85</v>
      </c>
      <c r="G269">
        <f>VLOOKUP(C269&amp;"|"&amp;B269,rate_tables!$A$12:$B$17,2,FALSE)</f>
        <v>35</v>
      </c>
      <c r="H269">
        <f>VLOOKUP(C269&amp;"|"&amp;D269,rate_tables!$A$21:$B$28,2,FALSE)</f>
        <v>1.4E-3</v>
      </c>
      <c r="I269">
        <f>VLOOKUP(C269&amp;"|"&amp;D269,rate_tables!$A$32:$B$39,2,FALSE)</f>
        <v>3.0000000000000001E-3</v>
      </c>
      <c r="J269">
        <f t="shared" si="20"/>
        <v>85</v>
      </c>
      <c r="K269">
        <f t="shared" si="21"/>
        <v>35</v>
      </c>
      <c r="L269">
        <f t="shared" si="22"/>
        <v>10.091783333333334</v>
      </c>
      <c r="M269">
        <f t="shared" si="23"/>
        <v>21.625249999999998</v>
      </c>
      <c r="N269">
        <f t="shared" si="24"/>
        <v>151.71703333333332</v>
      </c>
    </row>
    <row r="270" spans="1:14" x14ac:dyDescent="0.45">
      <c r="A270">
        <v>269</v>
      </c>
      <c r="B270" t="s">
        <v>4</v>
      </c>
      <c r="C270" t="s">
        <v>8</v>
      </c>
      <c r="D270" t="s">
        <v>36</v>
      </c>
      <c r="E270">
        <v>103872</v>
      </c>
      <c r="F270">
        <f>VLOOKUP(C270&amp;"|"&amp;B270,rate_tables!$A$3:$B$8,2,FALSE)</f>
        <v>85</v>
      </c>
      <c r="G270">
        <f>VLOOKUP(C270&amp;"|"&amp;B270,rate_tables!$A$12:$B$17,2,FALSE)</f>
        <v>35</v>
      </c>
      <c r="H270">
        <f>VLOOKUP(C270&amp;"|"&amp;D270,rate_tables!$A$21:$B$28,2,FALSE)</f>
        <v>1E-3</v>
      </c>
      <c r="I270">
        <f>VLOOKUP(C270&amp;"|"&amp;D270,rate_tables!$A$32:$B$39,2,FALSE)</f>
        <v>2E-3</v>
      </c>
      <c r="J270">
        <f t="shared" si="20"/>
        <v>85</v>
      </c>
      <c r="K270">
        <f t="shared" si="21"/>
        <v>35</v>
      </c>
      <c r="L270">
        <f t="shared" si="22"/>
        <v>8.6560000000000006</v>
      </c>
      <c r="M270">
        <f t="shared" si="23"/>
        <v>17.312000000000001</v>
      </c>
      <c r="N270">
        <f t="shared" si="24"/>
        <v>145.96800000000002</v>
      </c>
    </row>
    <row r="271" spans="1:14" x14ac:dyDescent="0.45">
      <c r="A271">
        <v>270</v>
      </c>
      <c r="B271" t="s">
        <v>4</v>
      </c>
      <c r="C271" t="s">
        <v>8</v>
      </c>
      <c r="D271" t="s">
        <v>38</v>
      </c>
      <c r="E271">
        <v>86861</v>
      </c>
      <c r="F271">
        <f>VLOOKUP(C271&amp;"|"&amp;B271,rate_tables!$A$3:$B$8,2,FALSE)</f>
        <v>85</v>
      </c>
      <c r="G271">
        <f>VLOOKUP(C271&amp;"|"&amp;B271,rate_tables!$A$12:$B$17,2,FALSE)</f>
        <v>35</v>
      </c>
      <c r="H271">
        <f>VLOOKUP(C271&amp;"|"&amp;D271,rate_tables!$A$21:$B$28,2,FALSE)</f>
        <v>2E-3</v>
      </c>
      <c r="I271">
        <f>VLOOKUP(C271&amp;"|"&amp;D271,rate_tables!$A$32:$B$39,2,FALSE)</f>
        <v>4.4000000000000003E-3</v>
      </c>
      <c r="J271">
        <f t="shared" si="20"/>
        <v>85</v>
      </c>
      <c r="K271">
        <f t="shared" si="21"/>
        <v>35</v>
      </c>
      <c r="L271">
        <f t="shared" si="22"/>
        <v>14.476833333333333</v>
      </c>
      <c r="M271">
        <f t="shared" si="23"/>
        <v>31.849033333333335</v>
      </c>
      <c r="N271">
        <f t="shared" si="24"/>
        <v>166.32586666666666</v>
      </c>
    </row>
    <row r="272" spans="1:14" x14ac:dyDescent="0.45">
      <c r="A272">
        <v>271</v>
      </c>
      <c r="B272" t="s">
        <v>6</v>
      </c>
      <c r="C272" t="s">
        <v>8</v>
      </c>
      <c r="D272" t="s">
        <v>38</v>
      </c>
      <c r="E272">
        <v>115358</v>
      </c>
      <c r="F272">
        <f>VLOOKUP(C272&amp;"|"&amp;B272,rate_tables!$A$3:$B$8,2,FALSE)</f>
        <v>88</v>
      </c>
      <c r="G272">
        <f>VLOOKUP(C272&amp;"|"&amp;B272,rate_tables!$A$12:$B$17,2,FALSE)</f>
        <v>36</v>
      </c>
      <c r="H272">
        <f>VLOOKUP(C272&amp;"|"&amp;D272,rate_tables!$A$21:$B$28,2,FALSE)</f>
        <v>2E-3</v>
      </c>
      <c r="I272">
        <f>VLOOKUP(C272&amp;"|"&amp;D272,rate_tables!$A$32:$B$39,2,FALSE)</f>
        <v>4.4000000000000003E-3</v>
      </c>
      <c r="J272">
        <f t="shared" si="20"/>
        <v>88</v>
      </c>
      <c r="K272">
        <f t="shared" si="21"/>
        <v>36</v>
      </c>
      <c r="L272">
        <f t="shared" si="22"/>
        <v>19.226333333333333</v>
      </c>
      <c r="M272">
        <f t="shared" si="23"/>
        <v>42.29793333333334</v>
      </c>
      <c r="N272">
        <f t="shared" si="24"/>
        <v>185.52426666666668</v>
      </c>
    </row>
    <row r="273" spans="1:14" x14ac:dyDescent="0.45">
      <c r="A273">
        <v>272</v>
      </c>
      <c r="B273" t="s">
        <v>4</v>
      </c>
      <c r="C273" t="s">
        <v>8</v>
      </c>
      <c r="D273" t="s">
        <v>35</v>
      </c>
      <c r="E273">
        <v>88196</v>
      </c>
      <c r="F273">
        <f>VLOOKUP(C273&amp;"|"&amp;B273,rate_tables!$A$3:$B$8,2,FALSE)</f>
        <v>85</v>
      </c>
      <c r="G273">
        <f>VLOOKUP(C273&amp;"|"&amp;B273,rate_tables!$A$12:$B$17,2,FALSE)</f>
        <v>35</v>
      </c>
      <c r="H273">
        <f>VLOOKUP(C273&amp;"|"&amp;D273,rate_tables!$A$21:$B$28,2,FALSE)</f>
        <v>8.0000000000000004E-4</v>
      </c>
      <c r="I273">
        <f>VLOOKUP(C273&amp;"|"&amp;D273,rate_tables!$A$32:$B$39,2,FALSE)</f>
        <v>1.6000000000000001E-3</v>
      </c>
      <c r="J273">
        <f t="shared" si="20"/>
        <v>85</v>
      </c>
      <c r="K273">
        <f t="shared" si="21"/>
        <v>35</v>
      </c>
      <c r="L273">
        <f t="shared" si="22"/>
        <v>5.8797333333333341</v>
      </c>
      <c r="M273">
        <f t="shared" si="23"/>
        <v>11.759466666666668</v>
      </c>
      <c r="N273">
        <f t="shared" si="24"/>
        <v>137.63920000000002</v>
      </c>
    </row>
    <row r="274" spans="1:14" x14ac:dyDescent="0.45">
      <c r="A274">
        <v>273</v>
      </c>
      <c r="B274" t="s">
        <v>6</v>
      </c>
      <c r="C274" t="s">
        <v>9</v>
      </c>
      <c r="D274" t="s">
        <v>35</v>
      </c>
      <c r="E274">
        <v>50739</v>
      </c>
      <c r="F274">
        <f>VLOOKUP(C274&amp;"|"&amp;B274,rate_tables!$A$3:$B$8,2,FALSE)</f>
        <v>98</v>
      </c>
      <c r="G274">
        <f>VLOOKUP(C274&amp;"|"&amp;B274,rate_tables!$A$12:$B$17,2,FALSE)</f>
        <v>41</v>
      </c>
      <c r="H274">
        <f>VLOOKUP(C274&amp;"|"&amp;D274,rate_tables!$A$21:$B$28,2,FALSE)</f>
        <v>1E-3</v>
      </c>
      <c r="I274">
        <f>VLOOKUP(C274&amp;"|"&amp;D274,rate_tables!$A$32:$B$39,2,FALSE)</f>
        <v>2E-3</v>
      </c>
      <c r="J274">
        <f t="shared" si="20"/>
        <v>98</v>
      </c>
      <c r="K274">
        <f t="shared" si="21"/>
        <v>41</v>
      </c>
      <c r="L274">
        <f t="shared" si="22"/>
        <v>4.2282500000000001</v>
      </c>
      <c r="M274">
        <f t="shared" si="23"/>
        <v>8.4565000000000001</v>
      </c>
      <c r="N274">
        <f t="shared" si="24"/>
        <v>151.68475000000001</v>
      </c>
    </row>
    <row r="275" spans="1:14" x14ac:dyDescent="0.45">
      <c r="A275">
        <v>274</v>
      </c>
      <c r="B275" t="s">
        <v>5</v>
      </c>
      <c r="C275" t="s">
        <v>8</v>
      </c>
      <c r="D275" t="s">
        <v>36</v>
      </c>
      <c r="E275">
        <v>121764</v>
      </c>
      <c r="F275">
        <f>VLOOKUP(C275&amp;"|"&amp;B275,rate_tables!$A$3:$B$8,2,FALSE)</f>
        <v>90</v>
      </c>
      <c r="G275">
        <f>VLOOKUP(C275&amp;"|"&amp;B275,rate_tables!$A$12:$B$17,2,FALSE)</f>
        <v>37</v>
      </c>
      <c r="H275">
        <f>VLOOKUP(C275&amp;"|"&amp;D275,rate_tables!$A$21:$B$28,2,FALSE)</f>
        <v>1E-3</v>
      </c>
      <c r="I275">
        <f>VLOOKUP(C275&amp;"|"&amp;D275,rate_tables!$A$32:$B$39,2,FALSE)</f>
        <v>2E-3</v>
      </c>
      <c r="J275">
        <f t="shared" si="20"/>
        <v>90</v>
      </c>
      <c r="K275">
        <f t="shared" si="21"/>
        <v>37</v>
      </c>
      <c r="L275">
        <f t="shared" si="22"/>
        <v>10.147</v>
      </c>
      <c r="M275">
        <f t="shared" si="23"/>
        <v>20.294</v>
      </c>
      <c r="N275">
        <f t="shared" si="24"/>
        <v>157.441</v>
      </c>
    </row>
    <row r="276" spans="1:14" x14ac:dyDescent="0.45">
      <c r="A276">
        <v>275</v>
      </c>
      <c r="B276" t="s">
        <v>4</v>
      </c>
      <c r="C276" t="s">
        <v>8</v>
      </c>
      <c r="D276" t="s">
        <v>37</v>
      </c>
      <c r="E276">
        <v>56044</v>
      </c>
      <c r="F276">
        <f>VLOOKUP(C276&amp;"|"&amp;B276,rate_tables!$A$3:$B$8,2,FALSE)</f>
        <v>85</v>
      </c>
      <c r="G276">
        <f>VLOOKUP(C276&amp;"|"&amp;B276,rate_tables!$A$12:$B$17,2,FALSE)</f>
        <v>35</v>
      </c>
      <c r="H276">
        <f>VLOOKUP(C276&amp;"|"&amp;D276,rate_tables!$A$21:$B$28,2,FALSE)</f>
        <v>1.4E-3</v>
      </c>
      <c r="I276">
        <f>VLOOKUP(C276&amp;"|"&amp;D276,rate_tables!$A$32:$B$39,2,FALSE)</f>
        <v>3.0000000000000001E-3</v>
      </c>
      <c r="J276">
        <f t="shared" si="20"/>
        <v>85</v>
      </c>
      <c r="K276">
        <f t="shared" si="21"/>
        <v>35</v>
      </c>
      <c r="L276">
        <f t="shared" si="22"/>
        <v>6.5384666666666673</v>
      </c>
      <c r="M276">
        <f t="shared" si="23"/>
        <v>14.011000000000001</v>
      </c>
      <c r="N276">
        <f t="shared" si="24"/>
        <v>140.54946666666666</v>
      </c>
    </row>
    <row r="277" spans="1:14" x14ac:dyDescent="0.45">
      <c r="A277">
        <v>276</v>
      </c>
      <c r="B277" t="s">
        <v>6</v>
      </c>
      <c r="C277" t="s">
        <v>9</v>
      </c>
      <c r="D277" t="s">
        <v>38</v>
      </c>
      <c r="E277">
        <v>70938</v>
      </c>
      <c r="F277">
        <f>VLOOKUP(C277&amp;"|"&amp;B277,rate_tables!$A$3:$B$8,2,FALSE)</f>
        <v>98</v>
      </c>
      <c r="G277">
        <f>VLOOKUP(C277&amp;"|"&amp;B277,rate_tables!$A$12:$B$17,2,FALSE)</f>
        <v>41</v>
      </c>
      <c r="H277">
        <f>VLOOKUP(C277&amp;"|"&amp;D277,rate_tables!$A$21:$B$28,2,FALSE)</f>
        <v>2.5999999999999999E-3</v>
      </c>
      <c r="I277">
        <f>VLOOKUP(C277&amp;"|"&amp;D277,rate_tables!$A$32:$B$39,2,FALSE)</f>
        <v>5.5999999999999999E-3</v>
      </c>
      <c r="J277">
        <f t="shared" si="20"/>
        <v>98</v>
      </c>
      <c r="K277">
        <f t="shared" si="21"/>
        <v>41</v>
      </c>
      <c r="L277">
        <f t="shared" si="22"/>
        <v>15.369899999999999</v>
      </c>
      <c r="M277">
        <f t="shared" si="23"/>
        <v>33.104399999999998</v>
      </c>
      <c r="N277">
        <f t="shared" si="24"/>
        <v>187.4743</v>
      </c>
    </row>
    <row r="278" spans="1:14" x14ac:dyDescent="0.45">
      <c r="A278">
        <v>277</v>
      </c>
      <c r="B278" t="s">
        <v>4</v>
      </c>
      <c r="C278" t="s">
        <v>8</v>
      </c>
      <c r="D278" t="s">
        <v>36</v>
      </c>
      <c r="E278">
        <v>112226</v>
      </c>
      <c r="F278">
        <f>VLOOKUP(C278&amp;"|"&amp;B278,rate_tables!$A$3:$B$8,2,FALSE)</f>
        <v>85</v>
      </c>
      <c r="G278">
        <f>VLOOKUP(C278&amp;"|"&amp;B278,rate_tables!$A$12:$B$17,2,FALSE)</f>
        <v>35</v>
      </c>
      <c r="H278">
        <f>VLOOKUP(C278&amp;"|"&amp;D278,rate_tables!$A$21:$B$28,2,FALSE)</f>
        <v>1E-3</v>
      </c>
      <c r="I278">
        <f>VLOOKUP(C278&amp;"|"&amp;D278,rate_tables!$A$32:$B$39,2,FALSE)</f>
        <v>2E-3</v>
      </c>
      <c r="J278">
        <f t="shared" si="20"/>
        <v>85</v>
      </c>
      <c r="K278">
        <f t="shared" si="21"/>
        <v>35</v>
      </c>
      <c r="L278">
        <f t="shared" si="22"/>
        <v>9.3521666666666672</v>
      </c>
      <c r="M278">
        <f t="shared" si="23"/>
        <v>18.704333333333334</v>
      </c>
      <c r="N278">
        <f t="shared" si="24"/>
        <v>148.0565</v>
      </c>
    </row>
    <row r="279" spans="1:14" x14ac:dyDescent="0.45">
      <c r="A279">
        <v>278</v>
      </c>
      <c r="B279" t="s">
        <v>4</v>
      </c>
      <c r="C279" t="s">
        <v>8</v>
      </c>
      <c r="D279" t="s">
        <v>37</v>
      </c>
      <c r="E279">
        <v>84546</v>
      </c>
      <c r="F279">
        <f>VLOOKUP(C279&amp;"|"&amp;B279,rate_tables!$A$3:$B$8,2,FALSE)</f>
        <v>85</v>
      </c>
      <c r="G279">
        <f>VLOOKUP(C279&amp;"|"&amp;B279,rate_tables!$A$12:$B$17,2,FALSE)</f>
        <v>35</v>
      </c>
      <c r="H279">
        <f>VLOOKUP(C279&amp;"|"&amp;D279,rate_tables!$A$21:$B$28,2,FALSE)</f>
        <v>1.4E-3</v>
      </c>
      <c r="I279">
        <f>VLOOKUP(C279&amp;"|"&amp;D279,rate_tables!$A$32:$B$39,2,FALSE)</f>
        <v>3.0000000000000001E-3</v>
      </c>
      <c r="J279">
        <f t="shared" si="20"/>
        <v>85</v>
      </c>
      <c r="K279">
        <f t="shared" si="21"/>
        <v>35</v>
      </c>
      <c r="L279">
        <f t="shared" si="22"/>
        <v>9.8636999999999997</v>
      </c>
      <c r="M279">
        <f t="shared" si="23"/>
        <v>21.136500000000002</v>
      </c>
      <c r="N279">
        <f t="shared" si="24"/>
        <v>151.00020000000001</v>
      </c>
    </row>
    <row r="280" spans="1:14" x14ac:dyDescent="0.45">
      <c r="A280">
        <v>279</v>
      </c>
      <c r="B280" t="s">
        <v>5</v>
      </c>
      <c r="C280" t="s">
        <v>8</v>
      </c>
      <c r="D280" t="s">
        <v>36</v>
      </c>
      <c r="E280">
        <v>90323</v>
      </c>
      <c r="F280">
        <f>VLOOKUP(C280&amp;"|"&amp;B280,rate_tables!$A$3:$B$8,2,FALSE)</f>
        <v>90</v>
      </c>
      <c r="G280">
        <f>VLOOKUP(C280&amp;"|"&amp;B280,rate_tables!$A$12:$B$17,2,FALSE)</f>
        <v>37</v>
      </c>
      <c r="H280">
        <f>VLOOKUP(C280&amp;"|"&amp;D280,rate_tables!$A$21:$B$28,2,FALSE)</f>
        <v>1E-3</v>
      </c>
      <c r="I280">
        <f>VLOOKUP(C280&amp;"|"&amp;D280,rate_tables!$A$32:$B$39,2,FALSE)</f>
        <v>2E-3</v>
      </c>
      <c r="J280">
        <f t="shared" si="20"/>
        <v>90</v>
      </c>
      <c r="K280">
        <f t="shared" si="21"/>
        <v>37</v>
      </c>
      <c r="L280">
        <f t="shared" si="22"/>
        <v>7.5269166666666676</v>
      </c>
      <c r="M280">
        <f t="shared" si="23"/>
        <v>15.053833333333335</v>
      </c>
      <c r="N280">
        <f t="shared" si="24"/>
        <v>149.58074999999999</v>
      </c>
    </row>
    <row r="281" spans="1:14" x14ac:dyDescent="0.45">
      <c r="A281">
        <v>280</v>
      </c>
      <c r="B281" t="s">
        <v>4</v>
      </c>
      <c r="C281" t="s">
        <v>9</v>
      </c>
      <c r="D281" t="s">
        <v>37</v>
      </c>
      <c r="E281">
        <v>77557</v>
      </c>
      <c r="F281">
        <f>VLOOKUP(C281&amp;"|"&amp;B281,rate_tables!$A$3:$B$8,2,FALSE)</f>
        <v>95</v>
      </c>
      <c r="G281">
        <f>VLOOKUP(C281&amp;"|"&amp;B281,rate_tables!$A$12:$B$17,2,FALSE)</f>
        <v>40</v>
      </c>
      <c r="H281">
        <f>VLOOKUP(C281&amp;"|"&amp;D281,rate_tables!$A$21:$B$28,2,FALSE)</f>
        <v>1.8E-3</v>
      </c>
      <c r="I281">
        <f>VLOOKUP(C281&amp;"|"&amp;D281,rate_tables!$A$32:$B$39,2,FALSE)</f>
        <v>3.8E-3</v>
      </c>
      <c r="J281">
        <f t="shared" si="20"/>
        <v>95</v>
      </c>
      <c r="K281">
        <f t="shared" si="21"/>
        <v>40</v>
      </c>
      <c r="L281">
        <f t="shared" si="22"/>
        <v>11.63355</v>
      </c>
      <c r="M281">
        <f t="shared" si="23"/>
        <v>24.559716666666663</v>
      </c>
      <c r="N281">
        <f t="shared" si="24"/>
        <v>171.19326666666669</v>
      </c>
    </row>
    <row r="282" spans="1:14" x14ac:dyDescent="0.45">
      <c r="A282">
        <v>281</v>
      </c>
      <c r="B282" t="s">
        <v>4</v>
      </c>
      <c r="C282" t="s">
        <v>9</v>
      </c>
      <c r="D282" t="s">
        <v>35</v>
      </c>
      <c r="E282">
        <v>49268</v>
      </c>
      <c r="F282">
        <f>VLOOKUP(C282&amp;"|"&amp;B282,rate_tables!$A$3:$B$8,2,FALSE)</f>
        <v>95</v>
      </c>
      <c r="G282">
        <f>VLOOKUP(C282&amp;"|"&amp;B282,rate_tables!$A$12:$B$17,2,FALSE)</f>
        <v>40</v>
      </c>
      <c r="H282">
        <f>VLOOKUP(C282&amp;"|"&amp;D282,rate_tables!$A$21:$B$28,2,FALSE)</f>
        <v>1E-3</v>
      </c>
      <c r="I282">
        <f>VLOOKUP(C282&amp;"|"&amp;D282,rate_tables!$A$32:$B$39,2,FALSE)</f>
        <v>2E-3</v>
      </c>
      <c r="J282">
        <f t="shared" si="20"/>
        <v>95</v>
      </c>
      <c r="K282">
        <f t="shared" si="21"/>
        <v>40</v>
      </c>
      <c r="L282">
        <f t="shared" si="22"/>
        <v>4.105666666666667</v>
      </c>
      <c r="M282">
        <f t="shared" si="23"/>
        <v>8.211333333333334</v>
      </c>
      <c r="N282">
        <f t="shared" si="24"/>
        <v>147.31700000000001</v>
      </c>
    </row>
    <row r="283" spans="1:14" x14ac:dyDescent="0.45">
      <c r="A283">
        <v>282</v>
      </c>
      <c r="B283" t="s">
        <v>4</v>
      </c>
      <c r="C283" t="s">
        <v>9</v>
      </c>
      <c r="D283" t="s">
        <v>36</v>
      </c>
      <c r="E283">
        <v>50556</v>
      </c>
      <c r="F283">
        <f>VLOOKUP(C283&amp;"|"&amp;B283,rate_tables!$A$3:$B$8,2,FALSE)</f>
        <v>95</v>
      </c>
      <c r="G283">
        <f>VLOOKUP(C283&amp;"|"&amp;B283,rate_tables!$A$12:$B$17,2,FALSE)</f>
        <v>40</v>
      </c>
      <c r="H283">
        <f>VLOOKUP(C283&amp;"|"&amp;D283,rate_tables!$A$21:$B$28,2,FALSE)</f>
        <v>1.2999999999999999E-3</v>
      </c>
      <c r="I283">
        <f>VLOOKUP(C283&amp;"|"&amp;D283,rate_tables!$A$32:$B$39,2,FALSE)</f>
        <v>2.5999999999999999E-3</v>
      </c>
      <c r="J283">
        <f t="shared" si="20"/>
        <v>95</v>
      </c>
      <c r="K283">
        <f t="shared" si="21"/>
        <v>40</v>
      </c>
      <c r="L283">
        <f t="shared" si="22"/>
        <v>5.4768999999999997</v>
      </c>
      <c r="M283">
        <f t="shared" si="23"/>
        <v>10.953799999999999</v>
      </c>
      <c r="N283">
        <f t="shared" si="24"/>
        <v>151.4307</v>
      </c>
    </row>
    <row r="284" spans="1:14" x14ac:dyDescent="0.45">
      <c r="A284">
        <v>283</v>
      </c>
      <c r="B284" t="s">
        <v>4</v>
      </c>
      <c r="C284" t="s">
        <v>8</v>
      </c>
      <c r="D284" t="s">
        <v>38</v>
      </c>
      <c r="E284">
        <v>114370</v>
      </c>
      <c r="F284">
        <f>VLOOKUP(C284&amp;"|"&amp;B284,rate_tables!$A$3:$B$8,2,FALSE)</f>
        <v>85</v>
      </c>
      <c r="G284">
        <f>VLOOKUP(C284&amp;"|"&amp;B284,rate_tables!$A$12:$B$17,2,FALSE)</f>
        <v>35</v>
      </c>
      <c r="H284">
        <f>VLOOKUP(C284&amp;"|"&amp;D284,rate_tables!$A$21:$B$28,2,FALSE)</f>
        <v>2E-3</v>
      </c>
      <c r="I284">
        <f>VLOOKUP(C284&amp;"|"&amp;D284,rate_tables!$A$32:$B$39,2,FALSE)</f>
        <v>4.4000000000000003E-3</v>
      </c>
      <c r="J284">
        <f t="shared" si="20"/>
        <v>85</v>
      </c>
      <c r="K284">
        <f t="shared" si="21"/>
        <v>35</v>
      </c>
      <c r="L284">
        <f t="shared" si="22"/>
        <v>19.061666666666667</v>
      </c>
      <c r="M284">
        <f t="shared" si="23"/>
        <v>41.93566666666667</v>
      </c>
      <c r="N284">
        <f t="shared" si="24"/>
        <v>180.99733333333333</v>
      </c>
    </row>
    <row r="285" spans="1:14" x14ac:dyDescent="0.45">
      <c r="A285">
        <v>284</v>
      </c>
      <c r="B285" t="s">
        <v>5</v>
      </c>
      <c r="C285" t="s">
        <v>9</v>
      </c>
      <c r="D285" t="s">
        <v>35</v>
      </c>
      <c r="E285">
        <v>66843</v>
      </c>
      <c r="F285">
        <f>VLOOKUP(C285&amp;"|"&amp;B285,rate_tables!$A$3:$B$8,2,FALSE)</f>
        <v>100</v>
      </c>
      <c r="G285">
        <f>VLOOKUP(C285&amp;"|"&amp;B285,rate_tables!$A$12:$B$17,2,FALSE)</f>
        <v>42</v>
      </c>
      <c r="H285">
        <f>VLOOKUP(C285&amp;"|"&amp;D285,rate_tables!$A$21:$B$28,2,FALSE)</f>
        <v>1E-3</v>
      </c>
      <c r="I285">
        <f>VLOOKUP(C285&amp;"|"&amp;D285,rate_tables!$A$32:$B$39,2,FALSE)</f>
        <v>2E-3</v>
      </c>
      <c r="J285">
        <f t="shared" si="20"/>
        <v>100</v>
      </c>
      <c r="K285">
        <f t="shared" si="21"/>
        <v>42</v>
      </c>
      <c r="L285">
        <f t="shared" si="22"/>
        <v>5.5702500000000006</v>
      </c>
      <c r="M285">
        <f t="shared" si="23"/>
        <v>11.140500000000001</v>
      </c>
      <c r="N285">
        <f t="shared" si="24"/>
        <v>158.71074999999999</v>
      </c>
    </row>
    <row r="286" spans="1:14" x14ac:dyDescent="0.45">
      <c r="A286">
        <v>285</v>
      </c>
      <c r="B286" t="s">
        <v>4</v>
      </c>
      <c r="C286" t="s">
        <v>8</v>
      </c>
      <c r="D286" t="s">
        <v>35</v>
      </c>
      <c r="E286">
        <v>54749</v>
      </c>
      <c r="F286">
        <f>VLOOKUP(C286&amp;"|"&amp;B286,rate_tables!$A$3:$B$8,2,FALSE)</f>
        <v>85</v>
      </c>
      <c r="G286">
        <f>VLOOKUP(C286&amp;"|"&amp;B286,rate_tables!$A$12:$B$17,2,FALSE)</f>
        <v>35</v>
      </c>
      <c r="H286">
        <f>VLOOKUP(C286&amp;"|"&amp;D286,rate_tables!$A$21:$B$28,2,FALSE)</f>
        <v>8.0000000000000004E-4</v>
      </c>
      <c r="I286">
        <f>VLOOKUP(C286&amp;"|"&amp;D286,rate_tables!$A$32:$B$39,2,FALSE)</f>
        <v>1.6000000000000001E-3</v>
      </c>
      <c r="J286">
        <f t="shared" si="20"/>
        <v>85</v>
      </c>
      <c r="K286">
        <f t="shared" si="21"/>
        <v>35</v>
      </c>
      <c r="L286">
        <f t="shared" si="22"/>
        <v>3.6499333333333333</v>
      </c>
      <c r="M286">
        <f t="shared" si="23"/>
        <v>7.2998666666666665</v>
      </c>
      <c r="N286">
        <f t="shared" si="24"/>
        <v>130.94980000000001</v>
      </c>
    </row>
    <row r="287" spans="1:14" x14ac:dyDescent="0.45">
      <c r="A287">
        <v>286</v>
      </c>
      <c r="B287" t="s">
        <v>4</v>
      </c>
      <c r="C287" t="s">
        <v>8</v>
      </c>
      <c r="D287" t="s">
        <v>36</v>
      </c>
      <c r="E287">
        <v>66420</v>
      </c>
      <c r="F287">
        <f>VLOOKUP(C287&amp;"|"&amp;B287,rate_tables!$A$3:$B$8,2,FALSE)</f>
        <v>85</v>
      </c>
      <c r="G287">
        <f>VLOOKUP(C287&amp;"|"&amp;B287,rate_tables!$A$12:$B$17,2,FALSE)</f>
        <v>35</v>
      </c>
      <c r="H287">
        <f>VLOOKUP(C287&amp;"|"&amp;D287,rate_tables!$A$21:$B$28,2,FALSE)</f>
        <v>1E-3</v>
      </c>
      <c r="I287">
        <f>VLOOKUP(C287&amp;"|"&amp;D287,rate_tables!$A$32:$B$39,2,FALSE)</f>
        <v>2E-3</v>
      </c>
      <c r="J287">
        <f t="shared" si="20"/>
        <v>85</v>
      </c>
      <c r="K287">
        <f t="shared" si="21"/>
        <v>35</v>
      </c>
      <c r="L287">
        <f t="shared" si="22"/>
        <v>5.5350000000000001</v>
      </c>
      <c r="M287">
        <f t="shared" si="23"/>
        <v>11.07</v>
      </c>
      <c r="N287">
        <f t="shared" si="24"/>
        <v>136.60499999999999</v>
      </c>
    </row>
    <row r="288" spans="1:14" x14ac:dyDescent="0.45">
      <c r="A288">
        <v>287</v>
      </c>
      <c r="B288" t="s">
        <v>6</v>
      </c>
      <c r="C288" t="s">
        <v>9</v>
      </c>
      <c r="D288" t="s">
        <v>36</v>
      </c>
      <c r="E288">
        <v>59181</v>
      </c>
      <c r="F288">
        <f>VLOOKUP(C288&amp;"|"&amp;B288,rate_tables!$A$3:$B$8,2,FALSE)</f>
        <v>98</v>
      </c>
      <c r="G288">
        <f>VLOOKUP(C288&amp;"|"&amp;B288,rate_tables!$A$12:$B$17,2,FALSE)</f>
        <v>41</v>
      </c>
      <c r="H288">
        <f>VLOOKUP(C288&amp;"|"&amp;D288,rate_tables!$A$21:$B$28,2,FALSE)</f>
        <v>1.2999999999999999E-3</v>
      </c>
      <c r="I288">
        <f>VLOOKUP(C288&amp;"|"&amp;D288,rate_tables!$A$32:$B$39,2,FALSE)</f>
        <v>2.5999999999999999E-3</v>
      </c>
      <c r="J288">
        <f t="shared" si="20"/>
        <v>98</v>
      </c>
      <c r="K288">
        <f t="shared" si="21"/>
        <v>41</v>
      </c>
      <c r="L288">
        <f t="shared" si="22"/>
        <v>6.4112749999999998</v>
      </c>
      <c r="M288">
        <f t="shared" si="23"/>
        <v>12.82255</v>
      </c>
      <c r="N288">
        <f t="shared" si="24"/>
        <v>158.233825</v>
      </c>
    </row>
    <row r="289" spans="1:14" x14ac:dyDescent="0.45">
      <c r="A289">
        <v>288</v>
      </c>
      <c r="B289" t="s">
        <v>6</v>
      </c>
      <c r="C289" t="s">
        <v>9</v>
      </c>
      <c r="D289" t="s">
        <v>35</v>
      </c>
      <c r="E289">
        <v>72168</v>
      </c>
      <c r="F289">
        <f>VLOOKUP(C289&amp;"|"&amp;B289,rate_tables!$A$3:$B$8,2,FALSE)</f>
        <v>98</v>
      </c>
      <c r="G289">
        <f>VLOOKUP(C289&amp;"|"&amp;B289,rate_tables!$A$12:$B$17,2,FALSE)</f>
        <v>41</v>
      </c>
      <c r="H289">
        <f>VLOOKUP(C289&amp;"|"&amp;D289,rate_tables!$A$21:$B$28,2,FALSE)</f>
        <v>1E-3</v>
      </c>
      <c r="I289">
        <f>VLOOKUP(C289&amp;"|"&amp;D289,rate_tables!$A$32:$B$39,2,FALSE)</f>
        <v>2E-3</v>
      </c>
      <c r="J289">
        <f t="shared" si="20"/>
        <v>98</v>
      </c>
      <c r="K289">
        <f t="shared" si="21"/>
        <v>41</v>
      </c>
      <c r="L289">
        <f t="shared" si="22"/>
        <v>6.0140000000000002</v>
      </c>
      <c r="M289">
        <f t="shared" si="23"/>
        <v>12.028</v>
      </c>
      <c r="N289">
        <f t="shared" si="24"/>
        <v>157.042</v>
      </c>
    </row>
    <row r="290" spans="1:14" x14ac:dyDescent="0.45">
      <c r="A290">
        <v>289</v>
      </c>
      <c r="B290" t="s">
        <v>6</v>
      </c>
      <c r="C290" t="s">
        <v>8</v>
      </c>
      <c r="D290" t="s">
        <v>35</v>
      </c>
      <c r="E290">
        <v>119230</v>
      </c>
      <c r="F290">
        <f>VLOOKUP(C290&amp;"|"&amp;B290,rate_tables!$A$3:$B$8,2,FALSE)</f>
        <v>88</v>
      </c>
      <c r="G290">
        <f>VLOOKUP(C290&amp;"|"&amp;B290,rate_tables!$A$12:$B$17,2,FALSE)</f>
        <v>36</v>
      </c>
      <c r="H290">
        <f>VLOOKUP(C290&amp;"|"&amp;D290,rate_tables!$A$21:$B$28,2,FALSE)</f>
        <v>8.0000000000000004E-4</v>
      </c>
      <c r="I290">
        <f>VLOOKUP(C290&amp;"|"&amp;D290,rate_tables!$A$32:$B$39,2,FALSE)</f>
        <v>1.6000000000000001E-3</v>
      </c>
      <c r="J290">
        <f t="shared" si="20"/>
        <v>88</v>
      </c>
      <c r="K290">
        <f t="shared" si="21"/>
        <v>36</v>
      </c>
      <c r="L290">
        <f t="shared" si="22"/>
        <v>7.948666666666667</v>
      </c>
      <c r="M290">
        <f t="shared" si="23"/>
        <v>15.897333333333334</v>
      </c>
      <c r="N290">
        <f t="shared" si="24"/>
        <v>147.846</v>
      </c>
    </row>
    <row r="291" spans="1:14" x14ac:dyDescent="0.45">
      <c r="A291">
        <v>290</v>
      </c>
      <c r="B291" t="s">
        <v>6</v>
      </c>
      <c r="C291" t="s">
        <v>9</v>
      </c>
      <c r="D291" t="s">
        <v>35</v>
      </c>
      <c r="E291">
        <v>68055</v>
      </c>
      <c r="F291">
        <f>VLOOKUP(C291&amp;"|"&amp;B291,rate_tables!$A$3:$B$8,2,FALSE)</f>
        <v>98</v>
      </c>
      <c r="G291">
        <f>VLOOKUP(C291&amp;"|"&amp;B291,rate_tables!$A$12:$B$17,2,FALSE)</f>
        <v>41</v>
      </c>
      <c r="H291">
        <f>VLOOKUP(C291&amp;"|"&amp;D291,rate_tables!$A$21:$B$28,2,FALSE)</f>
        <v>1E-3</v>
      </c>
      <c r="I291">
        <f>VLOOKUP(C291&amp;"|"&amp;D291,rate_tables!$A$32:$B$39,2,FALSE)</f>
        <v>2E-3</v>
      </c>
      <c r="J291">
        <f t="shared" si="20"/>
        <v>98</v>
      </c>
      <c r="K291">
        <f t="shared" si="21"/>
        <v>41</v>
      </c>
      <c r="L291">
        <f t="shared" si="22"/>
        <v>5.6712500000000006</v>
      </c>
      <c r="M291">
        <f t="shared" si="23"/>
        <v>11.342500000000001</v>
      </c>
      <c r="N291">
        <f t="shared" si="24"/>
        <v>156.01374999999999</v>
      </c>
    </row>
    <row r="292" spans="1:14" x14ac:dyDescent="0.45">
      <c r="A292">
        <v>291</v>
      </c>
      <c r="B292" t="s">
        <v>6</v>
      </c>
      <c r="C292" t="s">
        <v>9</v>
      </c>
      <c r="D292" t="s">
        <v>35</v>
      </c>
      <c r="E292">
        <v>78196</v>
      </c>
      <c r="F292">
        <f>VLOOKUP(C292&amp;"|"&amp;B292,rate_tables!$A$3:$B$8,2,FALSE)</f>
        <v>98</v>
      </c>
      <c r="G292">
        <f>VLOOKUP(C292&amp;"|"&amp;B292,rate_tables!$A$12:$B$17,2,FALSE)</f>
        <v>41</v>
      </c>
      <c r="H292">
        <f>VLOOKUP(C292&amp;"|"&amp;D292,rate_tables!$A$21:$B$28,2,FALSE)</f>
        <v>1E-3</v>
      </c>
      <c r="I292">
        <f>VLOOKUP(C292&amp;"|"&amp;D292,rate_tables!$A$32:$B$39,2,FALSE)</f>
        <v>2E-3</v>
      </c>
      <c r="J292">
        <f t="shared" si="20"/>
        <v>98</v>
      </c>
      <c r="K292">
        <f t="shared" si="21"/>
        <v>41</v>
      </c>
      <c r="L292">
        <f t="shared" si="22"/>
        <v>6.5163333333333329</v>
      </c>
      <c r="M292">
        <f t="shared" si="23"/>
        <v>13.032666666666666</v>
      </c>
      <c r="N292">
        <f t="shared" si="24"/>
        <v>158.54900000000001</v>
      </c>
    </row>
    <row r="293" spans="1:14" x14ac:dyDescent="0.45">
      <c r="A293">
        <v>292</v>
      </c>
      <c r="B293" t="s">
        <v>6</v>
      </c>
      <c r="C293" t="s">
        <v>8</v>
      </c>
      <c r="D293" t="s">
        <v>37</v>
      </c>
      <c r="E293">
        <v>112912</v>
      </c>
      <c r="F293">
        <f>VLOOKUP(C293&amp;"|"&amp;B293,rate_tables!$A$3:$B$8,2,FALSE)</f>
        <v>88</v>
      </c>
      <c r="G293">
        <f>VLOOKUP(C293&amp;"|"&amp;B293,rate_tables!$A$12:$B$17,2,FALSE)</f>
        <v>36</v>
      </c>
      <c r="H293">
        <f>VLOOKUP(C293&amp;"|"&amp;D293,rate_tables!$A$21:$B$28,2,FALSE)</f>
        <v>1.4E-3</v>
      </c>
      <c r="I293">
        <f>VLOOKUP(C293&amp;"|"&amp;D293,rate_tables!$A$32:$B$39,2,FALSE)</f>
        <v>3.0000000000000001E-3</v>
      </c>
      <c r="J293">
        <f t="shared" si="20"/>
        <v>88</v>
      </c>
      <c r="K293">
        <f t="shared" si="21"/>
        <v>36</v>
      </c>
      <c r="L293">
        <f t="shared" si="22"/>
        <v>13.173066666666665</v>
      </c>
      <c r="M293">
        <f t="shared" si="23"/>
        <v>28.227999999999998</v>
      </c>
      <c r="N293">
        <f t="shared" si="24"/>
        <v>165.40106666666668</v>
      </c>
    </row>
    <row r="294" spans="1:14" x14ac:dyDescent="0.45">
      <c r="A294">
        <v>293</v>
      </c>
      <c r="B294" t="s">
        <v>6</v>
      </c>
      <c r="C294" t="s">
        <v>8</v>
      </c>
      <c r="D294" t="s">
        <v>35</v>
      </c>
      <c r="E294">
        <v>106055</v>
      </c>
      <c r="F294">
        <f>VLOOKUP(C294&amp;"|"&amp;B294,rate_tables!$A$3:$B$8,2,FALSE)</f>
        <v>88</v>
      </c>
      <c r="G294">
        <f>VLOOKUP(C294&amp;"|"&amp;B294,rate_tables!$A$12:$B$17,2,FALSE)</f>
        <v>36</v>
      </c>
      <c r="H294">
        <f>VLOOKUP(C294&amp;"|"&amp;D294,rate_tables!$A$21:$B$28,2,FALSE)</f>
        <v>8.0000000000000004E-4</v>
      </c>
      <c r="I294">
        <f>VLOOKUP(C294&amp;"|"&amp;D294,rate_tables!$A$32:$B$39,2,FALSE)</f>
        <v>1.6000000000000001E-3</v>
      </c>
      <c r="J294">
        <f t="shared" si="20"/>
        <v>88</v>
      </c>
      <c r="K294">
        <f t="shared" si="21"/>
        <v>36</v>
      </c>
      <c r="L294">
        <f t="shared" si="22"/>
        <v>7.070333333333334</v>
      </c>
      <c r="M294">
        <f t="shared" si="23"/>
        <v>14.140666666666668</v>
      </c>
      <c r="N294">
        <f t="shared" si="24"/>
        <v>145.21100000000001</v>
      </c>
    </row>
    <row r="295" spans="1:14" x14ac:dyDescent="0.45">
      <c r="A295">
        <v>294</v>
      </c>
      <c r="B295" t="s">
        <v>4</v>
      </c>
      <c r="C295" t="s">
        <v>9</v>
      </c>
      <c r="D295" t="s">
        <v>36</v>
      </c>
      <c r="E295">
        <v>68562</v>
      </c>
      <c r="F295">
        <f>VLOOKUP(C295&amp;"|"&amp;B295,rate_tables!$A$3:$B$8,2,FALSE)</f>
        <v>95</v>
      </c>
      <c r="G295">
        <f>VLOOKUP(C295&amp;"|"&amp;B295,rate_tables!$A$12:$B$17,2,FALSE)</f>
        <v>40</v>
      </c>
      <c r="H295">
        <f>VLOOKUP(C295&amp;"|"&amp;D295,rate_tables!$A$21:$B$28,2,FALSE)</f>
        <v>1.2999999999999999E-3</v>
      </c>
      <c r="I295">
        <f>VLOOKUP(C295&amp;"|"&amp;D295,rate_tables!$A$32:$B$39,2,FALSE)</f>
        <v>2.5999999999999999E-3</v>
      </c>
      <c r="J295">
        <f t="shared" si="20"/>
        <v>95</v>
      </c>
      <c r="K295">
        <f t="shared" si="21"/>
        <v>40</v>
      </c>
      <c r="L295">
        <f t="shared" si="22"/>
        <v>7.4275500000000001</v>
      </c>
      <c r="M295">
        <f t="shared" si="23"/>
        <v>14.8551</v>
      </c>
      <c r="N295">
        <f t="shared" si="24"/>
        <v>157.28264999999999</v>
      </c>
    </row>
    <row r="296" spans="1:14" x14ac:dyDescent="0.45">
      <c r="A296">
        <v>295</v>
      </c>
      <c r="B296" t="s">
        <v>4</v>
      </c>
      <c r="C296" t="s">
        <v>9</v>
      </c>
      <c r="D296" t="s">
        <v>35</v>
      </c>
      <c r="E296">
        <v>73592</v>
      </c>
      <c r="F296">
        <f>VLOOKUP(C296&amp;"|"&amp;B296,rate_tables!$A$3:$B$8,2,FALSE)</f>
        <v>95</v>
      </c>
      <c r="G296">
        <f>VLOOKUP(C296&amp;"|"&amp;B296,rate_tables!$A$12:$B$17,2,FALSE)</f>
        <v>40</v>
      </c>
      <c r="H296">
        <f>VLOOKUP(C296&amp;"|"&amp;D296,rate_tables!$A$21:$B$28,2,FALSE)</f>
        <v>1E-3</v>
      </c>
      <c r="I296">
        <f>VLOOKUP(C296&amp;"|"&amp;D296,rate_tables!$A$32:$B$39,2,FALSE)</f>
        <v>2E-3</v>
      </c>
      <c r="J296">
        <f t="shared" si="20"/>
        <v>95</v>
      </c>
      <c r="K296">
        <f t="shared" si="21"/>
        <v>40</v>
      </c>
      <c r="L296">
        <f t="shared" si="22"/>
        <v>6.1326666666666663</v>
      </c>
      <c r="M296">
        <f t="shared" si="23"/>
        <v>12.265333333333333</v>
      </c>
      <c r="N296">
        <f t="shared" si="24"/>
        <v>153.398</v>
      </c>
    </row>
    <row r="297" spans="1:14" x14ac:dyDescent="0.45">
      <c r="A297">
        <v>296</v>
      </c>
      <c r="B297" t="s">
        <v>4</v>
      </c>
      <c r="C297" t="s">
        <v>9</v>
      </c>
      <c r="D297" t="s">
        <v>36</v>
      </c>
      <c r="E297">
        <v>73659</v>
      </c>
      <c r="F297">
        <f>VLOOKUP(C297&amp;"|"&amp;B297,rate_tables!$A$3:$B$8,2,FALSE)</f>
        <v>95</v>
      </c>
      <c r="G297">
        <f>VLOOKUP(C297&amp;"|"&amp;B297,rate_tables!$A$12:$B$17,2,FALSE)</f>
        <v>40</v>
      </c>
      <c r="H297">
        <f>VLOOKUP(C297&amp;"|"&amp;D297,rate_tables!$A$21:$B$28,2,FALSE)</f>
        <v>1.2999999999999999E-3</v>
      </c>
      <c r="I297">
        <f>VLOOKUP(C297&amp;"|"&amp;D297,rate_tables!$A$32:$B$39,2,FALSE)</f>
        <v>2.5999999999999999E-3</v>
      </c>
      <c r="J297">
        <f t="shared" si="20"/>
        <v>95</v>
      </c>
      <c r="K297">
        <f t="shared" si="21"/>
        <v>40</v>
      </c>
      <c r="L297">
        <f t="shared" si="22"/>
        <v>7.9797249999999993</v>
      </c>
      <c r="M297">
        <f t="shared" si="23"/>
        <v>15.959449999999999</v>
      </c>
      <c r="N297">
        <f t="shared" si="24"/>
        <v>158.93917500000001</v>
      </c>
    </row>
    <row r="298" spans="1:14" x14ac:dyDescent="0.45">
      <c r="A298">
        <v>297</v>
      </c>
      <c r="B298" t="s">
        <v>4</v>
      </c>
      <c r="C298" t="s">
        <v>8</v>
      </c>
      <c r="D298" t="s">
        <v>38</v>
      </c>
      <c r="E298">
        <v>109313</v>
      </c>
      <c r="F298">
        <f>VLOOKUP(C298&amp;"|"&amp;B298,rate_tables!$A$3:$B$8,2,FALSE)</f>
        <v>85</v>
      </c>
      <c r="G298">
        <f>VLOOKUP(C298&amp;"|"&amp;B298,rate_tables!$A$12:$B$17,2,FALSE)</f>
        <v>35</v>
      </c>
      <c r="H298">
        <f>VLOOKUP(C298&amp;"|"&amp;D298,rate_tables!$A$21:$B$28,2,FALSE)</f>
        <v>2E-3</v>
      </c>
      <c r="I298">
        <f>VLOOKUP(C298&amp;"|"&amp;D298,rate_tables!$A$32:$B$39,2,FALSE)</f>
        <v>4.4000000000000003E-3</v>
      </c>
      <c r="J298">
        <f t="shared" si="20"/>
        <v>85</v>
      </c>
      <c r="K298">
        <f t="shared" si="21"/>
        <v>35</v>
      </c>
      <c r="L298">
        <f t="shared" si="22"/>
        <v>18.218833333333333</v>
      </c>
      <c r="M298">
        <f t="shared" si="23"/>
        <v>40.081433333333337</v>
      </c>
      <c r="N298">
        <f t="shared" si="24"/>
        <v>178.30026666666666</v>
      </c>
    </row>
    <row r="299" spans="1:14" x14ac:dyDescent="0.45">
      <c r="A299">
        <v>298</v>
      </c>
      <c r="B299" t="s">
        <v>4</v>
      </c>
      <c r="C299" t="s">
        <v>8</v>
      </c>
      <c r="D299" t="s">
        <v>36</v>
      </c>
      <c r="E299">
        <v>124196</v>
      </c>
      <c r="F299">
        <f>VLOOKUP(C299&amp;"|"&amp;B299,rate_tables!$A$3:$B$8,2,FALSE)</f>
        <v>85</v>
      </c>
      <c r="G299">
        <f>VLOOKUP(C299&amp;"|"&amp;B299,rate_tables!$A$12:$B$17,2,FALSE)</f>
        <v>35</v>
      </c>
      <c r="H299">
        <f>VLOOKUP(C299&amp;"|"&amp;D299,rate_tables!$A$21:$B$28,2,FALSE)</f>
        <v>1E-3</v>
      </c>
      <c r="I299">
        <f>VLOOKUP(C299&amp;"|"&amp;D299,rate_tables!$A$32:$B$39,2,FALSE)</f>
        <v>2E-3</v>
      </c>
      <c r="J299">
        <f t="shared" si="20"/>
        <v>85</v>
      </c>
      <c r="K299">
        <f t="shared" si="21"/>
        <v>35</v>
      </c>
      <c r="L299">
        <f t="shared" si="22"/>
        <v>10.349666666666666</v>
      </c>
      <c r="M299">
        <f t="shared" si="23"/>
        <v>20.699333333333332</v>
      </c>
      <c r="N299">
        <f t="shared" si="24"/>
        <v>151.04900000000001</v>
      </c>
    </row>
    <row r="300" spans="1:14" x14ac:dyDescent="0.45">
      <c r="A300">
        <v>299</v>
      </c>
      <c r="B300" t="s">
        <v>4</v>
      </c>
      <c r="C300" t="s">
        <v>8</v>
      </c>
      <c r="D300" t="s">
        <v>36</v>
      </c>
      <c r="E300">
        <v>108345</v>
      </c>
      <c r="F300">
        <f>VLOOKUP(C300&amp;"|"&amp;B300,rate_tables!$A$3:$B$8,2,FALSE)</f>
        <v>85</v>
      </c>
      <c r="G300">
        <f>VLOOKUP(C300&amp;"|"&amp;B300,rate_tables!$A$12:$B$17,2,FALSE)</f>
        <v>35</v>
      </c>
      <c r="H300">
        <f>VLOOKUP(C300&amp;"|"&amp;D300,rate_tables!$A$21:$B$28,2,FALSE)</f>
        <v>1E-3</v>
      </c>
      <c r="I300">
        <f>VLOOKUP(C300&amp;"|"&amp;D300,rate_tables!$A$32:$B$39,2,FALSE)</f>
        <v>2E-3</v>
      </c>
      <c r="J300">
        <f t="shared" si="20"/>
        <v>85</v>
      </c>
      <c r="K300">
        <f t="shared" si="21"/>
        <v>35</v>
      </c>
      <c r="L300">
        <f t="shared" si="22"/>
        <v>9.0287500000000005</v>
      </c>
      <c r="M300">
        <f t="shared" si="23"/>
        <v>18.057500000000001</v>
      </c>
      <c r="N300">
        <f t="shared" si="24"/>
        <v>147.08625000000001</v>
      </c>
    </row>
    <row r="301" spans="1:14" x14ac:dyDescent="0.45">
      <c r="A301">
        <v>300</v>
      </c>
      <c r="B301" t="s">
        <v>6</v>
      </c>
      <c r="C301" t="s">
        <v>9</v>
      </c>
      <c r="D301" t="s">
        <v>36</v>
      </c>
      <c r="E301">
        <v>62194</v>
      </c>
      <c r="F301">
        <f>VLOOKUP(C301&amp;"|"&amp;B301,rate_tables!$A$3:$B$8,2,FALSE)</f>
        <v>98</v>
      </c>
      <c r="G301">
        <f>VLOOKUP(C301&amp;"|"&amp;B301,rate_tables!$A$12:$B$17,2,FALSE)</f>
        <v>41</v>
      </c>
      <c r="H301">
        <f>VLOOKUP(C301&amp;"|"&amp;D301,rate_tables!$A$21:$B$28,2,FALSE)</f>
        <v>1.2999999999999999E-3</v>
      </c>
      <c r="I301">
        <f>VLOOKUP(C301&amp;"|"&amp;D301,rate_tables!$A$32:$B$39,2,FALSE)</f>
        <v>2.5999999999999999E-3</v>
      </c>
      <c r="J301">
        <f t="shared" si="20"/>
        <v>98</v>
      </c>
      <c r="K301">
        <f t="shared" si="21"/>
        <v>41</v>
      </c>
      <c r="L301">
        <f t="shared" si="22"/>
        <v>6.737683333333333</v>
      </c>
      <c r="M301">
        <f t="shared" si="23"/>
        <v>13.475366666666666</v>
      </c>
      <c r="N301">
        <f t="shared" si="24"/>
        <v>159.21305000000001</v>
      </c>
    </row>
    <row r="302" spans="1:14" x14ac:dyDescent="0.45">
      <c r="A302">
        <v>301</v>
      </c>
      <c r="B302" t="s">
        <v>4</v>
      </c>
      <c r="C302" t="s">
        <v>9</v>
      </c>
      <c r="D302" t="s">
        <v>37</v>
      </c>
      <c r="E302">
        <v>68854</v>
      </c>
      <c r="F302">
        <f>VLOOKUP(C302&amp;"|"&amp;B302,rate_tables!$A$3:$B$8,2,FALSE)</f>
        <v>95</v>
      </c>
      <c r="G302">
        <f>VLOOKUP(C302&amp;"|"&amp;B302,rate_tables!$A$12:$B$17,2,FALSE)</f>
        <v>40</v>
      </c>
      <c r="H302">
        <f>VLOOKUP(C302&amp;"|"&amp;D302,rate_tables!$A$21:$B$28,2,FALSE)</f>
        <v>1.8E-3</v>
      </c>
      <c r="I302">
        <f>VLOOKUP(C302&amp;"|"&amp;D302,rate_tables!$A$32:$B$39,2,FALSE)</f>
        <v>3.8E-3</v>
      </c>
      <c r="J302">
        <f t="shared" si="20"/>
        <v>95</v>
      </c>
      <c r="K302">
        <f t="shared" si="21"/>
        <v>40</v>
      </c>
      <c r="L302">
        <f t="shared" si="22"/>
        <v>10.328099999999999</v>
      </c>
      <c r="M302">
        <f t="shared" si="23"/>
        <v>21.803766666666665</v>
      </c>
      <c r="N302">
        <f t="shared" si="24"/>
        <v>167.13186666666667</v>
      </c>
    </row>
    <row r="303" spans="1:14" x14ac:dyDescent="0.45">
      <c r="A303">
        <v>302</v>
      </c>
      <c r="B303" t="s">
        <v>6</v>
      </c>
      <c r="C303" t="s">
        <v>9</v>
      </c>
      <c r="D303" t="s">
        <v>35</v>
      </c>
      <c r="E303">
        <v>66393</v>
      </c>
      <c r="F303">
        <f>VLOOKUP(C303&amp;"|"&amp;B303,rate_tables!$A$3:$B$8,2,FALSE)</f>
        <v>98</v>
      </c>
      <c r="G303">
        <f>VLOOKUP(C303&amp;"|"&amp;B303,rate_tables!$A$12:$B$17,2,FALSE)</f>
        <v>41</v>
      </c>
      <c r="H303">
        <f>VLOOKUP(C303&amp;"|"&amp;D303,rate_tables!$A$21:$B$28,2,FALSE)</f>
        <v>1E-3</v>
      </c>
      <c r="I303">
        <f>VLOOKUP(C303&amp;"|"&amp;D303,rate_tables!$A$32:$B$39,2,FALSE)</f>
        <v>2E-3</v>
      </c>
      <c r="J303">
        <f t="shared" si="20"/>
        <v>98</v>
      </c>
      <c r="K303">
        <f t="shared" si="21"/>
        <v>41</v>
      </c>
      <c r="L303">
        <f t="shared" si="22"/>
        <v>5.5327500000000001</v>
      </c>
      <c r="M303">
        <f t="shared" si="23"/>
        <v>11.0655</v>
      </c>
      <c r="N303">
        <f t="shared" si="24"/>
        <v>155.59825000000001</v>
      </c>
    </row>
    <row r="304" spans="1:14" x14ac:dyDescent="0.45">
      <c r="A304">
        <v>303</v>
      </c>
      <c r="B304" t="s">
        <v>5</v>
      </c>
      <c r="C304" t="s">
        <v>9</v>
      </c>
      <c r="D304" t="s">
        <v>37</v>
      </c>
      <c r="E304">
        <v>70304</v>
      </c>
      <c r="F304">
        <f>VLOOKUP(C304&amp;"|"&amp;B304,rate_tables!$A$3:$B$8,2,FALSE)</f>
        <v>100</v>
      </c>
      <c r="G304">
        <f>VLOOKUP(C304&amp;"|"&amp;B304,rate_tables!$A$12:$B$17,2,FALSE)</f>
        <v>42</v>
      </c>
      <c r="H304">
        <f>VLOOKUP(C304&amp;"|"&amp;D304,rate_tables!$A$21:$B$28,2,FALSE)</f>
        <v>1.8E-3</v>
      </c>
      <c r="I304">
        <f>VLOOKUP(C304&amp;"|"&amp;D304,rate_tables!$A$32:$B$39,2,FALSE)</f>
        <v>3.8E-3</v>
      </c>
      <c r="J304">
        <f t="shared" si="20"/>
        <v>100</v>
      </c>
      <c r="K304">
        <f t="shared" si="21"/>
        <v>42</v>
      </c>
      <c r="L304">
        <f t="shared" si="22"/>
        <v>10.545599999999999</v>
      </c>
      <c r="M304">
        <f t="shared" si="23"/>
        <v>22.262933333333333</v>
      </c>
      <c r="N304">
        <f t="shared" si="24"/>
        <v>174.80853333333334</v>
      </c>
    </row>
    <row r="305" spans="1:14" x14ac:dyDescent="0.45">
      <c r="A305">
        <v>304</v>
      </c>
      <c r="B305" t="s">
        <v>4</v>
      </c>
      <c r="C305" t="s">
        <v>9</v>
      </c>
      <c r="D305" t="s">
        <v>35</v>
      </c>
      <c r="E305">
        <v>56861</v>
      </c>
      <c r="F305">
        <f>VLOOKUP(C305&amp;"|"&amp;B305,rate_tables!$A$3:$B$8,2,FALSE)</f>
        <v>95</v>
      </c>
      <c r="G305">
        <f>VLOOKUP(C305&amp;"|"&amp;B305,rate_tables!$A$12:$B$17,2,FALSE)</f>
        <v>40</v>
      </c>
      <c r="H305">
        <f>VLOOKUP(C305&amp;"|"&amp;D305,rate_tables!$A$21:$B$28,2,FALSE)</f>
        <v>1E-3</v>
      </c>
      <c r="I305">
        <f>VLOOKUP(C305&amp;"|"&amp;D305,rate_tables!$A$32:$B$39,2,FALSE)</f>
        <v>2E-3</v>
      </c>
      <c r="J305">
        <f t="shared" si="20"/>
        <v>95</v>
      </c>
      <c r="K305">
        <f t="shared" si="21"/>
        <v>40</v>
      </c>
      <c r="L305">
        <f t="shared" si="22"/>
        <v>4.7384166666666667</v>
      </c>
      <c r="M305">
        <f t="shared" si="23"/>
        <v>9.4768333333333334</v>
      </c>
      <c r="N305">
        <f t="shared" si="24"/>
        <v>149.21525</v>
      </c>
    </row>
    <row r="306" spans="1:14" x14ac:dyDescent="0.45">
      <c r="A306">
        <v>305</v>
      </c>
      <c r="B306" t="s">
        <v>4</v>
      </c>
      <c r="C306" t="s">
        <v>9</v>
      </c>
      <c r="D306" t="s">
        <v>37</v>
      </c>
      <c r="E306">
        <v>53949</v>
      </c>
      <c r="F306">
        <f>VLOOKUP(C306&amp;"|"&amp;B306,rate_tables!$A$3:$B$8,2,FALSE)</f>
        <v>95</v>
      </c>
      <c r="G306">
        <f>VLOOKUP(C306&amp;"|"&amp;B306,rate_tables!$A$12:$B$17,2,FALSE)</f>
        <v>40</v>
      </c>
      <c r="H306">
        <f>VLOOKUP(C306&amp;"|"&amp;D306,rate_tables!$A$21:$B$28,2,FALSE)</f>
        <v>1.8E-3</v>
      </c>
      <c r="I306">
        <f>VLOOKUP(C306&amp;"|"&amp;D306,rate_tables!$A$32:$B$39,2,FALSE)</f>
        <v>3.8E-3</v>
      </c>
      <c r="J306">
        <f t="shared" si="20"/>
        <v>95</v>
      </c>
      <c r="K306">
        <f t="shared" si="21"/>
        <v>40</v>
      </c>
      <c r="L306">
        <f t="shared" si="22"/>
        <v>8.0923499999999997</v>
      </c>
      <c r="M306">
        <f t="shared" si="23"/>
        <v>17.083850000000002</v>
      </c>
      <c r="N306">
        <f t="shared" si="24"/>
        <v>160.17620000000002</v>
      </c>
    </row>
    <row r="307" spans="1:14" x14ac:dyDescent="0.45">
      <c r="A307">
        <v>306</v>
      </c>
      <c r="B307" t="s">
        <v>6</v>
      </c>
      <c r="C307" t="s">
        <v>8</v>
      </c>
      <c r="D307" t="s">
        <v>36</v>
      </c>
      <c r="E307">
        <v>62039</v>
      </c>
      <c r="F307">
        <f>VLOOKUP(C307&amp;"|"&amp;B307,rate_tables!$A$3:$B$8,2,FALSE)</f>
        <v>88</v>
      </c>
      <c r="G307">
        <f>VLOOKUP(C307&amp;"|"&amp;B307,rate_tables!$A$12:$B$17,2,FALSE)</f>
        <v>36</v>
      </c>
      <c r="H307">
        <f>VLOOKUP(C307&amp;"|"&amp;D307,rate_tables!$A$21:$B$28,2,FALSE)</f>
        <v>1E-3</v>
      </c>
      <c r="I307">
        <f>VLOOKUP(C307&amp;"|"&amp;D307,rate_tables!$A$32:$B$39,2,FALSE)</f>
        <v>2E-3</v>
      </c>
      <c r="J307">
        <f t="shared" si="20"/>
        <v>88</v>
      </c>
      <c r="K307">
        <f t="shared" si="21"/>
        <v>36</v>
      </c>
      <c r="L307">
        <f t="shared" si="22"/>
        <v>5.1699166666666665</v>
      </c>
      <c r="M307">
        <f t="shared" si="23"/>
        <v>10.339833333333333</v>
      </c>
      <c r="N307">
        <f t="shared" si="24"/>
        <v>139.50975</v>
      </c>
    </row>
    <row r="308" spans="1:14" x14ac:dyDescent="0.45">
      <c r="A308">
        <v>307</v>
      </c>
      <c r="B308" t="s">
        <v>5</v>
      </c>
      <c r="C308" t="s">
        <v>8</v>
      </c>
      <c r="D308" t="s">
        <v>37</v>
      </c>
      <c r="E308">
        <v>57197</v>
      </c>
      <c r="F308">
        <f>VLOOKUP(C308&amp;"|"&amp;B308,rate_tables!$A$3:$B$8,2,FALSE)</f>
        <v>90</v>
      </c>
      <c r="G308">
        <f>VLOOKUP(C308&amp;"|"&amp;B308,rate_tables!$A$12:$B$17,2,FALSE)</f>
        <v>37</v>
      </c>
      <c r="H308">
        <f>VLOOKUP(C308&amp;"|"&amp;D308,rate_tables!$A$21:$B$28,2,FALSE)</f>
        <v>1.4E-3</v>
      </c>
      <c r="I308">
        <f>VLOOKUP(C308&amp;"|"&amp;D308,rate_tables!$A$32:$B$39,2,FALSE)</f>
        <v>3.0000000000000001E-3</v>
      </c>
      <c r="J308">
        <f t="shared" si="20"/>
        <v>90</v>
      </c>
      <c r="K308">
        <f t="shared" si="21"/>
        <v>37</v>
      </c>
      <c r="L308">
        <f t="shared" si="22"/>
        <v>6.6729833333333337</v>
      </c>
      <c r="M308">
        <f t="shared" si="23"/>
        <v>14.299250000000001</v>
      </c>
      <c r="N308">
        <f t="shared" si="24"/>
        <v>147.97223333333332</v>
      </c>
    </row>
    <row r="309" spans="1:14" x14ac:dyDescent="0.45">
      <c r="A309">
        <v>308</v>
      </c>
      <c r="B309" t="s">
        <v>5</v>
      </c>
      <c r="C309" t="s">
        <v>8</v>
      </c>
      <c r="D309" t="s">
        <v>36</v>
      </c>
      <c r="E309">
        <v>58688</v>
      </c>
      <c r="F309">
        <f>VLOOKUP(C309&amp;"|"&amp;B309,rate_tables!$A$3:$B$8,2,FALSE)</f>
        <v>90</v>
      </c>
      <c r="G309">
        <f>VLOOKUP(C309&amp;"|"&amp;B309,rate_tables!$A$12:$B$17,2,FALSE)</f>
        <v>37</v>
      </c>
      <c r="H309">
        <f>VLOOKUP(C309&amp;"|"&amp;D309,rate_tables!$A$21:$B$28,2,FALSE)</f>
        <v>1E-3</v>
      </c>
      <c r="I309">
        <f>VLOOKUP(C309&amp;"|"&amp;D309,rate_tables!$A$32:$B$39,2,FALSE)</f>
        <v>2E-3</v>
      </c>
      <c r="J309">
        <f t="shared" si="20"/>
        <v>90</v>
      </c>
      <c r="K309">
        <f t="shared" si="21"/>
        <v>37</v>
      </c>
      <c r="L309">
        <f t="shared" si="22"/>
        <v>4.8906666666666672</v>
      </c>
      <c r="M309">
        <f t="shared" si="23"/>
        <v>9.7813333333333343</v>
      </c>
      <c r="N309">
        <f t="shared" si="24"/>
        <v>141.672</v>
      </c>
    </row>
    <row r="310" spans="1:14" x14ac:dyDescent="0.45">
      <c r="A310">
        <v>309</v>
      </c>
      <c r="B310" t="s">
        <v>6</v>
      </c>
      <c r="C310" t="s">
        <v>9</v>
      </c>
      <c r="D310" t="s">
        <v>35</v>
      </c>
      <c r="E310">
        <v>57841</v>
      </c>
      <c r="F310">
        <f>VLOOKUP(C310&amp;"|"&amp;B310,rate_tables!$A$3:$B$8,2,FALSE)</f>
        <v>98</v>
      </c>
      <c r="G310">
        <f>VLOOKUP(C310&amp;"|"&amp;B310,rate_tables!$A$12:$B$17,2,FALSE)</f>
        <v>41</v>
      </c>
      <c r="H310">
        <f>VLOOKUP(C310&amp;"|"&amp;D310,rate_tables!$A$21:$B$28,2,FALSE)</f>
        <v>1E-3</v>
      </c>
      <c r="I310">
        <f>VLOOKUP(C310&amp;"|"&amp;D310,rate_tables!$A$32:$B$39,2,FALSE)</f>
        <v>2E-3</v>
      </c>
      <c r="J310">
        <f t="shared" si="20"/>
        <v>98</v>
      </c>
      <c r="K310">
        <f t="shared" si="21"/>
        <v>41</v>
      </c>
      <c r="L310">
        <f t="shared" si="22"/>
        <v>4.8200833333333337</v>
      </c>
      <c r="M310">
        <f t="shared" si="23"/>
        <v>9.6401666666666674</v>
      </c>
      <c r="N310">
        <f t="shared" si="24"/>
        <v>153.46025</v>
      </c>
    </row>
    <row r="311" spans="1:14" x14ac:dyDescent="0.45">
      <c r="A311">
        <v>310</v>
      </c>
      <c r="B311" t="s">
        <v>6</v>
      </c>
      <c r="C311" t="s">
        <v>8</v>
      </c>
      <c r="D311" t="s">
        <v>37</v>
      </c>
      <c r="E311">
        <v>122190</v>
      </c>
      <c r="F311">
        <f>VLOOKUP(C311&amp;"|"&amp;B311,rate_tables!$A$3:$B$8,2,FALSE)</f>
        <v>88</v>
      </c>
      <c r="G311">
        <f>VLOOKUP(C311&amp;"|"&amp;B311,rate_tables!$A$12:$B$17,2,FALSE)</f>
        <v>36</v>
      </c>
      <c r="H311">
        <f>VLOOKUP(C311&amp;"|"&amp;D311,rate_tables!$A$21:$B$28,2,FALSE)</f>
        <v>1.4E-3</v>
      </c>
      <c r="I311">
        <f>VLOOKUP(C311&amp;"|"&amp;D311,rate_tables!$A$32:$B$39,2,FALSE)</f>
        <v>3.0000000000000001E-3</v>
      </c>
      <c r="J311">
        <f t="shared" si="20"/>
        <v>88</v>
      </c>
      <c r="K311">
        <f t="shared" si="21"/>
        <v>36</v>
      </c>
      <c r="L311">
        <f t="shared" si="22"/>
        <v>14.2555</v>
      </c>
      <c r="M311">
        <f t="shared" si="23"/>
        <v>30.547499999999999</v>
      </c>
      <c r="N311">
        <f t="shared" si="24"/>
        <v>168.803</v>
      </c>
    </row>
    <row r="312" spans="1:14" x14ac:dyDescent="0.45">
      <c r="A312">
        <v>311</v>
      </c>
      <c r="B312" t="s">
        <v>4</v>
      </c>
      <c r="C312" t="s">
        <v>8</v>
      </c>
      <c r="D312" t="s">
        <v>36</v>
      </c>
      <c r="E312">
        <v>109595</v>
      </c>
      <c r="F312">
        <f>VLOOKUP(C312&amp;"|"&amp;B312,rate_tables!$A$3:$B$8,2,FALSE)</f>
        <v>85</v>
      </c>
      <c r="G312">
        <f>VLOOKUP(C312&amp;"|"&amp;B312,rate_tables!$A$12:$B$17,2,FALSE)</f>
        <v>35</v>
      </c>
      <c r="H312">
        <f>VLOOKUP(C312&amp;"|"&amp;D312,rate_tables!$A$21:$B$28,2,FALSE)</f>
        <v>1E-3</v>
      </c>
      <c r="I312">
        <f>VLOOKUP(C312&amp;"|"&amp;D312,rate_tables!$A$32:$B$39,2,FALSE)</f>
        <v>2E-3</v>
      </c>
      <c r="J312">
        <f t="shared" si="20"/>
        <v>85</v>
      </c>
      <c r="K312">
        <f t="shared" si="21"/>
        <v>35</v>
      </c>
      <c r="L312">
        <f t="shared" si="22"/>
        <v>9.1329166666666666</v>
      </c>
      <c r="M312">
        <f t="shared" si="23"/>
        <v>18.265833333333333</v>
      </c>
      <c r="N312">
        <f t="shared" si="24"/>
        <v>147.39875000000001</v>
      </c>
    </row>
    <row r="313" spans="1:14" x14ac:dyDescent="0.45">
      <c r="A313">
        <v>312</v>
      </c>
      <c r="B313" t="s">
        <v>4</v>
      </c>
      <c r="C313" t="s">
        <v>9</v>
      </c>
      <c r="D313" t="s">
        <v>35</v>
      </c>
      <c r="E313">
        <v>68879</v>
      </c>
      <c r="F313">
        <f>VLOOKUP(C313&amp;"|"&amp;B313,rate_tables!$A$3:$B$8,2,FALSE)</f>
        <v>95</v>
      </c>
      <c r="G313">
        <f>VLOOKUP(C313&amp;"|"&amp;B313,rate_tables!$A$12:$B$17,2,FALSE)</f>
        <v>40</v>
      </c>
      <c r="H313">
        <f>VLOOKUP(C313&amp;"|"&amp;D313,rate_tables!$A$21:$B$28,2,FALSE)</f>
        <v>1E-3</v>
      </c>
      <c r="I313">
        <f>VLOOKUP(C313&amp;"|"&amp;D313,rate_tables!$A$32:$B$39,2,FALSE)</f>
        <v>2E-3</v>
      </c>
      <c r="J313">
        <f t="shared" si="20"/>
        <v>95</v>
      </c>
      <c r="K313">
        <f t="shared" si="21"/>
        <v>40</v>
      </c>
      <c r="L313">
        <f t="shared" si="22"/>
        <v>5.7399166666666668</v>
      </c>
      <c r="M313">
        <f t="shared" si="23"/>
        <v>11.479833333333334</v>
      </c>
      <c r="N313">
        <f t="shared" si="24"/>
        <v>152.21975</v>
      </c>
    </row>
    <row r="314" spans="1:14" x14ac:dyDescent="0.45">
      <c r="A314">
        <v>313</v>
      </c>
      <c r="B314" t="s">
        <v>5</v>
      </c>
      <c r="C314" t="s">
        <v>8</v>
      </c>
      <c r="D314" t="s">
        <v>36</v>
      </c>
      <c r="E314">
        <v>95643</v>
      </c>
      <c r="F314">
        <f>VLOOKUP(C314&amp;"|"&amp;B314,rate_tables!$A$3:$B$8,2,FALSE)</f>
        <v>90</v>
      </c>
      <c r="G314">
        <f>VLOOKUP(C314&amp;"|"&amp;B314,rate_tables!$A$12:$B$17,2,FALSE)</f>
        <v>37</v>
      </c>
      <c r="H314">
        <f>VLOOKUP(C314&amp;"|"&amp;D314,rate_tables!$A$21:$B$28,2,FALSE)</f>
        <v>1E-3</v>
      </c>
      <c r="I314">
        <f>VLOOKUP(C314&amp;"|"&amp;D314,rate_tables!$A$32:$B$39,2,FALSE)</f>
        <v>2E-3</v>
      </c>
      <c r="J314">
        <f t="shared" si="20"/>
        <v>90</v>
      </c>
      <c r="K314">
        <f t="shared" si="21"/>
        <v>37</v>
      </c>
      <c r="L314">
        <f t="shared" si="22"/>
        <v>7.9702500000000001</v>
      </c>
      <c r="M314">
        <f t="shared" si="23"/>
        <v>15.9405</v>
      </c>
      <c r="N314">
        <f t="shared" si="24"/>
        <v>150.91075000000001</v>
      </c>
    </row>
    <row r="315" spans="1:14" x14ac:dyDescent="0.45">
      <c r="A315">
        <v>314</v>
      </c>
      <c r="B315" t="s">
        <v>5</v>
      </c>
      <c r="C315" t="s">
        <v>9</v>
      </c>
      <c r="D315" t="s">
        <v>35</v>
      </c>
      <c r="E315">
        <v>79743</v>
      </c>
      <c r="F315">
        <f>VLOOKUP(C315&amp;"|"&amp;B315,rate_tables!$A$3:$B$8,2,FALSE)</f>
        <v>100</v>
      </c>
      <c r="G315">
        <f>VLOOKUP(C315&amp;"|"&amp;B315,rate_tables!$A$12:$B$17,2,FALSE)</f>
        <v>42</v>
      </c>
      <c r="H315">
        <f>VLOOKUP(C315&amp;"|"&amp;D315,rate_tables!$A$21:$B$28,2,FALSE)</f>
        <v>1E-3</v>
      </c>
      <c r="I315">
        <f>VLOOKUP(C315&amp;"|"&amp;D315,rate_tables!$A$32:$B$39,2,FALSE)</f>
        <v>2E-3</v>
      </c>
      <c r="J315">
        <f t="shared" si="20"/>
        <v>100</v>
      </c>
      <c r="K315">
        <f t="shared" si="21"/>
        <v>42</v>
      </c>
      <c r="L315">
        <f t="shared" si="22"/>
        <v>6.6452499999999999</v>
      </c>
      <c r="M315">
        <f t="shared" si="23"/>
        <v>13.2905</v>
      </c>
      <c r="N315">
        <f t="shared" si="24"/>
        <v>161.93575000000001</v>
      </c>
    </row>
    <row r="316" spans="1:14" x14ac:dyDescent="0.45">
      <c r="A316">
        <v>315</v>
      </c>
      <c r="B316" t="s">
        <v>4</v>
      </c>
      <c r="C316" t="s">
        <v>8</v>
      </c>
      <c r="D316" t="s">
        <v>35</v>
      </c>
      <c r="E316">
        <v>116358</v>
      </c>
      <c r="F316">
        <f>VLOOKUP(C316&amp;"|"&amp;B316,rate_tables!$A$3:$B$8,2,FALSE)</f>
        <v>85</v>
      </c>
      <c r="G316">
        <f>VLOOKUP(C316&amp;"|"&amp;B316,rate_tables!$A$12:$B$17,2,FALSE)</f>
        <v>35</v>
      </c>
      <c r="H316">
        <f>VLOOKUP(C316&amp;"|"&amp;D316,rate_tables!$A$21:$B$28,2,FALSE)</f>
        <v>8.0000000000000004E-4</v>
      </c>
      <c r="I316">
        <f>VLOOKUP(C316&amp;"|"&amp;D316,rate_tables!$A$32:$B$39,2,FALSE)</f>
        <v>1.6000000000000001E-3</v>
      </c>
      <c r="J316">
        <f t="shared" si="20"/>
        <v>85</v>
      </c>
      <c r="K316">
        <f t="shared" si="21"/>
        <v>35</v>
      </c>
      <c r="L316">
        <f t="shared" si="22"/>
        <v>7.7572000000000001</v>
      </c>
      <c r="M316">
        <f t="shared" si="23"/>
        <v>15.5144</v>
      </c>
      <c r="N316">
        <f t="shared" si="24"/>
        <v>143.27160000000001</v>
      </c>
    </row>
    <row r="317" spans="1:14" x14ac:dyDescent="0.45">
      <c r="A317">
        <v>316</v>
      </c>
      <c r="B317" t="s">
        <v>4</v>
      </c>
      <c r="C317" t="s">
        <v>9</v>
      </c>
      <c r="D317" t="s">
        <v>35</v>
      </c>
      <c r="E317">
        <v>79605</v>
      </c>
      <c r="F317">
        <f>VLOOKUP(C317&amp;"|"&amp;B317,rate_tables!$A$3:$B$8,2,FALSE)</f>
        <v>95</v>
      </c>
      <c r="G317">
        <f>VLOOKUP(C317&amp;"|"&amp;B317,rate_tables!$A$12:$B$17,2,FALSE)</f>
        <v>40</v>
      </c>
      <c r="H317">
        <f>VLOOKUP(C317&amp;"|"&amp;D317,rate_tables!$A$21:$B$28,2,FALSE)</f>
        <v>1E-3</v>
      </c>
      <c r="I317">
        <f>VLOOKUP(C317&amp;"|"&amp;D317,rate_tables!$A$32:$B$39,2,FALSE)</f>
        <v>2E-3</v>
      </c>
      <c r="J317">
        <f t="shared" si="20"/>
        <v>95</v>
      </c>
      <c r="K317">
        <f t="shared" si="21"/>
        <v>40</v>
      </c>
      <c r="L317">
        <f t="shared" si="22"/>
        <v>6.63375</v>
      </c>
      <c r="M317">
        <f t="shared" si="23"/>
        <v>13.2675</v>
      </c>
      <c r="N317">
        <f t="shared" si="24"/>
        <v>154.90125</v>
      </c>
    </row>
    <row r="318" spans="1:14" x14ac:dyDescent="0.45">
      <c r="A318">
        <v>317</v>
      </c>
      <c r="B318" t="s">
        <v>4</v>
      </c>
      <c r="C318" t="s">
        <v>9</v>
      </c>
      <c r="D318" t="s">
        <v>36</v>
      </c>
      <c r="E318">
        <v>52938</v>
      </c>
      <c r="F318">
        <f>VLOOKUP(C318&amp;"|"&amp;B318,rate_tables!$A$3:$B$8,2,FALSE)</f>
        <v>95</v>
      </c>
      <c r="G318">
        <f>VLOOKUP(C318&amp;"|"&amp;B318,rate_tables!$A$12:$B$17,2,FALSE)</f>
        <v>40</v>
      </c>
      <c r="H318">
        <f>VLOOKUP(C318&amp;"|"&amp;D318,rate_tables!$A$21:$B$28,2,FALSE)</f>
        <v>1.2999999999999999E-3</v>
      </c>
      <c r="I318">
        <f>VLOOKUP(C318&amp;"|"&amp;D318,rate_tables!$A$32:$B$39,2,FALSE)</f>
        <v>2.5999999999999999E-3</v>
      </c>
      <c r="J318">
        <f t="shared" si="20"/>
        <v>95</v>
      </c>
      <c r="K318">
        <f t="shared" si="21"/>
        <v>40</v>
      </c>
      <c r="L318">
        <f t="shared" si="22"/>
        <v>5.7349500000000004</v>
      </c>
      <c r="M318">
        <f t="shared" si="23"/>
        <v>11.469900000000001</v>
      </c>
      <c r="N318">
        <f t="shared" si="24"/>
        <v>152.20484999999999</v>
      </c>
    </row>
    <row r="319" spans="1:14" x14ac:dyDescent="0.45">
      <c r="A319">
        <v>318</v>
      </c>
      <c r="B319" t="s">
        <v>6</v>
      </c>
      <c r="C319" t="s">
        <v>8</v>
      </c>
      <c r="D319" t="s">
        <v>35</v>
      </c>
      <c r="E319">
        <v>61538</v>
      </c>
      <c r="F319">
        <f>VLOOKUP(C319&amp;"|"&amp;B319,rate_tables!$A$3:$B$8,2,FALSE)</f>
        <v>88</v>
      </c>
      <c r="G319">
        <f>VLOOKUP(C319&amp;"|"&amp;B319,rate_tables!$A$12:$B$17,2,FALSE)</f>
        <v>36</v>
      </c>
      <c r="H319">
        <f>VLOOKUP(C319&amp;"|"&amp;D319,rate_tables!$A$21:$B$28,2,FALSE)</f>
        <v>8.0000000000000004E-4</v>
      </c>
      <c r="I319">
        <f>VLOOKUP(C319&amp;"|"&amp;D319,rate_tables!$A$32:$B$39,2,FALSE)</f>
        <v>1.6000000000000001E-3</v>
      </c>
      <c r="J319">
        <f t="shared" si="20"/>
        <v>88</v>
      </c>
      <c r="K319">
        <f t="shared" si="21"/>
        <v>36</v>
      </c>
      <c r="L319">
        <f t="shared" si="22"/>
        <v>4.1025333333333336</v>
      </c>
      <c r="M319">
        <f t="shared" si="23"/>
        <v>8.2050666666666672</v>
      </c>
      <c r="N319">
        <f t="shared" si="24"/>
        <v>136.30759999999998</v>
      </c>
    </row>
    <row r="320" spans="1:14" x14ac:dyDescent="0.45">
      <c r="A320">
        <v>319</v>
      </c>
      <c r="B320" t="s">
        <v>4</v>
      </c>
      <c r="C320" t="s">
        <v>9</v>
      </c>
      <c r="D320" t="s">
        <v>36</v>
      </c>
      <c r="E320">
        <v>61249</v>
      </c>
      <c r="F320">
        <f>VLOOKUP(C320&amp;"|"&amp;B320,rate_tables!$A$3:$B$8,2,FALSE)</f>
        <v>95</v>
      </c>
      <c r="G320">
        <f>VLOOKUP(C320&amp;"|"&amp;B320,rate_tables!$A$12:$B$17,2,FALSE)</f>
        <v>40</v>
      </c>
      <c r="H320">
        <f>VLOOKUP(C320&amp;"|"&amp;D320,rate_tables!$A$21:$B$28,2,FALSE)</f>
        <v>1.2999999999999999E-3</v>
      </c>
      <c r="I320">
        <f>VLOOKUP(C320&amp;"|"&amp;D320,rate_tables!$A$32:$B$39,2,FALSE)</f>
        <v>2.5999999999999999E-3</v>
      </c>
      <c r="J320">
        <f t="shared" si="20"/>
        <v>95</v>
      </c>
      <c r="K320">
        <f t="shared" si="21"/>
        <v>40</v>
      </c>
      <c r="L320">
        <f t="shared" si="22"/>
        <v>6.6353083333333336</v>
      </c>
      <c r="M320">
        <f t="shared" si="23"/>
        <v>13.270616666666667</v>
      </c>
      <c r="N320">
        <f t="shared" si="24"/>
        <v>154.905925</v>
      </c>
    </row>
    <row r="321" spans="1:14" x14ac:dyDescent="0.45">
      <c r="A321">
        <v>320</v>
      </c>
      <c r="B321" t="s">
        <v>4</v>
      </c>
      <c r="C321" t="s">
        <v>9</v>
      </c>
      <c r="D321" t="s">
        <v>36</v>
      </c>
      <c r="E321">
        <v>61070</v>
      </c>
      <c r="F321">
        <f>VLOOKUP(C321&amp;"|"&amp;B321,rate_tables!$A$3:$B$8,2,FALSE)</f>
        <v>95</v>
      </c>
      <c r="G321">
        <f>VLOOKUP(C321&amp;"|"&amp;B321,rate_tables!$A$12:$B$17,2,FALSE)</f>
        <v>40</v>
      </c>
      <c r="H321">
        <f>VLOOKUP(C321&amp;"|"&amp;D321,rate_tables!$A$21:$B$28,2,FALSE)</f>
        <v>1.2999999999999999E-3</v>
      </c>
      <c r="I321">
        <f>VLOOKUP(C321&amp;"|"&amp;D321,rate_tables!$A$32:$B$39,2,FALSE)</f>
        <v>2.5999999999999999E-3</v>
      </c>
      <c r="J321">
        <f t="shared" si="20"/>
        <v>95</v>
      </c>
      <c r="K321">
        <f t="shared" si="21"/>
        <v>40</v>
      </c>
      <c r="L321">
        <f t="shared" si="22"/>
        <v>6.6159166666666662</v>
      </c>
      <c r="M321">
        <f t="shared" si="23"/>
        <v>13.231833333333332</v>
      </c>
      <c r="N321">
        <f t="shared" si="24"/>
        <v>154.84774999999999</v>
      </c>
    </row>
    <row r="322" spans="1:14" x14ac:dyDescent="0.45">
      <c r="A322">
        <v>321</v>
      </c>
      <c r="B322" t="s">
        <v>6</v>
      </c>
      <c r="C322" t="s">
        <v>9</v>
      </c>
      <c r="D322" t="s">
        <v>38</v>
      </c>
      <c r="E322">
        <v>62728</v>
      </c>
      <c r="F322">
        <f>VLOOKUP(C322&amp;"|"&amp;B322,rate_tables!$A$3:$B$8,2,FALSE)</f>
        <v>98</v>
      </c>
      <c r="G322">
        <f>VLOOKUP(C322&amp;"|"&amp;B322,rate_tables!$A$12:$B$17,2,FALSE)</f>
        <v>41</v>
      </c>
      <c r="H322">
        <f>VLOOKUP(C322&amp;"|"&amp;D322,rate_tables!$A$21:$B$28,2,FALSE)</f>
        <v>2.5999999999999999E-3</v>
      </c>
      <c r="I322">
        <f>VLOOKUP(C322&amp;"|"&amp;D322,rate_tables!$A$32:$B$39,2,FALSE)</f>
        <v>5.5999999999999999E-3</v>
      </c>
      <c r="J322">
        <f t="shared" si="20"/>
        <v>98</v>
      </c>
      <c r="K322">
        <f t="shared" si="21"/>
        <v>41</v>
      </c>
      <c r="L322">
        <f t="shared" si="22"/>
        <v>13.591066666666665</v>
      </c>
      <c r="M322">
        <f t="shared" si="23"/>
        <v>29.273066666666665</v>
      </c>
      <c r="N322">
        <f t="shared" si="24"/>
        <v>181.86413333333334</v>
      </c>
    </row>
    <row r="323" spans="1:14" x14ac:dyDescent="0.45">
      <c r="A323">
        <v>322</v>
      </c>
      <c r="B323" t="s">
        <v>4</v>
      </c>
      <c r="C323" t="s">
        <v>8</v>
      </c>
      <c r="D323" t="s">
        <v>35</v>
      </c>
      <c r="E323">
        <v>123863</v>
      </c>
      <c r="F323">
        <f>VLOOKUP(C323&amp;"|"&amp;B323,rate_tables!$A$3:$B$8,2,FALSE)</f>
        <v>85</v>
      </c>
      <c r="G323">
        <f>VLOOKUP(C323&amp;"|"&amp;B323,rate_tables!$A$12:$B$17,2,FALSE)</f>
        <v>35</v>
      </c>
      <c r="H323">
        <f>VLOOKUP(C323&amp;"|"&amp;D323,rate_tables!$A$21:$B$28,2,FALSE)</f>
        <v>8.0000000000000004E-4</v>
      </c>
      <c r="I323">
        <f>VLOOKUP(C323&amp;"|"&amp;D323,rate_tables!$A$32:$B$39,2,FALSE)</f>
        <v>1.6000000000000001E-3</v>
      </c>
      <c r="J323">
        <f t="shared" ref="J323:J386" si="25">F323</f>
        <v>85</v>
      </c>
      <c r="K323">
        <f t="shared" ref="K323:K386" si="26">G323</f>
        <v>35</v>
      </c>
      <c r="L323">
        <f t="shared" ref="L323:L386" si="27">H323*E323/12</f>
        <v>8.2575333333333329</v>
      </c>
      <c r="M323">
        <f t="shared" ref="M323:M386" si="28">I323*E323/12</f>
        <v>16.515066666666666</v>
      </c>
      <c r="N323">
        <f t="shared" ref="N323:N386" si="29">SUM(J323:M323)</f>
        <v>144.77259999999998</v>
      </c>
    </row>
    <row r="324" spans="1:14" x14ac:dyDescent="0.45">
      <c r="A324">
        <v>323</v>
      </c>
      <c r="B324" t="s">
        <v>4</v>
      </c>
      <c r="C324" t="s">
        <v>8</v>
      </c>
      <c r="D324" t="s">
        <v>38</v>
      </c>
      <c r="E324">
        <v>105839</v>
      </c>
      <c r="F324">
        <f>VLOOKUP(C324&amp;"|"&amp;B324,rate_tables!$A$3:$B$8,2,FALSE)</f>
        <v>85</v>
      </c>
      <c r="G324">
        <f>VLOOKUP(C324&amp;"|"&amp;B324,rate_tables!$A$12:$B$17,2,FALSE)</f>
        <v>35</v>
      </c>
      <c r="H324">
        <f>VLOOKUP(C324&amp;"|"&amp;D324,rate_tables!$A$21:$B$28,2,FALSE)</f>
        <v>2E-3</v>
      </c>
      <c r="I324">
        <f>VLOOKUP(C324&amp;"|"&amp;D324,rate_tables!$A$32:$B$39,2,FALSE)</f>
        <v>4.4000000000000003E-3</v>
      </c>
      <c r="J324">
        <f t="shared" si="25"/>
        <v>85</v>
      </c>
      <c r="K324">
        <f t="shared" si="26"/>
        <v>35</v>
      </c>
      <c r="L324">
        <f t="shared" si="27"/>
        <v>17.639833333333332</v>
      </c>
      <c r="M324">
        <f t="shared" si="28"/>
        <v>38.807633333333335</v>
      </c>
      <c r="N324">
        <f t="shared" si="29"/>
        <v>176.44746666666668</v>
      </c>
    </row>
    <row r="325" spans="1:14" x14ac:dyDescent="0.45">
      <c r="A325">
        <v>324</v>
      </c>
      <c r="B325" t="s">
        <v>4</v>
      </c>
      <c r="C325" t="s">
        <v>9</v>
      </c>
      <c r="D325" t="s">
        <v>35</v>
      </c>
      <c r="E325">
        <v>65323</v>
      </c>
      <c r="F325">
        <f>VLOOKUP(C325&amp;"|"&amp;B325,rate_tables!$A$3:$B$8,2,FALSE)</f>
        <v>95</v>
      </c>
      <c r="G325">
        <f>VLOOKUP(C325&amp;"|"&amp;B325,rate_tables!$A$12:$B$17,2,FALSE)</f>
        <v>40</v>
      </c>
      <c r="H325">
        <f>VLOOKUP(C325&amp;"|"&amp;D325,rate_tables!$A$21:$B$28,2,FALSE)</f>
        <v>1E-3</v>
      </c>
      <c r="I325">
        <f>VLOOKUP(C325&amp;"|"&amp;D325,rate_tables!$A$32:$B$39,2,FALSE)</f>
        <v>2E-3</v>
      </c>
      <c r="J325">
        <f t="shared" si="25"/>
        <v>95</v>
      </c>
      <c r="K325">
        <f t="shared" si="26"/>
        <v>40</v>
      </c>
      <c r="L325">
        <f t="shared" si="27"/>
        <v>5.4435833333333337</v>
      </c>
      <c r="M325">
        <f t="shared" si="28"/>
        <v>10.887166666666667</v>
      </c>
      <c r="N325">
        <f t="shared" si="29"/>
        <v>151.33074999999999</v>
      </c>
    </row>
    <row r="326" spans="1:14" x14ac:dyDescent="0.45">
      <c r="A326">
        <v>325</v>
      </c>
      <c r="B326" t="s">
        <v>4</v>
      </c>
      <c r="C326" t="s">
        <v>9</v>
      </c>
      <c r="D326" t="s">
        <v>35</v>
      </c>
      <c r="E326">
        <v>48774</v>
      </c>
      <c r="F326">
        <f>VLOOKUP(C326&amp;"|"&amp;B326,rate_tables!$A$3:$B$8,2,FALSE)</f>
        <v>95</v>
      </c>
      <c r="G326">
        <f>VLOOKUP(C326&amp;"|"&amp;B326,rate_tables!$A$12:$B$17,2,FALSE)</f>
        <v>40</v>
      </c>
      <c r="H326">
        <f>VLOOKUP(C326&amp;"|"&amp;D326,rate_tables!$A$21:$B$28,2,FALSE)</f>
        <v>1E-3</v>
      </c>
      <c r="I326">
        <f>VLOOKUP(C326&amp;"|"&amp;D326,rate_tables!$A$32:$B$39,2,FALSE)</f>
        <v>2E-3</v>
      </c>
      <c r="J326">
        <f t="shared" si="25"/>
        <v>95</v>
      </c>
      <c r="K326">
        <f t="shared" si="26"/>
        <v>40</v>
      </c>
      <c r="L326">
        <f t="shared" si="27"/>
        <v>4.0644999999999998</v>
      </c>
      <c r="M326">
        <f t="shared" si="28"/>
        <v>8.1289999999999996</v>
      </c>
      <c r="N326">
        <f t="shared" si="29"/>
        <v>147.1935</v>
      </c>
    </row>
    <row r="327" spans="1:14" x14ac:dyDescent="0.45">
      <c r="A327">
        <v>326</v>
      </c>
      <c r="B327" t="s">
        <v>6</v>
      </c>
      <c r="C327" t="s">
        <v>8</v>
      </c>
      <c r="D327" t="s">
        <v>35</v>
      </c>
      <c r="E327">
        <v>129095</v>
      </c>
      <c r="F327">
        <f>VLOOKUP(C327&amp;"|"&amp;B327,rate_tables!$A$3:$B$8,2,FALSE)</f>
        <v>88</v>
      </c>
      <c r="G327">
        <f>VLOOKUP(C327&amp;"|"&amp;B327,rate_tables!$A$12:$B$17,2,FALSE)</f>
        <v>36</v>
      </c>
      <c r="H327">
        <f>VLOOKUP(C327&amp;"|"&amp;D327,rate_tables!$A$21:$B$28,2,FALSE)</f>
        <v>8.0000000000000004E-4</v>
      </c>
      <c r="I327">
        <f>VLOOKUP(C327&amp;"|"&amp;D327,rate_tables!$A$32:$B$39,2,FALSE)</f>
        <v>1.6000000000000001E-3</v>
      </c>
      <c r="J327">
        <f t="shared" si="25"/>
        <v>88</v>
      </c>
      <c r="K327">
        <f t="shared" si="26"/>
        <v>36</v>
      </c>
      <c r="L327">
        <f t="shared" si="27"/>
        <v>8.6063333333333336</v>
      </c>
      <c r="M327">
        <f t="shared" si="28"/>
        <v>17.212666666666667</v>
      </c>
      <c r="N327">
        <f t="shared" si="29"/>
        <v>149.81900000000002</v>
      </c>
    </row>
    <row r="328" spans="1:14" x14ac:dyDescent="0.45">
      <c r="A328">
        <v>327</v>
      </c>
      <c r="B328" t="s">
        <v>4</v>
      </c>
      <c r="C328" t="s">
        <v>9</v>
      </c>
      <c r="D328" t="s">
        <v>36</v>
      </c>
      <c r="E328">
        <v>49401</v>
      </c>
      <c r="F328">
        <f>VLOOKUP(C328&amp;"|"&amp;B328,rate_tables!$A$3:$B$8,2,FALSE)</f>
        <v>95</v>
      </c>
      <c r="G328">
        <f>VLOOKUP(C328&amp;"|"&amp;B328,rate_tables!$A$12:$B$17,2,FALSE)</f>
        <v>40</v>
      </c>
      <c r="H328">
        <f>VLOOKUP(C328&amp;"|"&amp;D328,rate_tables!$A$21:$B$28,2,FALSE)</f>
        <v>1.2999999999999999E-3</v>
      </c>
      <c r="I328">
        <f>VLOOKUP(C328&amp;"|"&amp;D328,rate_tables!$A$32:$B$39,2,FALSE)</f>
        <v>2.5999999999999999E-3</v>
      </c>
      <c r="J328">
        <f t="shared" si="25"/>
        <v>95</v>
      </c>
      <c r="K328">
        <f t="shared" si="26"/>
        <v>40</v>
      </c>
      <c r="L328">
        <f t="shared" si="27"/>
        <v>5.3517749999999999</v>
      </c>
      <c r="M328">
        <f t="shared" si="28"/>
        <v>10.70355</v>
      </c>
      <c r="N328">
        <f t="shared" si="29"/>
        <v>151.05532500000001</v>
      </c>
    </row>
    <row r="329" spans="1:14" x14ac:dyDescent="0.45">
      <c r="A329">
        <v>328</v>
      </c>
      <c r="B329" t="s">
        <v>6</v>
      </c>
      <c r="C329" t="s">
        <v>8</v>
      </c>
      <c r="D329" t="s">
        <v>35</v>
      </c>
      <c r="E329">
        <v>111535</v>
      </c>
      <c r="F329">
        <f>VLOOKUP(C329&amp;"|"&amp;B329,rate_tables!$A$3:$B$8,2,FALSE)</f>
        <v>88</v>
      </c>
      <c r="G329">
        <f>VLOOKUP(C329&amp;"|"&amp;B329,rate_tables!$A$12:$B$17,2,FALSE)</f>
        <v>36</v>
      </c>
      <c r="H329">
        <f>VLOOKUP(C329&amp;"|"&amp;D329,rate_tables!$A$21:$B$28,2,FALSE)</f>
        <v>8.0000000000000004E-4</v>
      </c>
      <c r="I329">
        <f>VLOOKUP(C329&amp;"|"&amp;D329,rate_tables!$A$32:$B$39,2,FALSE)</f>
        <v>1.6000000000000001E-3</v>
      </c>
      <c r="J329">
        <f t="shared" si="25"/>
        <v>88</v>
      </c>
      <c r="K329">
        <f t="shared" si="26"/>
        <v>36</v>
      </c>
      <c r="L329">
        <f t="shared" si="27"/>
        <v>7.4356666666666671</v>
      </c>
      <c r="M329">
        <f t="shared" si="28"/>
        <v>14.871333333333334</v>
      </c>
      <c r="N329">
        <f t="shared" si="29"/>
        <v>146.30699999999999</v>
      </c>
    </row>
    <row r="330" spans="1:14" x14ac:dyDescent="0.45">
      <c r="A330">
        <v>329</v>
      </c>
      <c r="B330" t="s">
        <v>4</v>
      </c>
      <c r="C330" t="s">
        <v>9</v>
      </c>
      <c r="D330" t="s">
        <v>36</v>
      </c>
      <c r="E330">
        <v>79182</v>
      </c>
      <c r="F330">
        <f>VLOOKUP(C330&amp;"|"&amp;B330,rate_tables!$A$3:$B$8,2,FALSE)</f>
        <v>95</v>
      </c>
      <c r="G330">
        <f>VLOOKUP(C330&amp;"|"&amp;B330,rate_tables!$A$12:$B$17,2,FALSE)</f>
        <v>40</v>
      </c>
      <c r="H330">
        <f>VLOOKUP(C330&amp;"|"&amp;D330,rate_tables!$A$21:$B$28,2,FALSE)</f>
        <v>1.2999999999999999E-3</v>
      </c>
      <c r="I330">
        <f>VLOOKUP(C330&amp;"|"&amp;D330,rate_tables!$A$32:$B$39,2,FALSE)</f>
        <v>2.5999999999999999E-3</v>
      </c>
      <c r="J330">
        <f t="shared" si="25"/>
        <v>95</v>
      </c>
      <c r="K330">
        <f t="shared" si="26"/>
        <v>40</v>
      </c>
      <c r="L330">
        <f t="shared" si="27"/>
        <v>8.5780499999999993</v>
      </c>
      <c r="M330">
        <f t="shared" si="28"/>
        <v>17.156099999999999</v>
      </c>
      <c r="N330">
        <f t="shared" si="29"/>
        <v>160.73415</v>
      </c>
    </row>
    <row r="331" spans="1:14" x14ac:dyDescent="0.45">
      <c r="A331">
        <v>330</v>
      </c>
      <c r="B331" t="s">
        <v>4</v>
      </c>
      <c r="C331" t="s">
        <v>8</v>
      </c>
      <c r="D331" t="s">
        <v>36</v>
      </c>
      <c r="E331">
        <v>64948</v>
      </c>
      <c r="F331">
        <f>VLOOKUP(C331&amp;"|"&amp;B331,rate_tables!$A$3:$B$8,2,FALSE)</f>
        <v>85</v>
      </c>
      <c r="G331">
        <f>VLOOKUP(C331&amp;"|"&amp;B331,rate_tables!$A$12:$B$17,2,FALSE)</f>
        <v>35</v>
      </c>
      <c r="H331">
        <f>VLOOKUP(C331&amp;"|"&amp;D331,rate_tables!$A$21:$B$28,2,FALSE)</f>
        <v>1E-3</v>
      </c>
      <c r="I331">
        <f>VLOOKUP(C331&amp;"|"&amp;D331,rate_tables!$A$32:$B$39,2,FALSE)</f>
        <v>2E-3</v>
      </c>
      <c r="J331">
        <f t="shared" si="25"/>
        <v>85</v>
      </c>
      <c r="K331">
        <f t="shared" si="26"/>
        <v>35</v>
      </c>
      <c r="L331">
        <f t="shared" si="27"/>
        <v>5.4123333333333337</v>
      </c>
      <c r="M331">
        <f t="shared" si="28"/>
        <v>10.824666666666667</v>
      </c>
      <c r="N331">
        <f t="shared" si="29"/>
        <v>136.23699999999999</v>
      </c>
    </row>
    <row r="332" spans="1:14" x14ac:dyDescent="0.45">
      <c r="A332">
        <v>331</v>
      </c>
      <c r="B332" t="s">
        <v>4</v>
      </c>
      <c r="C332" t="s">
        <v>8</v>
      </c>
      <c r="D332" t="s">
        <v>36</v>
      </c>
      <c r="E332">
        <v>113113</v>
      </c>
      <c r="F332">
        <f>VLOOKUP(C332&amp;"|"&amp;B332,rate_tables!$A$3:$B$8,2,FALSE)</f>
        <v>85</v>
      </c>
      <c r="G332">
        <f>VLOOKUP(C332&amp;"|"&amp;B332,rate_tables!$A$12:$B$17,2,FALSE)</f>
        <v>35</v>
      </c>
      <c r="H332">
        <f>VLOOKUP(C332&amp;"|"&amp;D332,rate_tables!$A$21:$B$28,2,FALSE)</f>
        <v>1E-3</v>
      </c>
      <c r="I332">
        <f>VLOOKUP(C332&amp;"|"&amp;D332,rate_tables!$A$32:$B$39,2,FALSE)</f>
        <v>2E-3</v>
      </c>
      <c r="J332">
        <f t="shared" si="25"/>
        <v>85</v>
      </c>
      <c r="K332">
        <f t="shared" si="26"/>
        <v>35</v>
      </c>
      <c r="L332">
        <f t="shared" si="27"/>
        <v>9.4260833333333327</v>
      </c>
      <c r="M332">
        <f t="shared" si="28"/>
        <v>18.852166666666665</v>
      </c>
      <c r="N332">
        <f t="shared" si="29"/>
        <v>148.27825000000001</v>
      </c>
    </row>
    <row r="333" spans="1:14" x14ac:dyDescent="0.45">
      <c r="A333">
        <v>332</v>
      </c>
      <c r="B333" t="s">
        <v>6</v>
      </c>
      <c r="C333" t="s">
        <v>9</v>
      </c>
      <c r="D333" t="s">
        <v>35</v>
      </c>
      <c r="E333">
        <v>63443</v>
      </c>
      <c r="F333">
        <f>VLOOKUP(C333&amp;"|"&amp;B333,rate_tables!$A$3:$B$8,2,FALSE)</f>
        <v>98</v>
      </c>
      <c r="G333">
        <f>VLOOKUP(C333&amp;"|"&amp;B333,rate_tables!$A$12:$B$17,2,FALSE)</f>
        <v>41</v>
      </c>
      <c r="H333">
        <f>VLOOKUP(C333&amp;"|"&amp;D333,rate_tables!$A$21:$B$28,2,FALSE)</f>
        <v>1E-3</v>
      </c>
      <c r="I333">
        <f>VLOOKUP(C333&amp;"|"&amp;D333,rate_tables!$A$32:$B$39,2,FALSE)</f>
        <v>2E-3</v>
      </c>
      <c r="J333">
        <f t="shared" si="25"/>
        <v>98</v>
      </c>
      <c r="K333">
        <f t="shared" si="26"/>
        <v>41</v>
      </c>
      <c r="L333">
        <f t="shared" si="27"/>
        <v>5.2869166666666665</v>
      </c>
      <c r="M333">
        <f t="shared" si="28"/>
        <v>10.573833333333333</v>
      </c>
      <c r="N333">
        <f t="shared" si="29"/>
        <v>154.86075</v>
      </c>
    </row>
    <row r="334" spans="1:14" x14ac:dyDescent="0.45">
      <c r="A334">
        <v>333</v>
      </c>
      <c r="B334" t="s">
        <v>4</v>
      </c>
      <c r="C334" t="s">
        <v>9</v>
      </c>
      <c r="D334" t="s">
        <v>35</v>
      </c>
      <c r="E334">
        <v>51893</v>
      </c>
      <c r="F334">
        <f>VLOOKUP(C334&amp;"|"&amp;B334,rate_tables!$A$3:$B$8,2,FALSE)</f>
        <v>95</v>
      </c>
      <c r="G334">
        <f>VLOOKUP(C334&amp;"|"&amp;B334,rate_tables!$A$12:$B$17,2,FALSE)</f>
        <v>40</v>
      </c>
      <c r="H334">
        <f>VLOOKUP(C334&amp;"|"&amp;D334,rate_tables!$A$21:$B$28,2,FALSE)</f>
        <v>1E-3</v>
      </c>
      <c r="I334">
        <f>VLOOKUP(C334&amp;"|"&amp;D334,rate_tables!$A$32:$B$39,2,FALSE)</f>
        <v>2E-3</v>
      </c>
      <c r="J334">
        <f t="shared" si="25"/>
        <v>95</v>
      </c>
      <c r="K334">
        <f t="shared" si="26"/>
        <v>40</v>
      </c>
      <c r="L334">
        <f t="shared" si="27"/>
        <v>4.324416666666667</v>
      </c>
      <c r="M334">
        <f t="shared" si="28"/>
        <v>8.648833333333334</v>
      </c>
      <c r="N334">
        <f t="shared" si="29"/>
        <v>147.97325000000001</v>
      </c>
    </row>
    <row r="335" spans="1:14" x14ac:dyDescent="0.45">
      <c r="A335">
        <v>334</v>
      </c>
      <c r="B335" t="s">
        <v>4</v>
      </c>
      <c r="C335" t="s">
        <v>9</v>
      </c>
      <c r="D335" t="s">
        <v>37</v>
      </c>
      <c r="E335">
        <v>69687</v>
      </c>
      <c r="F335">
        <f>VLOOKUP(C335&amp;"|"&amp;B335,rate_tables!$A$3:$B$8,2,FALSE)</f>
        <v>95</v>
      </c>
      <c r="G335">
        <f>VLOOKUP(C335&amp;"|"&amp;B335,rate_tables!$A$12:$B$17,2,FALSE)</f>
        <v>40</v>
      </c>
      <c r="H335">
        <f>VLOOKUP(C335&amp;"|"&amp;D335,rate_tables!$A$21:$B$28,2,FALSE)</f>
        <v>1.8E-3</v>
      </c>
      <c r="I335">
        <f>VLOOKUP(C335&amp;"|"&amp;D335,rate_tables!$A$32:$B$39,2,FALSE)</f>
        <v>3.8E-3</v>
      </c>
      <c r="J335">
        <f t="shared" si="25"/>
        <v>95</v>
      </c>
      <c r="K335">
        <f t="shared" si="26"/>
        <v>40</v>
      </c>
      <c r="L335">
        <f t="shared" si="27"/>
        <v>10.453049999999999</v>
      </c>
      <c r="M335">
        <f t="shared" si="28"/>
        <v>22.067550000000001</v>
      </c>
      <c r="N335">
        <f t="shared" si="29"/>
        <v>167.5206</v>
      </c>
    </row>
    <row r="336" spans="1:14" x14ac:dyDescent="0.45">
      <c r="A336">
        <v>335</v>
      </c>
      <c r="B336" t="s">
        <v>4</v>
      </c>
      <c r="C336" t="s">
        <v>8</v>
      </c>
      <c r="D336" t="s">
        <v>37</v>
      </c>
      <c r="E336">
        <v>127529</v>
      </c>
      <c r="F336">
        <f>VLOOKUP(C336&amp;"|"&amp;B336,rate_tables!$A$3:$B$8,2,FALSE)</f>
        <v>85</v>
      </c>
      <c r="G336">
        <f>VLOOKUP(C336&amp;"|"&amp;B336,rate_tables!$A$12:$B$17,2,FALSE)</f>
        <v>35</v>
      </c>
      <c r="H336">
        <f>VLOOKUP(C336&amp;"|"&amp;D336,rate_tables!$A$21:$B$28,2,FALSE)</f>
        <v>1.4E-3</v>
      </c>
      <c r="I336">
        <f>VLOOKUP(C336&amp;"|"&amp;D336,rate_tables!$A$32:$B$39,2,FALSE)</f>
        <v>3.0000000000000001E-3</v>
      </c>
      <c r="J336">
        <f t="shared" si="25"/>
        <v>85</v>
      </c>
      <c r="K336">
        <f t="shared" si="26"/>
        <v>35</v>
      </c>
      <c r="L336">
        <f t="shared" si="27"/>
        <v>14.878383333333334</v>
      </c>
      <c r="M336">
        <f t="shared" si="28"/>
        <v>31.882249999999999</v>
      </c>
      <c r="N336">
        <f t="shared" si="29"/>
        <v>166.76063333333335</v>
      </c>
    </row>
    <row r="337" spans="1:14" x14ac:dyDescent="0.45">
      <c r="A337">
        <v>336</v>
      </c>
      <c r="B337" t="s">
        <v>4</v>
      </c>
      <c r="C337" t="s">
        <v>8</v>
      </c>
      <c r="D337" t="s">
        <v>35</v>
      </c>
      <c r="E337">
        <v>55527</v>
      </c>
      <c r="F337">
        <f>VLOOKUP(C337&amp;"|"&amp;B337,rate_tables!$A$3:$B$8,2,FALSE)</f>
        <v>85</v>
      </c>
      <c r="G337">
        <f>VLOOKUP(C337&amp;"|"&amp;B337,rate_tables!$A$12:$B$17,2,FALSE)</f>
        <v>35</v>
      </c>
      <c r="H337">
        <f>VLOOKUP(C337&amp;"|"&amp;D337,rate_tables!$A$21:$B$28,2,FALSE)</f>
        <v>8.0000000000000004E-4</v>
      </c>
      <c r="I337">
        <f>VLOOKUP(C337&amp;"|"&amp;D337,rate_tables!$A$32:$B$39,2,FALSE)</f>
        <v>1.6000000000000001E-3</v>
      </c>
      <c r="J337">
        <f t="shared" si="25"/>
        <v>85</v>
      </c>
      <c r="K337">
        <f t="shared" si="26"/>
        <v>35</v>
      </c>
      <c r="L337">
        <f t="shared" si="27"/>
        <v>3.7018000000000004</v>
      </c>
      <c r="M337">
        <f t="shared" si="28"/>
        <v>7.4036000000000008</v>
      </c>
      <c r="N337">
        <f t="shared" si="29"/>
        <v>131.1054</v>
      </c>
    </row>
    <row r="338" spans="1:14" x14ac:dyDescent="0.45">
      <c r="A338">
        <v>337</v>
      </c>
      <c r="B338" t="s">
        <v>4</v>
      </c>
      <c r="C338" t="s">
        <v>8</v>
      </c>
      <c r="D338" t="s">
        <v>36</v>
      </c>
      <c r="E338">
        <v>106094</v>
      </c>
      <c r="F338">
        <f>VLOOKUP(C338&amp;"|"&amp;B338,rate_tables!$A$3:$B$8,2,FALSE)</f>
        <v>85</v>
      </c>
      <c r="G338">
        <f>VLOOKUP(C338&amp;"|"&amp;B338,rate_tables!$A$12:$B$17,2,FALSE)</f>
        <v>35</v>
      </c>
      <c r="H338">
        <f>VLOOKUP(C338&amp;"|"&amp;D338,rate_tables!$A$21:$B$28,2,FALSE)</f>
        <v>1E-3</v>
      </c>
      <c r="I338">
        <f>VLOOKUP(C338&amp;"|"&amp;D338,rate_tables!$A$32:$B$39,2,FALSE)</f>
        <v>2E-3</v>
      </c>
      <c r="J338">
        <f t="shared" si="25"/>
        <v>85</v>
      </c>
      <c r="K338">
        <f t="shared" si="26"/>
        <v>35</v>
      </c>
      <c r="L338">
        <f t="shared" si="27"/>
        <v>8.841166666666668</v>
      </c>
      <c r="M338">
        <f t="shared" si="28"/>
        <v>17.682333333333336</v>
      </c>
      <c r="N338">
        <f t="shared" si="29"/>
        <v>146.52350000000001</v>
      </c>
    </row>
    <row r="339" spans="1:14" x14ac:dyDescent="0.45">
      <c r="A339">
        <v>338</v>
      </c>
      <c r="B339" t="s">
        <v>6</v>
      </c>
      <c r="C339" t="s">
        <v>8</v>
      </c>
      <c r="D339" t="s">
        <v>36</v>
      </c>
      <c r="E339">
        <v>53467</v>
      </c>
      <c r="F339">
        <f>VLOOKUP(C339&amp;"|"&amp;B339,rate_tables!$A$3:$B$8,2,FALSE)</f>
        <v>88</v>
      </c>
      <c r="G339">
        <f>VLOOKUP(C339&amp;"|"&amp;B339,rate_tables!$A$12:$B$17,2,FALSE)</f>
        <v>36</v>
      </c>
      <c r="H339">
        <f>VLOOKUP(C339&amp;"|"&amp;D339,rate_tables!$A$21:$B$28,2,FALSE)</f>
        <v>1E-3</v>
      </c>
      <c r="I339">
        <f>VLOOKUP(C339&amp;"|"&amp;D339,rate_tables!$A$32:$B$39,2,FALSE)</f>
        <v>2E-3</v>
      </c>
      <c r="J339">
        <f t="shared" si="25"/>
        <v>88</v>
      </c>
      <c r="K339">
        <f t="shared" si="26"/>
        <v>36</v>
      </c>
      <c r="L339">
        <f t="shared" si="27"/>
        <v>4.4555833333333332</v>
      </c>
      <c r="M339">
        <f t="shared" si="28"/>
        <v>8.9111666666666665</v>
      </c>
      <c r="N339">
        <f t="shared" si="29"/>
        <v>137.36675</v>
      </c>
    </row>
    <row r="340" spans="1:14" x14ac:dyDescent="0.45">
      <c r="A340">
        <v>339</v>
      </c>
      <c r="B340" t="s">
        <v>5</v>
      </c>
      <c r="C340" t="s">
        <v>8</v>
      </c>
      <c r="D340" t="s">
        <v>36</v>
      </c>
      <c r="E340">
        <v>98565</v>
      </c>
      <c r="F340">
        <f>VLOOKUP(C340&amp;"|"&amp;B340,rate_tables!$A$3:$B$8,2,FALSE)</f>
        <v>90</v>
      </c>
      <c r="G340">
        <f>VLOOKUP(C340&amp;"|"&amp;B340,rate_tables!$A$12:$B$17,2,FALSE)</f>
        <v>37</v>
      </c>
      <c r="H340">
        <f>VLOOKUP(C340&amp;"|"&amp;D340,rate_tables!$A$21:$B$28,2,FALSE)</f>
        <v>1E-3</v>
      </c>
      <c r="I340">
        <f>VLOOKUP(C340&amp;"|"&amp;D340,rate_tables!$A$32:$B$39,2,FALSE)</f>
        <v>2E-3</v>
      </c>
      <c r="J340">
        <f t="shared" si="25"/>
        <v>90</v>
      </c>
      <c r="K340">
        <f t="shared" si="26"/>
        <v>37</v>
      </c>
      <c r="L340">
        <f t="shared" si="27"/>
        <v>8.2137499999999992</v>
      </c>
      <c r="M340">
        <f t="shared" si="28"/>
        <v>16.427499999999998</v>
      </c>
      <c r="N340">
        <f t="shared" si="29"/>
        <v>151.64125000000001</v>
      </c>
    </row>
    <row r="341" spans="1:14" x14ac:dyDescent="0.45">
      <c r="A341">
        <v>340</v>
      </c>
      <c r="B341" t="s">
        <v>5</v>
      </c>
      <c r="C341" t="s">
        <v>8</v>
      </c>
      <c r="D341" t="s">
        <v>36</v>
      </c>
      <c r="E341">
        <v>67825</v>
      </c>
      <c r="F341">
        <f>VLOOKUP(C341&amp;"|"&amp;B341,rate_tables!$A$3:$B$8,2,FALSE)</f>
        <v>90</v>
      </c>
      <c r="G341">
        <f>VLOOKUP(C341&amp;"|"&amp;B341,rate_tables!$A$12:$B$17,2,FALSE)</f>
        <v>37</v>
      </c>
      <c r="H341">
        <f>VLOOKUP(C341&amp;"|"&amp;D341,rate_tables!$A$21:$B$28,2,FALSE)</f>
        <v>1E-3</v>
      </c>
      <c r="I341">
        <f>VLOOKUP(C341&amp;"|"&amp;D341,rate_tables!$A$32:$B$39,2,FALSE)</f>
        <v>2E-3</v>
      </c>
      <c r="J341">
        <f t="shared" si="25"/>
        <v>90</v>
      </c>
      <c r="K341">
        <f t="shared" si="26"/>
        <v>37</v>
      </c>
      <c r="L341">
        <f t="shared" si="27"/>
        <v>5.6520833333333336</v>
      </c>
      <c r="M341">
        <f t="shared" si="28"/>
        <v>11.304166666666667</v>
      </c>
      <c r="N341">
        <f t="shared" si="29"/>
        <v>143.95625000000001</v>
      </c>
    </row>
    <row r="342" spans="1:14" x14ac:dyDescent="0.45">
      <c r="A342">
        <v>341</v>
      </c>
      <c r="B342" t="s">
        <v>4</v>
      </c>
      <c r="C342" t="s">
        <v>8</v>
      </c>
      <c r="D342" t="s">
        <v>36</v>
      </c>
      <c r="E342">
        <v>127400</v>
      </c>
      <c r="F342">
        <f>VLOOKUP(C342&amp;"|"&amp;B342,rate_tables!$A$3:$B$8,2,FALSE)</f>
        <v>85</v>
      </c>
      <c r="G342">
        <f>VLOOKUP(C342&amp;"|"&amp;B342,rate_tables!$A$12:$B$17,2,FALSE)</f>
        <v>35</v>
      </c>
      <c r="H342">
        <f>VLOOKUP(C342&amp;"|"&amp;D342,rate_tables!$A$21:$B$28,2,FALSE)</f>
        <v>1E-3</v>
      </c>
      <c r="I342">
        <f>VLOOKUP(C342&amp;"|"&amp;D342,rate_tables!$A$32:$B$39,2,FALSE)</f>
        <v>2E-3</v>
      </c>
      <c r="J342">
        <f t="shared" si="25"/>
        <v>85</v>
      </c>
      <c r="K342">
        <f t="shared" si="26"/>
        <v>35</v>
      </c>
      <c r="L342">
        <f t="shared" si="27"/>
        <v>10.616666666666667</v>
      </c>
      <c r="M342">
        <f t="shared" si="28"/>
        <v>21.233333333333334</v>
      </c>
      <c r="N342">
        <f t="shared" si="29"/>
        <v>151.85000000000002</v>
      </c>
    </row>
    <row r="343" spans="1:14" x14ac:dyDescent="0.45">
      <c r="A343">
        <v>342</v>
      </c>
      <c r="B343" t="s">
        <v>4</v>
      </c>
      <c r="C343" t="s">
        <v>9</v>
      </c>
      <c r="D343" t="s">
        <v>37</v>
      </c>
      <c r="E343">
        <v>75225</v>
      </c>
      <c r="F343">
        <f>VLOOKUP(C343&amp;"|"&amp;B343,rate_tables!$A$3:$B$8,2,FALSE)</f>
        <v>95</v>
      </c>
      <c r="G343">
        <f>VLOOKUP(C343&amp;"|"&amp;B343,rate_tables!$A$12:$B$17,2,FALSE)</f>
        <v>40</v>
      </c>
      <c r="H343">
        <f>VLOOKUP(C343&amp;"|"&amp;D343,rate_tables!$A$21:$B$28,2,FALSE)</f>
        <v>1.8E-3</v>
      </c>
      <c r="I343">
        <f>VLOOKUP(C343&amp;"|"&amp;D343,rate_tables!$A$32:$B$39,2,FALSE)</f>
        <v>3.8E-3</v>
      </c>
      <c r="J343">
        <f t="shared" si="25"/>
        <v>95</v>
      </c>
      <c r="K343">
        <f t="shared" si="26"/>
        <v>40</v>
      </c>
      <c r="L343">
        <f t="shared" si="27"/>
        <v>11.28375</v>
      </c>
      <c r="M343">
        <f t="shared" si="28"/>
        <v>23.821250000000003</v>
      </c>
      <c r="N343">
        <f t="shared" si="29"/>
        <v>170.10499999999999</v>
      </c>
    </row>
    <row r="344" spans="1:14" x14ac:dyDescent="0.45">
      <c r="A344">
        <v>343</v>
      </c>
      <c r="B344" t="s">
        <v>6</v>
      </c>
      <c r="C344" t="s">
        <v>8</v>
      </c>
      <c r="D344" t="s">
        <v>35</v>
      </c>
      <c r="E344">
        <v>126964</v>
      </c>
      <c r="F344">
        <f>VLOOKUP(C344&amp;"|"&amp;B344,rate_tables!$A$3:$B$8,2,FALSE)</f>
        <v>88</v>
      </c>
      <c r="G344">
        <f>VLOOKUP(C344&amp;"|"&amp;B344,rate_tables!$A$12:$B$17,2,FALSE)</f>
        <v>36</v>
      </c>
      <c r="H344">
        <f>VLOOKUP(C344&amp;"|"&amp;D344,rate_tables!$A$21:$B$28,2,FALSE)</f>
        <v>8.0000000000000004E-4</v>
      </c>
      <c r="I344">
        <f>VLOOKUP(C344&amp;"|"&amp;D344,rate_tables!$A$32:$B$39,2,FALSE)</f>
        <v>1.6000000000000001E-3</v>
      </c>
      <c r="J344">
        <f t="shared" si="25"/>
        <v>88</v>
      </c>
      <c r="K344">
        <f t="shared" si="26"/>
        <v>36</v>
      </c>
      <c r="L344">
        <f t="shared" si="27"/>
        <v>8.464266666666667</v>
      </c>
      <c r="M344">
        <f t="shared" si="28"/>
        <v>16.928533333333334</v>
      </c>
      <c r="N344">
        <f t="shared" si="29"/>
        <v>149.39280000000002</v>
      </c>
    </row>
    <row r="345" spans="1:14" x14ac:dyDescent="0.45">
      <c r="A345">
        <v>344</v>
      </c>
      <c r="B345" t="s">
        <v>4</v>
      </c>
      <c r="C345" t="s">
        <v>8</v>
      </c>
      <c r="D345" t="s">
        <v>37</v>
      </c>
      <c r="E345">
        <v>80271</v>
      </c>
      <c r="F345">
        <f>VLOOKUP(C345&amp;"|"&amp;B345,rate_tables!$A$3:$B$8,2,FALSE)</f>
        <v>85</v>
      </c>
      <c r="G345">
        <f>VLOOKUP(C345&amp;"|"&amp;B345,rate_tables!$A$12:$B$17,2,FALSE)</f>
        <v>35</v>
      </c>
      <c r="H345">
        <f>VLOOKUP(C345&amp;"|"&amp;D345,rate_tables!$A$21:$B$28,2,FALSE)</f>
        <v>1.4E-3</v>
      </c>
      <c r="I345">
        <f>VLOOKUP(C345&amp;"|"&amp;D345,rate_tables!$A$32:$B$39,2,FALSE)</f>
        <v>3.0000000000000001E-3</v>
      </c>
      <c r="J345">
        <f t="shared" si="25"/>
        <v>85</v>
      </c>
      <c r="K345">
        <f t="shared" si="26"/>
        <v>35</v>
      </c>
      <c r="L345">
        <f t="shared" si="27"/>
        <v>9.3649500000000003</v>
      </c>
      <c r="M345">
        <f t="shared" si="28"/>
        <v>20.06775</v>
      </c>
      <c r="N345">
        <f t="shared" si="29"/>
        <v>149.43269999999998</v>
      </c>
    </row>
    <row r="346" spans="1:14" x14ac:dyDescent="0.45">
      <c r="A346">
        <v>345</v>
      </c>
      <c r="B346" t="s">
        <v>6</v>
      </c>
      <c r="C346" t="s">
        <v>9</v>
      </c>
      <c r="D346" t="s">
        <v>38</v>
      </c>
      <c r="E346">
        <v>49181</v>
      </c>
      <c r="F346">
        <f>VLOOKUP(C346&amp;"|"&amp;B346,rate_tables!$A$3:$B$8,2,FALSE)</f>
        <v>98</v>
      </c>
      <c r="G346">
        <f>VLOOKUP(C346&amp;"|"&amp;B346,rate_tables!$A$12:$B$17,2,FALSE)</f>
        <v>41</v>
      </c>
      <c r="H346">
        <f>VLOOKUP(C346&amp;"|"&amp;D346,rate_tables!$A$21:$B$28,2,FALSE)</f>
        <v>2.5999999999999999E-3</v>
      </c>
      <c r="I346">
        <f>VLOOKUP(C346&amp;"|"&amp;D346,rate_tables!$A$32:$B$39,2,FALSE)</f>
        <v>5.5999999999999999E-3</v>
      </c>
      <c r="J346">
        <f t="shared" si="25"/>
        <v>98</v>
      </c>
      <c r="K346">
        <f t="shared" si="26"/>
        <v>41</v>
      </c>
      <c r="L346">
        <f t="shared" si="27"/>
        <v>10.655883333333334</v>
      </c>
      <c r="M346">
        <f t="shared" si="28"/>
        <v>22.951133333333331</v>
      </c>
      <c r="N346">
        <f t="shared" si="29"/>
        <v>172.60701666666665</v>
      </c>
    </row>
    <row r="347" spans="1:14" x14ac:dyDescent="0.45">
      <c r="A347">
        <v>346</v>
      </c>
      <c r="B347" t="s">
        <v>4</v>
      </c>
      <c r="C347" t="s">
        <v>8</v>
      </c>
      <c r="D347" t="s">
        <v>37</v>
      </c>
      <c r="E347">
        <v>92840</v>
      </c>
      <c r="F347">
        <f>VLOOKUP(C347&amp;"|"&amp;B347,rate_tables!$A$3:$B$8,2,FALSE)</f>
        <v>85</v>
      </c>
      <c r="G347">
        <f>VLOOKUP(C347&amp;"|"&amp;B347,rate_tables!$A$12:$B$17,2,FALSE)</f>
        <v>35</v>
      </c>
      <c r="H347">
        <f>VLOOKUP(C347&amp;"|"&amp;D347,rate_tables!$A$21:$B$28,2,FALSE)</f>
        <v>1.4E-3</v>
      </c>
      <c r="I347">
        <f>VLOOKUP(C347&amp;"|"&amp;D347,rate_tables!$A$32:$B$39,2,FALSE)</f>
        <v>3.0000000000000001E-3</v>
      </c>
      <c r="J347">
        <f t="shared" si="25"/>
        <v>85</v>
      </c>
      <c r="K347">
        <f t="shared" si="26"/>
        <v>35</v>
      </c>
      <c r="L347">
        <f t="shared" si="27"/>
        <v>10.831333333333333</v>
      </c>
      <c r="M347">
        <f t="shared" si="28"/>
        <v>23.209999999999997</v>
      </c>
      <c r="N347">
        <f t="shared" si="29"/>
        <v>154.04133333333334</v>
      </c>
    </row>
    <row r="348" spans="1:14" x14ac:dyDescent="0.45">
      <c r="A348">
        <v>347</v>
      </c>
      <c r="B348" t="s">
        <v>6</v>
      </c>
      <c r="C348" t="s">
        <v>8</v>
      </c>
      <c r="D348" t="s">
        <v>35</v>
      </c>
      <c r="E348">
        <v>90139</v>
      </c>
      <c r="F348">
        <f>VLOOKUP(C348&amp;"|"&amp;B348,rate_tables!$A$3:$B$8,2,FALSE)</f>
        <v>88</v>
      </c>
      <c r="G348">
        <f>VLOOKUP(C348&amp;"|"&amp;B348,rate_tables!$A$12:$B$17,2,FALSE)</f>
        <v>36</v>
      </c>
      <c r="H348">
        <f>VLOOKUP(C348&amp;"|"&amp;D348,rate_tables!$A$21:$B$28,2,FALSE)</f>
        <v>8.0000000000000004E-4</v>
      </c>
      <c r="I348">
        <f>VLOOKUP(C348&amp;"|"&amp;D348,rate_tables!$A$32:$B$39,2,FALSE)</f>
        <v>1.6000000000000001E-3</v>
      </c>
      <c r="J348">
        <f t="shared" si="25"/>
        <v>88</v>
      </c>
      <c r="K348">
        <f t="shared" si="26"/>
        <v>36</v>
      </c>
      <c r="L348">
        <f t="shared" si="27"/>
        <v>6.0092666666666661</v>
      </c>
      <c r="M348">
        <f t="shared" si="28"/>
        <v>12.018533333333332</v>
      </c>
      <c r="N348">
        <f t="shared" si="29"/>
        <v>142.02779999999998</v>
      </c>
    </row>
    <row r="349" spans="1:14" x14ac:dyDescent="0.45">
      <c r="A349">
        <v>348</v>
      </c>
      <c r="B349" t="s">
        <v>4</v>
      </c>
      <c r="C349" t="s">
        <v>8</v>
      </c>
      <c r="D349" t="s">
        <v>36</v>
      </c>
      <c r="E349">
        <v>79955</v>
      </c>
      <c r="F349">
        <f>VLOOKUP(C349&amp;"|"&amp;B349,rate_tables!$A$3:$B$8,2,FALSE)</f>
        <v>85</v>
      </c>
      <c r="G349">
        <f>VLOOKUP(C349&amp;"|"&amp;B349,rate_tables!$A$12:$B$17,2,FALSE)</f>
        <v>35</v>
      </c>
      <c r="H349">
        <f>VLOOKUP(C349&amp;"|"&amp;D349,rate_tables!$A$21:$B$28,2,FALSE)</f>
        <v>1E-3</v>
      </c>
      <c r="I349">
        <f>VLOOKUP(C349&amp;"|"&amp;D349,rate_tables!$A$32:$B$39,2,FALSE)</f>
        <v>2E-3</v>
      </c>
      <c r="J349">
        <f t="shared" si="25"/>
        <v>85</v>
      </c>
      <c r="K349">
        <f t="shared" si="26"/>
        <v>35</v>
      </c>
      <c r="L349">
        <f t="shared" si="27"/>
        <v>6.6629166666666668</v>
      </c>
      <c r="M349">
        <f t="shared" si="28"/>
        <v>13.325833333333334</v>
      </c>
      <c r="N349">
        <f t="shared" si="29"/>
        <v>139.98874999999998</v>
      </c>
    </row>
    <row r="350" spans="1:14" x14ac:dyDescent="0.45">
      <c r="A350">
        <v>349</v>
      </c>
      <c r="B350" t="s">
        <v>4</v>
      </c>
      <c r="C350" t="s">
        <v>8</v>
      </c>
      <c r="D350" t="s">
        <v>38</v>
      </c>
      <c r="E350">
        <v>111883</v>
      </c>
      <c r="F350">
        <f>VLOOKUP(C350&amp;"|"&amp;B350,rate_tables!$A$3:$B$8,2,FALSE)</f>
        <v>85</v>
      </c>
      <c r="G350">
        <f>VLOOKUP(C350&amp;"|"&amp;B350,rate_tables!$A$12:$B$17,2,FALSE)</f>
        <v>35</v>
      </c>
      <c r="H350">
        <f>VLOOKUP(C350&amp;"|"&amp;D350,rate_tables!$A$21:$B$28,2,FALSE)</f>
        <v>2E-3</v>
      </c>
      <c r="I350">
        <f>VLOOKUP(C350&amp;"|"&amp;D350,rate_tables!$A$32:$B$39,2,FALSE)</f>
        <v>4.4000000000000003E-3</v>
      </c>
      <c r="J350">
        <f t="shared" si="25"/>
        <v>85</v>
      </c>
      <c r="K350">
        <f t="shared" si="26"/>
        <v>35</v>
      </c>
      <c r="L350">
        <f t="shared" si="27"/>
        <v>18.647166666666667</v>
      </c>
      <c r="M350">
        <f t="shared" si="28"/>
        <v>41.023766666666667</v>
      </c>
      <c r="N350">
        <f t="shared" si="29"/>
        <v>179.67093333333332</v>
      </c>
    </row>
    <row r="351" spans="1:14" x14ac:dyDescent="0.45">
      <c r="A351">
        <v>350</v>
      </c>
      <c r="B351" t="s">
        <v>4</v>
      </c>
      <c r="C351" t="s">
        <v>8</v>
      </c>
      <c r="D351" t="s">
        <v>38</v>
      </c>
      <c r="E351">
        <v>62970</v>
      </c>
      <c r="F351">
        <f>VLOOKUP(C351&amp;"|"&amp;B351,rate_tables!$A$3:$B$8,2,FALSE)</f>
        <v>85</v>
      </c>
      <c r="G351">
        <f>VLOOKUP(C351&amp;"|"&amp;B351,rate_tables!$A$12:$B$17,2,FALSE)</f>
        <v>35</v>
      </c>
      <c r="H351">
        <f>VLOOKUP(C351&amp;"|"&amp;D351,rate_tables!$A$21:$B$28,2,FALSE)</f>
        <v>2E-3</v>
      </c>
      <c r="I351">
        <f>VLOOKUP(C351&amp;"|"&amp;D351,rate_tables!$A$32:$B$39,2,FALSE)</f>
        <v>4.4000000000000003E-3</v>
      </c>
      <c r="J351">
        <f t="shared" si="25"/>
        <v>85</v>
      </c>
      <c r="K351">
        <f t="shared" si="26"/>
        <v>35</v>
      </c>
      <c r="L351">
        <f t="shared" si="27"/>
        <v>10.494999999999999</v>
      </c>
      <c r="M351">
        <f t="shared" si="28"/>
        <v>23.089000000000002</v>
      </c>
      <c r="N351">
        <f t="shared" si="29"/>
        <v>153.584</v>
      </c>
    </row>
    <row r="352" spans="1:14" x14ac:dyDescent="0.45">
      <c r="A352">
        <v>351</v>
      </c>
      <c r="B352" t="s">
        <v>4</v>
      </c>
      <c r="C352" t="s">
        <v>8</v>
      </c>
      <c r="D352" t="s">
        <v>37</v>
      </c>
      <c r="E352">
        <v>50204</v>
      </c>
      <c r="F352">
        <f>VLOOKUP(C352&amp;"|"&amp;B352,rate_tables!$A$3:$B$8,2,FALSE)</f>
        <v>85</v>
      </c>
      <c r="G352">
        <f>VLOOKUP(C352&amp;"|"&amp;B352,rate_tables!$A$12:$B$17,2,FALSE)</f>
        <v>35</v>
      </c>
      <c r="H352">
        <f>VLOOKUP(C352&amp;"|"&amp;D352,rate_tables!$A$21:$B$28,2,FALSE)</f>
        <v>1.4E-3</v>
      </c>
      <c r="I352">
        <f>VLOOKUP(C352&amp;"|"&amp;D352,rate_tables!$A$32:$B$39,2,FALSE)</f>
        <v>3.0000000000000001E-3</v>
      </c>
      <c r="J352">
        <f t="shared" si="25"/>
        <v>85</v>
      </c>
      <c r="K352">
        <f t="shared" si="26"/>
        <v>35</v>
      </c>
      <c r="L352">
        <f t="shared" si="27"/>
        <v>5.8571333333333335</v>
      </c>
      <c r="M352">
        <f t="shared" si="28"/>
        <v>12.551</v>
      </c>
      <c r="N352">
        <f t="shared" si="29"/>
        <v>138.40813333333332</v>
      </c>
    </row>
    <row r="353" spans="1:14" x14ac:dyDescent="0.45">
      <c r="A353">
        <v>352</v>
      </c>
      <c r="B353" t="s">
        <v>6</v>
      </c>
      <c r="C353" t="s">
        <v>8</v>
      </c>
      <c r="D353" t="s">
        <v>38</v>
      </c>
      <c r="E353">
        <v>50579</v>
      </c>
      <c r="F353">
        <f>VLOOKUP(C353&amp;"|"&amp;B353,rate_tables!$A$3:$B$8,2,FALSE)</f>
        <v>88</v>
      </c>
      <c r="G353">
        <f>VLOOKUP(C353&amp;"|"&amp;B353,rate_tables!$A$12:$B$17,2,FALSE)</f>
        <v>36</v>
      </c>
      <c r="H353">
        <f>VLOOKUP(C353&amp;"|"&amp;D353,rate_tables!$A$21:$B$28,2,FALSE)</f>
        <v>2E-3</v>
      </c>
      <c r="I353">
        <f>VLOOKUP(C353&amp;"|"&amp;D353,rate_tables!$A$32:$B$39,2,FALSE)</f>
        <v>4.4000000000000003E-3</v>
      </c>
      <c r="J353">
        <f t="shared" si="25"/>
        <v>88</v>
      </c>
      <c r="K353">
        <f t="shared" si="26"/>
        <v>36</v>
      </c>
      <c r="L353">
        <f t="shared" si="27"/>
        <v>8.4298333333333328</v>
      </c>
      <c r="M353">
        <f t="shared" si="28"/>
        <v>18.545633333333335</v>
      </c>
      <c r="N353">
        <f t="shared" si="29"/>
        <v>150.97546666666668</v>
      </c>
    </row>
    <row r="354" spans="1:14" x14ac:dyDescent="0.45">
      <c r="A354">
        <v>353</v>
      </c>
      <c r="B354" t="s">
        <v>4</v>
      </c>
      <c r="C354" t="s">
        <v>8</v>
      </c>
      <c r="D354" t="s">
        <v>35</v>
      </c>
      <c r="E354">
        <v>109598</v>
      </c>
      <c r="F354">
        <f>VLOOKUP(C354&amp;"|"&amp;B354,rate_tables!$A$3:$B$8,2,FALSE)</f>
        <v>85</v>
      </c>
      <c r="G354">
        <f>VLOOKUP(C354&amp;"|"&amp;B354,rate_tables!$A$12:$B$17,2,FALSE)</f>
        <v>35</v>
      </c>
      <c r="H354">
        <f>VLOOKUP(C354&amp;"|"&amp;D354,rate_tables!$A$21:$B$28,2,FALSE)</f>
        <v>8.0000000000000004E-4</v>
      </c>
      <c r="I354">
        <f>VLOOKUP(C354&amp;"|"&amp;D354,rate_tables!$A$32:$B$39,2,FALSE)</f>
        <v>1.6000000000000001E-3</v>
      </c>
      <c r="J354">
        <f t="shared" si="25"/>
        <v>85</v>
      </c>
      <c r="K354">
        <f t="shared" si="26"/>
        <v>35</v>
      </c>
      <c r="L354">
        <f t="shared" si="27"/>
        <v>7.3065333333333342</v>
      </c>
      <c r="M354">
        <f t="shared" si="28"/>
        <v>14.613066666666668</v>
      </c>
      <c r="N354">
        <f t="shared" si="29"/>
        <v>141.9196</v>
      </c>
    </row>
    <row r="355" spans="1:14" x14ac:dyDescent="0.45">
      <c r="A355">
        <v>354</v>
      </c>
      <c r="B355" t="s">
        <v>4</v>
      </c>
      <c r="C355" t="s">
        <v>9</v>
      </c>
      <c r="D355" t="s">
        <v>36</v>
      </c>
      <c r="E355">
        <v>70287</v>
      </c>
      <c r="F355">
        <f>VLOOKUP(C355&amp;"|"&amp;B355,rate_tables!$A$3:$B$8,2,FALSE)</f>
        <v>95</v>
      </c>
      <c r="G355">
        <f>VLOOKUP(C355&amp;"|"&amp;B355,rate_tables!$A$12:$B$17,2,FALSE)</f>
        <v>40</v>
      </c>
      <c r="H355">
        <f>VLOOKUP(C355&amp;"|"&amp;D355,rate_tables!$A$21:$B$28,2,FALSE)</f>
        <v>1.2999999999999999E-3</v>
      </c>
      <c r="I355">
        <f>VLOOKUP(C355&amp;"|"&amp;D355,rate_tables!$A$32:$B$39,2,FALSE)</f>
        <v>2.5999999999999999E-3</v>
      </c>
      <c r="J355">
        <f t="shared" si="25"/>
        <v>95</v>
      </c>
      <c r="K355">
        <f t="shared" si="26"/>
        <v>40</v>
      </c>
      <c r="L355">
        <f t="shared" si="27"/>
        <v>7.6144249999999998</v>
      </c>
      <c r="M355">
        <f t="shared" si="28"/>
        <v>15.22885</v>
      </c>
      <c r="N355">
        <f t="shared" si="29"/>
        <v>157.84327500000001</v>
      </c>
    </row>
    <row r="356" spans="1:14" x14ac:dyDescent="0.45">
      <c r="A356">
        <v>355</v>
      </c>
      <c r="B356" t="s">
        <v>5</v>
      </c>
      <c r="C356" t="s">
        <v>8</v>
      </c>
      <c r="D356" t="s">
        <v>37</v>
      </c>
      <c r="E356">
        <v>117665</v>
      </c>
      <c r="F356">
        <f>VLOOKUP(C356&amp;"|"&amp;B356,rate_tables!$A$3:$B$8,2,FALSE)</f>
        <v>90</v>
      </c>
      <c r="G356">
        <f>VLOOKUP(C356&amp;"|"&amp;B356,rate_tables!$A$12:$B$17,2,FALSE)</f>
        <v>37</v>
      </c>
      <c r="H356">
        <f>VLOOKUP(C356&amp;"|"&amp;D356,rate_tables!$A$21:$B$28,2,FALSE)</f>
        <v>1.4E-3</v>
      </c>
      <c r="I356">
        <f>VLOOKUP(C356&amp;"|"&amp;D356,rate_tables!$A$32:$B$39,2,FALSE)</f>
        <v>3.0000000000000001E-3</v>
      </c>
      <c r="J356">
        <f t="shared" si="25"/>
        <v>90</v>
      </c>
      <c r="K356">
        <f t="shared" si="26"/>
        <v>37</v>
      </c>
      <c r="L356">
        <f t="shared" si="27"/>
        <v>13.727583333333333</v>
      </c>
      <c r="M356">
        <f t="shared" si="28"/>
        <v>29.416250000000002</v>
      </c>
      <c r="N356">
        <f t="shared" si="29"/>
        <v>170.14383333333333</v>
      </c>
    </row>
    <row r="357" spans="1:14" x14ac:dyDescent="0.45">
      <c r="A357">
        <v>356</v>
      </c>
      <c r="B357" t="s">
        <v>5</v>
      </c>
      <c r="C357" t="s">
        <v>8</v>
      </c>
      <c r="D357" t="s">
        <v>38</v>
      </c>
      <c r="E357">
        <v>94222</v>
      </c>
      <c r="F357">
        <f>VLOOKUP(C357&amp;"|"&amp;B357,rate_tables!$A$3:$B$8,2,FALSE)</f>
        <v>90</v>
      </c>
      <c r="G357">
        <f>VLOOKUP(C357&amp;"|"&amp;B357,rate_tables!$A$12:$B$17,2,FALSE)</f>
        <v>37</v>
      </c>
      <c r="H357">
        <f>VLOOKUP(C357&amp;"|"&amp;D357,rate_tables!$A$21:$B$28,2,FALSE)</f>
        <v>2E-3</v>
      </c>
      <c r="I357">
        <f>VLOOKUP(C357&amp;"|"&amp;D357,rate_tables!$A$32:$B$39,2,FALSE)</f>
        <v>4.4000000000000003E-3</v>
      </c>
      <c r="J357">
        <f t="shared" si="25"/>
        <v>90</v>
      </c>
      <c r="K357">
        <f t="shared" si="26"/>
        <v>37</v>
      </c>
      <c r="L357">
        <f t="shared" si="27"/>
        <v>15.703666666666669</v>
      </c>
      <c r="M357">
        <f t="shared" si="28"/>
        <v>34.548066666666671</v>
      </c>
      <c r="N357">
        <f t="shared" si="29"/>
        <v>177.25173333333333</v>
      </c>
    </row>
    <row r="358" spans="1:14" x14ac:dyDescent="0.45">
      <c r="A358">
        <v>357</v>
      </c>
      <c r="B358" t="s">
        <v>4</v>
      </c>
      <c r="C358" t="s">
        <v>8</v>
      </c>
      <c r="D358" t="s">
        <v>37</v>
      </c>
      <c r="E358">
        <v>69291</v>
      </c>
      <c r="F358">
        <f>VLOOKUP(C358&amp;"|"&amp;B358,rate_tables!$A$3:$B$8,2,FALSE)</f>
        <v>85</v>
      </c>
      <c r="G358">
        <f>VLOOKUP(C358&amp;"|"&amp;B358,rate_tables!$A$12:$B$17,2,FALSE)</f>
        <v>35</v>
      </c>
      <c r="H358">
        <f>VLOOKUP(C358&amp;"|"&amp;D358,rate_tables!$A$21:$B$28,2,FALSE)</f>
        <v>1.4E-3</v>
      </c>
      <c r="I358">
        <f>VLOOKUP(C358&amp;"|"&amp;D358,rate_tables!$A$32:$B$39,2,FALSE)</f>
        <v>3.0000000000000001E-3</v>
      </c>
      <c r="J358">
        <f t="shared" si="25"/>
        <v>85</v>
      </c>
      <c r="K358">
        <f t="shared" si="26"/>
        <v>35</v>
      </c>
      <c r="L358">
        <f t="shared" si="27"/>
        <v>8.0839499999999997</v>
      </c>
      <c r="M358">
        <f t="shared" si="28"/>
        <v>17.322749999999999</v>
      </c>
      <c r="N358">
        <f t="shared" si="29"/>
        <v>145.4067</v>
      </c>
    </row>
    <row r="359" spans="1:14" x14ac:dyDescent="0.45">
      <c r="A359">
        <v>358</v>
      </c>
      <c r="B359" t="s">
        <v>4</v>
      </c>
      <c r="C359" t="s">
        <v>8</v>
      </c>
      <c r="D359" t="s">
        <v>37</v>
      </c>
      <c r="E359">
        <v>61431</v>
      </c>
      <c r="F359">
        <f>VLOOKUP(C359&amp;"|"&amp;B359,rate_tables!$A$3:$B$8,2,FALSE)</f>
        <v>85</v>
      </c>
      <c r="G359">
        <f>VLOOKUP(C359&amp;"|"&amp;B359,rate_tables!$A$12:$B$17,2,FALSE)</f>
        <v>35</v>
      </c>
      <c r="H359">
        <f>VLOOKUP(C359&amp;"|"&amp;D359,rate_tables!$A$21:$B$28,2,FALSE)</f>
        <v>1.4E-3</v>
      </c>
      <c r="I359">
        <f>VLOOKUP(C359&amp;"|"&amp;D359,rate_tables!$A$32:$B$39,2,FALSE)</f>
        <v>3.0000000000000001E-3</v>
      </c>
      <c r="J359">
        <f t="shared" si="25"/>
        <v>85</v>
      </c>
      <c r="K359">
        <f t="shared" si="26"/>
        <v>35</v>
      </c>
      <c r="L359">
        <f t="shared" si="27"/>
        <v>7.1669499999999999</v>
      </c>
      <c r="M359">
        <f t="shared" si="28"/>
        <v>15.357750000000001</v>
      </c>
      <c r="N359">
        <f t="shared" si="29"/>
        <v>142.5247</v>
      </c>
    </row>
    <row r="360" spans="1:14" x14ac:dyDescent="0.45">
      <c r="A360">
        <v>359</v>
      </c>
      <c r="B360" t="s">
        <v>4</v>
      </c>
      <c r="C360" t="s">
        <v>8</v>
      </c>
      <c r="D360" t="s">
        <v>38</v>
      </c>
      <c r="E360">
        <v>126318</v>
      </c>
      <c r="F360">
        <f>VLOOKUP(C360&amp;"|"&amp;B360,rate_tables!$A$3:$B$8,2,FALSE)</f>
        <v>85</v>
      </c>
      <c r="G360">
        <f>VLOOKUP(C360&amp;"|"&amp;B360,rate_tables!$A$12:$B$17,2,FALSE)</f>
        <v>35</v>
      </c>
      <c r="H360">
        <f>VLOOKUP(C360&amp;"|"&amp;D360,rate_tables!$A$21:$B$28,2,FALSE)</f>
        <v>2E-3</v>
      </c>
      <c r="I360">
        <f>VLOOKUP(C360&amp;"|"&amp;D360,rate_tables!$A$32:$B$39,2,FALSE)</f>
        <v>4.4000000000000003E-3</v>
      </c>
      <c r="J360">
        <f t="shared" si="25"/>
        <v>85</v>
      </c>
      <c r="K360">
        <f t="shared" si="26"/>
        <v>35</v>
      </c>
      <c r="L360">
        <f t="shared" si="27"/>
        <v>21.053000000000001</v>
      </c>
      <c r="M360">
        <f t="shared" si="28"/>
        <v>46.316600000000001</v>
      </c>
      <c r="N360">
        <f t="shared" si="29"/>
        <v>187.36959999999999</v>
      </c>
    </row>
    <row r="361" spans="1:14" x14ac:dyDescent="0.45">
      <c r="A361">
        <v>360</v>
      </c>
      <c r="B361" t="s">
        <v>6</v>
      </c>
      <c r="C361" t="s">
        <v>8</v>
      </c>
      <c r="D361" t="s">
        <v>36</v>
      </c>
      <c r="E361">
        <v>89745</v>
      </c>
      <c r="F361">
        <f>VLOOKUP(C361&amp;"|"&amp;B361,rate_tables!$A$3:$B$8,2,FALSE)</f>
        <v>88</v>
      </c>
      <c r="G361">
        <f>VLOOKUP(C361&amp;"|"&amp;B361,rate_tables!$A$12:$B$17,2,FALSE)</f>
        <v>36</v>
      </c>
      <c r="H361">
        <f>VLOOKUP(C361&amp;"|"&amp;D361,rate_tables!$A$21:$B$28,2,FALSE)</f>
        <v>1E-3</v>
      </c>
      <c r="I361">
        <f>VLOOKUP(C361&amp;"|"&amp;D361,rate_tables!$A$32:$B$39,2,FALSE)</f>
        <v>2E-3</v>
      </c>
      <c r="J361">
        <f t="shared" si="25"/>
        <v>88</v>
      </c>
      <c r="K361">
        <f t="shared" si="26"/>
        <v>36</v>
      </c>
      <c r="L361">
        <f t="shared" si="27"/>
        <v>7.4787500000000007</v>
      </c>
      <c r="M361">
        <f t="shared" si="28"/>
        <v>14.957500000000001</v>
      </c>
      <c r="N361">
        <f t="shared" si="29"/>
        <v>146.43625</v>
      </c>
    </row>
    <row r="362" spans="1:14" x14ac:dyDescent="0.45">
      <c r="A362">
        <v>361</v>
      </c>
      <c r="B362" t="s">
        <v>4</v>
      </c>
      <c r="C362" t="s">
        <v>9</v>
      </c>
      <c r="D362" t="s">
        <v>35</v>
      </c>
      <c r="E362">
        <v>73109</v>
      </c>
      <c r="F362">
        <f>VLOOKUP(C362&amp;"|"&amp;B362,rate_tables!$A$3:$B$8,2,FALSE)</f>
        <v>95</v>
      </c>
      <c r="G362">
        <f>VLOOKUP(C362&amp;"|"&amp;B362,rate_tables!$A$12:$B$17,2,FALSE)</f>
        <v>40</v>
      </c>
      <c r="H362">
        <f>VLOOKUP(C362&amp;"|"&amp;D362,rate_tables!$A$21:$B$28,2,FALSE)</f>
        <v>1E-3</v>
      </c>
      <c r="I362">
        <f>VLOOKUP(C362&amp;"|"&amp;D362,rate_tables!$A$32:$B$39,2,FALSE)</f>
        <v>2E-3</v>
      </c>
      <c r="J362">
        <f t="shared" si="25"/>
        <v>95</v>
      </c>
      <c r="K362">
        <f t="shared" si="26"/>
        <v>40</v>
      </c>
      <c r="L362">
        <f t="shared" si="27"/>
        <v>6.0924166666666659</v>
      </c>
      <c r="M362">
        <f t="shared" si="28"/>
        <v>12.184833333333332</v>
      </c>
      <c r="N362">
        <f t="shared" si="29"/>
        <v>153.27725000000001</v>
      </c>
    </row>
    <row r="363" spans="1:14" x14ac:dyDescent="0.45">
      <c r="A363">
        <v>362</v>
      </c>
      <c r="B363" t="s">
        <v>5</v>
      </c>
      <c r="C363" t="s">
        <v>8</v>
      </c>
      <c r="D363" t="s">
        <v>35</v>
      </c>
      <c r="E363">
        <v>102327</v>
      </c>
      <c r="F363">
        <f>VLOOKUP(C363&amp;"|"&amp;B363,rate_tables!$A$3:$B$8,2,FALSE)</f>
        <v>90</v>
      </c>
      <c r="G363">
        <f>VLOOKUP(C363&amp;"|"&amp;B363,rate_tables!$A$12:$B$17,2,FALSE)</f>
        <v>37</v>
      </c>
      <c r="H363">
        <f>VLOOKUP(C363&amp;"|"&amp;D363,rate_tables!$A$21:$B$28,2,FALSE)</f>
        <v>8.0000000000000004E-4</v>
      </c>
      <c r="I363">
        <f>VLOOKUP(C363&amp;"|"&amp;D363,rate_tables!$A$32:$B$39,2,FALSE)</f>
        <v>1.6000000000000001E-3</v>
      </c>
      <c r="J363">
        <f t="shared" si="25"/>
        <v>90</v>
      </c>
      <c r="K363">
        <f t="shared" si="26"/>
        <v>37</v>
      </c>
      <c r="L363">
        <f t="shared" si="27"/>
        <v>6.8218000000000005</v>
      </c>
      <c r="M363">
        <f t="shared" si="28"/>
        <v>13.643600000000001</v>
      </c>
      <c r="N363">
        <f t="shared" si="29"/>
        <v>147.46539999999999</v>
      </c>
    </row>
    <row r="364" spans="1:14" x14ac:dyDescent="0.45">
      <c r="A364">
        <v>363</v>
      </c>
      <c r="B364" t="s">
        <v>4</v>
      </c>
      <c r="C364" t="s">
        <v>9</v>
      </c>
      <c r="D364" t="s">
        <v>35</v>
      </c>
      <c r="E364">
        <v>63273</v>
      </c>
      <c r="F364">
        <f>VLOOKUP(C364&amp;"|"&amp;B364,rate_tables!$A$3:$B$8,2,FALSE)</f>
        <v>95</v>
      </c>
      <c r="G364">
        <f>VLOOKUP(C364&amp;"|"&amp;B364,rate_tables!$A$12:$B$17,2,FALSE)</f>
        <v>40</v>
      </c>
      <c r="H364">
        <f>VLOOKUP(C364&amp;"|"&amp;D364,rate_tables!$A$21:$B$28,2,FALSE)</f>
        <v>1E-3</v>
      </c>
      <c r="I364">
        <f>VLOOKUP(C364&amp;"|"&amp;D364,rate_tables!$A$32:$B$39,2,FALSE)</f>
        <v>2E-3</v>
      </c>
      <c r="J364">
        <f t="shared" si="25"/>
        <v>95</v>
      </c>
      <c r="K364">
        <f t="shared" si="26"/>
        <v>40</v>
      </c>
      <c r="L364">
        <f t="shared" si="27"/>
        <v>5.2727500000000003</v>
      </c>
      <c r="M364">
        <f t="shared" si="28"/>
        <v>10.545500000000001</v>
      </c>
      <c r="N364">
        <f t="shared" si="29"/>
        <v>150.81825000000001</v>
      </c>
    </row>
    <row r="365" spans="1:14" x14ac:dyDescent="0.45">
      <c r="A365">
        <v>364</v>
      </c>
      <c r="B365" t="s">
        <v>4</v>
      </c>
      <c r="C365" t="s">
        <v>8</v>
      </c>
      <c r="D365" t="s">
        <v>35</v>
      </c>
      <c r="E365">
        <v>119148</v>
      </c>
      <c r="F365">
        <f>VLOOKUP(C365&amp;"|"&amp;B365,rate_tables!$A$3:$B$8,2,FALSE)</f>
        <v>85</v>
      </c>
      <c r="G365">
        <f>VLOOKUP(C365&amp;"|"&amp;B365,rate_tables!$A$12:$B$17,2,FALSE)</f>
        <v>35</v>
      </c>
      <c r="H365">
        <f>VLOOKUP(C365&amp;"|"&amp;D365,rate_tables!$A$21:$B$28,2,FALSE)</f>
        <v>8.0000000000000004E-4</v>
      </c>
      <c r="I365">
        <f>VLOOKUP(C365&amp;"|"&amp;D365,rate_tables!$A$32:$B$39,2,FALSE)</f>
        <v>1.6000000000000001E-3</v>
      </c>
      <c r="J365">
        <f t="shared" si="25"/>
        <v>85</v>
      </c>
      <c r="K365">
        <f t="shared" si="26"/>
        <v>35</v>
      </c>
      <c r="L365">
        <f t="shared" si="27"/>
        <v>7.9432000000000009</v>
      </c>
      <c r="M365">
        <f t="shared" si="28"/>
        <v>15.886400000000002</v>
      </c>
      <c r="N365">
        <f t="shared" si="29"/>
        <v>143.8296</v>
      </c>
    </row>
    <row r="366" spans="1:14" x14ac:dyDescent="0.45">
      <c r="A366">
        <v>365</v>
      </c>
      <c r="B366" t="s">
        <v>5</v>
      </c>
      <c r="C366" t="s">
        <v>8</v>
      </c>
      <c r="D366" t="s">
        <v>37</v>
      </c>
      <c r="E366">
        <v>76614</v>
      </c>
      <c r="F366">
        <f>VLOOKUP(C366&amp;"|"&amp;B366,rate_tables!$A$3:$B$8,2,FALSE)</f>
        <v>90</v>
      </c>
      <c r="G366">
        <f>VLOOKUP(C366&amp;"|"&amp;B366,rate_tables!$A$12:$B$17,2,FALSE)</f>
        <v>37</v>
      </c>
      <c r="H366">
        <f>VLOOKUP(C366&amp;"|"&amp;D366,rate_tables!$A$21:$B$28,2,FALSE)</f>
        <v>1.4E-3</v>
      </c>
      <c r="I366">
        <f>VLOOKUP(C366&amp;"|"&amp;D366,rate_tables!$A$32:$B$39,2,FALSE)</f>
        <v>3.0000000000000001E-3</v>
      </c>
      <c r="J366">
        <f t="shared" si="25"/>
        <v>90</v>
      </c>
      <c r="K366">
        <f t="shared" si="26"/>
        <v>37</v>
      </c>
      <c r="L366">
        <f t="shared" si="27"/>
        <v>8.9382999999999999</v>
      </c>
      <c r="M366">
        <f t="shared" si="28"/>
        <v>19.153500000000001</v>
      </c>
      <c r="N366">
        <f t="shared" si="29"/>
        <v>155.09180000000001</v>
      </c>
    </row>
    <row r="367" spans="1:14" x14ac:dyDescent="0.45">
      <c r="A367">
        <v>366</v>
      </c>
      <c r="B367" t="s">
        <v>4</v>
      </c>
      <c r="C367" t="s">
        <v>8</v>
      </c>
      <c r="D367" t="s">
        <v>35</v>
      </c>
      <c r="E367">
        <v>106376</v>
      </c>
      <c r="F367">
        <f>VLOOKUP(C367&amp;"|"&amp;B367,rate_tables!$A$3:$B$8,2,FALSE)</f>
        <v>85</v>
      </c>
      <c r="G367">
        <f>VLOOKUP(C367&amp;"|"&amp;B367,rate_tables!$A$12:$B$17,2,FALSE)</f>
        <v>35</v>
      </c>
      <c r="H367">
        <f>VLOOKUP(C367&amp;"|"&amp;D367,rate_tables!$A$21:$B$28,2,FALSE)</f>
        <v>8.0000000000000004E-4</v>
      </c>
      <c r="I367">
        <f>VLOOKUP(C367&amp;"|"&amp;D367,rate_tables!$A$32:$B$39,2,FALSE)</f>
        <v>1.6000000000000001E-3</v>
      </c>
      <c r="J367">
        <f t="shared" si="25"/>
        <v>85</v>
      </c>
      <c r="K367">
        <f t="shared" si="26"/>
        <v>35</v>
      </c>
      <c r="L367">
        <f t="shared" si="27"/>
        <v>7.0917333333333339</v>
      </c>
      <c r="M367">
        <f t="shared" si="28"/>
        <v>14.183466666666668</v>
      </c>
      <c r="N367">
        <f t="shared" si="29"/>
        <v>141.27520000000001</v>
      </c>
    </row>
    <row r="368" spans="1:14" x14ac:dyDescent="0.45">
      <c r="A368">
        <v>367</v>
      </c>
      <c r="B368" t="s">
        <v>4</v>
      </c>
      <c r="C368" t="s">
        <v>8</v>
      </c>
      <c r="D368" t="s">
        <v>36</v>
      </c>
      <c r="E368">
        <v>126143</v>
      </c>
      <c r="F368">
        <f>VLOOKUP(C368&amp;"|"&amp;B368,rate_tables!$A$3:$B$8,2,FALSE)</f>
        <v>85</v>
      </c>
      <c r="G368">
        <f>VLOOKUP(C368&amp;"|"&amp;B368,rate_tables!$A$12:$B$17,2,FALSE)</f>
        <v>35</v>
      </c>
      <c r="H368">
        <f>VLOOKUP(C368&amp;"|"&amp;D368,rate_tables!$A$21:$B$28,2,FALSE)</f>
        <v>1E-3</v>
      </c>
      <c r="I368">
        <f>VLOOKUP(C368&amp;"|"&amp;D368,rate_tables!$A$32:$B$39,2,FALSE)</f>
        <v>2E-3</v>
      </c>
      <c r="J368">
        <f t="shared" si="25"/>
        <v>85</v>
      </c>
      <c r="K368">
        <f t="shared" si="26"/>
        <v>35</v>
      </c>
      <c r="L368">
        <f t="shared" si="27"/>
        <v>10.511916666666666</v>
      </c>
      <c r="M368">
        <f t="shared" si="28"/>
        <v>21.023833333333332</v>
      </c>
      <c r="N368">
        <f t="shared" si="29"/>
        <v>151.53575000000001</v>
      </c>
    </row>
    <row r="369" spans="1:14" x14ac:dyDescent="0.45">
      <c r="A369">
        <v>368</v>
      </c>
      <c r="B369" t="s">
        <v>6</v>
      </c>
      <c r="C369" t="s">
        <v>8</v>
      </c>
      <c r="D369" t="s">
        <v>38</v>
      </c>
      <c r="E369">
        <v>53453</v>
      </c>
      <c r="F369">
        <f>VLOOKUP(C369&amp;"|"&amp;B369,rate_tables!$A$3:$B$8,2,FALSE)</f>
        <v>88</v>
      </c>
      <c r="G369">
        <f>VLOOKUP(C369&amp;"|"&amp;B369,rate_tables!$A$12:$B$17,2,FALSE)</f>
        <v>36</v>
      </c>
      <c r="H369">
        <f>VLOOKUP(C369&amp;"|"&amp;D369,rate_tables!$A$21:$B$28,2,FALSE)</f>
        <v>2E-3</v>
      </c>
      <c r="I369">
        <f>VLOOKUP(C369&amp;"|"&amp;D369,rate_tables!$A$32:$B$39,2,FALSE)</f>
        <v>4.4000000000000003E-3</v>
      </c>
      <c r="J369">
        <f t="shared" si="25"/>
        <v>88</v>
      </c>
      <c r="K369">
        <f t="shared" si="26"/>
        <v>36</v>
      </c>
      <c r="L369">
        <f t="shared" si="27"/>
        <v>8.9088333333333338</v>
      </c>
      <c r="M369">
        <f t="shared" si="28"/>
        <v>19.599433333333334</v>
      </c>
      <c r="N369">
        <f t="shared" si="29"/>
        <v>152.50826666666669</v>
      </c>
    </row>
    <row r="370" spans="1:14" x14ac:dyDescent="0.45">
      <c r="A370">
        <v>369</v>
      </c>
      <c r="B370" t="s">
        <v>4</v>
      </c>
      <c r="C370" t="s">
        <v>9</v>
      </c>
      <c r="D370" t="s">
        <v>37</v>
      </c>
      <c r="E370">
        <v>49831</v>
      </c>
      <c r="F370">
        <f>VLOOKUP(C370&amp;"|"&amp;B370,rate_tables!$A$3:$B$8,2,FALSE)</f>
        <v>95</v>
      </c>
      <c r="G370">
        <f>VLOOKUP(C370&amp;"|"&amp;B370,rate_tables!$A$12:$B$17,2,FALSE)</f>
        <v>40</v>
      </c>
      <c r="H370">
        <f>VLOOKUP(C370&amp;"|"&amp;D370,rate_tables!$A$21:$B$28,2,FALSE)</f>
        <v>1.8E-3</v>
      </c>
      <c r="I370">
        <f>VLOOKUP(C370&amp;"|"&amp;D370,rate_tables!$A$32:$B$39,2,FALSE)</f>
        <v>3.8E-3</v>
      </c>
      <c r="J370">
        <f t="shared" si="25"/>
        <v>95</v>
      </c>
      <c r="K370">
        <f t="shared" si="26"/>
        <v>40</v>
      </c>
      <c r="L370">
        <f t="shared" si="27"/>
        <v>7.4746499999999996</v>
      </c>
      <c r="M370">
        <f t="shared" si="28"/>
        <v>15.779816666666667</v>
      </c>
      <c r="N370">
        <f t="shared" si="29"/>
        <v>158.25446666666667</v>
      </c>
    </row>
    <row r="371" spans="1:14" x14ac:dyDescent="0.45">
      <c r="A371">
        <v>370</v>
      </c>
      <c r="B371" t="s">
        <v>6</v>
      </c>
      <c r="C371" t="s">
        <v>9</v>
      </c>
      <c r="D371" t="s">
        <v>36</v>
      </c>
      <c r="E371">
        <v>52664</v>
      </c>
      <c r="F371">
        <f>VLOOKUP(C371&amp;"|"&amp;B371,rate_tables!$A$3:$B$8,2,FALSE)</f>
        <v>98</v>
      </c>
      <c r="G371">
        <f>VLOOKUP(C371&amp;"|"&amp;B371,rate_tables!$A$12:$B$17,2,FALSE)</f>
        <v>41</v>
      </c>
      <c r="H371">
        <f>VLOOKUP(C371&amp;"|"&amp;D371,rate_tables!$A$21:$B$28,2,FALSE)</f>
        <v>1.2999999999999999E-3</v>
      </c>
      <c r="I371">
        <f>VLOOKUP(C371&amp;"|"&amp;D371,rate_tables!$A$32:$B$39,2,FALSE)</f>
        <v>2.5999999999999999E-3</v>
      </c>
      <c r="J371">
        <f t="shared" si="25"/>
        <v>98</v>
      </c>
      <c r="K371">
        <f t="shared" si="26"/>
        <v>41</v>
      </c>
      <c r="L371">
        <f t="shared" si="27"/>
        <v>5.7052666666666667</v>
      </c>
      <c r="M371">
        <f t="shared" si="28"/>
        <v>11.410533333333333</v>
      </c>
      <c r="N371">
        <f t="shared" si="29"/>
        <v>156.11579999999998</v>
      </c>
    </row>
    <row r="372" spans="1:14" x14ac:dyDescent="0.45">
      <c r="A372">
        <v>371</v>
      </c>
      <c r="B372" t="s">
        <v>6</v>
      </c>
      <c r="C372" t="s">
        <v>8</v>
      </c>
      <c r="D372" t="s">
        <v>35</v>
      </c>
      <c r="E372">
        <v>82421</v>
      </c>
      <c r="F372">
        <f>VLOOKUP(C372&amp;"|"&amp;B372,rate_tables!$A$3:$B$8,2,FALSE)</f>
        <v>88</v>
      </c>
      <c r="G372">
        <f>VLOOKUP(C372&amp;"|"&amp;B372,rate_tables!$A$12:$B$17,2,FALSE)</f>
        <v>36</v>
      </c>
      <c r="H372">
        <f>VLOOKUP(C372&amp;"|"&amp;D372,rate_tables!$A$21:$B$28,2,FALSE)</f>
        <v>8.0000000000000004E-4</v>
      </c>
      <c r="I372">
        <f>VLOOKUP(C372&amp;"|"&amp;D372,rate_tables!$A$32:$B$39,2,FALSE)</f>
        <v>1.6000000000000001E-3</v>
      </c>
      <c r="J372">
        <f t="shared" si="25"/>
        <v>88</v>
      </c>
      <c r="K372">
        <f t="shared" si="26"/>
        <v>36</v>
      </c>
      <c r="L372">
        <f t="shared" si="27"/>
        <v>5.4947333333333335</v>
      </c>
      <c r="M372">
        <f t="shared" si="28"/>
        <v>10.989466666666667</v>
      </c>
      <c r="N372">
        <f t="shared" si="29"/>
        <v>140.48419999999999</v>
      </c>
    </row>
    <row r="373" spans="1:14" x14ac:dyDescent="0.45">
      <c r="A373">
        <v>372</v>
      </c>
      <c r="B373" t="s">
        <v>6</v>
      </c>
      <c r="C373" t="s">
        <v>9</v>
      </c>
      <c r="D373" t="s">
        <v>36</v>
      </c>
      <c r="E373">
        <v>71418</v>
      </c>
      <c r="F373">
        <f>VLOOKUP(C373&amp;"|"&amp;B373,rate_tables!$A$3:$B$8,2,FALSE)</f>
        <v>98</v>
      </c>
      <c r="G373">
        <f>VLOOKUP(C373&amp;"|"&amp;B373,rate_tables!$A$12:$B$17,2,FALSE)</f>
        <v>41</v>
      </c>
      <c r="H373">
        <f>VLOOKUP(C373&amp;"|"&amp;D373,rate_tables!$A$21:$B$28,2,FALSE)</f>
        <v>1.2999999999999999E-3</v>
      </c>
      <c r="I373">
        <f>VLOOKUP(C373&amp;"|"&amp;D373,rate_tables!$A$32:$B$39,2,FALSE)</f>
        <v>2.5999999999999999E-3</v>
      </c>
      <c r="J373">
        <f t="shared" si="25"/>
        <v>98</v>
      </c>
      <c r="K373">
        <f t="shared" si="26"/>
        <v>41</v>
      </c>
      <c r="L373">
        <f t="shared" si="27"/>
        <v>7.7369500000000002</v>
      </c>
      <c r="M373">
        <f t="shared" si="28"/>
        <v>15.4739</v>
      </c>
      <c r="N373">
        <f t="shared" si="29"/>
        <v>162.21084999999999</v>
      </c>
    </row>
    <row r="374" spans="1:14" x14ac:dyDescent="0.45">
      <c r="A374">
        <v>373</v>
      </c>
      <c r="B374" t="s">
        <v>4</v>
      </c>
      <c r="C374" t="s">
        <v>8</v>
      </c>
      <c r="D374" t="s">
        <v>37</v>
      </c>
      <c r="E374">
        <v>91379</v>
      </c>
      <c r="F374">
        <f>VLOOKUP(C374&amp;"|"&amp;B374,rate_tables!$A$3:$B$8,2,FALSE)</f>
        <v>85</v>
      </c>
      <c r="G374">
        <f>VLOOKUP(C374&amp;"|"&amp;B374,rate_tables!$A$12:$B$17,2,FALSE)</f>
        <v>35</v>
      </c>
      <c r="H374">
        <f>VLOOKUP(C374&amp;"|"&amp;D374,rate_tables!$A$21:$B$28,2,FALSE)</f>
        <v>1.4E-3</v>
      </c>
      <c r="I374">
        <f>VLOOKUP(C374&amp;"|"&amp;D374,rate_tables!$A$32:$B$39,2,FALSE)</f>
        <v>3.0000000000000001E-3</v>
      </c>
      <c r="J374">
        <f t="shared" si="25"/>
        <v>85</v>
      </c>
      <c r="K374">
        <f t="shared" si="26"/>
        <v>35</v>
      </c>
      <c r="L374">
        <f t="shared" si="27"/>
        <v>10.660883333333333</v>
      </c>
      <c r="M374">
        <f t="shared" si="28"/>
        <v>22.844750000000001</v>
      </c>
      <c r="N374">
        <f t="shared" si="29"/>
        <v>153.50563333333335</v>
      </c>
    </row>
    <row r="375" spans="1:14" x14ac:dyDescent="0.45">
      <c r="A375">
        <v>374</v>
      </c>
      <c r="B375" t="s">
        <v>5</v>
      </c>
      <c r="C375" t="s">
        <v>8</v>
      </c>
      <c r="D375" t="s">
        <v>37</v>
      </c>
      <c r="E375">
        <v>65114</v>
      </c>
      <c r="F375">
        <f>VLOOKUP(C375&amp;"|"&amp;B375,rate_tables!$A$3:$B$8,2,FALSE)</f>
        <v>90</v>
      </c>
      <c r="G375">
        <f>VLOOKUP(C375&amp;"|"&amp;B375,rate_tables!$A$12:$B$17,2,FALSE)</f>
        <v>37</v>
      </c>
      <c r="H375">
        <f>VLOOKUP(C375&amp;"|"&amp;D375,rate_tables!$A$21:$B$28,2,FALSE)</f>
        <v>1.4E-3</v>
      </c>
      <c r="I375">
        <f>VLOOKUP(C375&amp;"|"&amp;D375,rate_tables!$A$32:$B$39,2,FALSE)</f>
        <v>3.0000000000000001E-3</v>
      </c>
      <c r="J375">
        <f t="shared" si="25"/>
        <v>90</v>
      </c>
      <c r="K375">
        <f t="shared" si="26"/>
        <v>37</v>
      </c>
      <c r="L375">
        <f t="shared" si="27"/>
        <v>7.5966333333333331</v>
      </c>
      <c r="M375">
        <f t="shared" si="28"/>
        <v>16.278500000000001</v>
      </c>
      <c r="N375">
        <f t="shared" si="29"/>
        <v>150.87513333333334</v>
      </c>
    </row>
    <row r="376" spans="1:14" x14ac:dyDescent="0.45">
      <c r="A376">
        <v>375</v>
      </c>
      <c r="B376" t="s">
        <v>4</v>
      </c>
      <c r="C376" t="s">
        <v>8</v>
      </c>
      <c r="D376" t="s">
        <v>38</v>
      </c>
      <c r="E376">
        <v>56502</v>
      </c>
      <c r="F376">
        <f>VLOOKUP(C376&amp;"|"&amp;B376,rate_tables!$A$3:$B$8,2,FALSE)</f>
        <v>85</v>
      </c>
      <c r="G376">
        <f>VLOOKUP(C376&amp;"|"&amp;B376,rate_tables!$A$12:$B$17,2,FALSE)</f>
        <v>35</v>
      </c>
      <c r="H376">
        <f>VLOOKUP(C376&amp;"|"&amp;D376,rate_tables!$A$21:$B$28,2,FALSE)</f>
        <v>2E-3</v>
      </c>
      <c r="I376">
        <f>VLOOKUP(C376&amp;"|"&amp;D376,rate_tables!$A$32:$B$39,2,FALSE)</f>
        <v>4.4000000000000003E-3</v>
      </c>
      <c r="J376">
        <f t="shared" si="25"/>
        <v>85</v>
      </c>
      <c r="K376">
        <f t="shared" si="26"/>
        <v>35</v>
      </c>
      <c r="L376">
        <f t="shared" si="27"/>
        <v>9.4169999999999998</v>
      </c>
      <c r="M376">
        <f t="shared" si="28"/>
        <v>20.717400000000001</v>
      </c>
      <c r="N376">
        <f t="shared" si="29"/>
        <v>150.1344</v>
      </c>
    </row>
    <row r="377" spans="1:14" x14ac:dyDescent="0.45">
      <c r="A377">
        <v>376</v>
      </c>
      <c r="B377" t="s">
        <v>5</v>
      </c>
      <c r="C377" t="s">
        <v>8</v>
      </c>
      <c r="D377" t="s">
        <v>35</v>
      </c>
      <c r="E377">
        <v>78928</v>
      </c>
      <c r="F377">
        <f>VLOOKUP(C377&amp;"|"&amp;B377,rate_tables!$A$3:$B$8,2,FALSE)</f>
        <v>90</v>
      </c>
      <c r="G377">
        <f>VLOOKUP(C377&amp;"|"&amp;B377,rate_tables!$A$12:$B$17,2,FALSE)</f>
        <v>37</v>
      </c>
      <c r="H377">
        <f>VLOOKUP(C377&amp;"|"&amp;D377,rate_tables!$A$21:$B$28,2,FALSE)</f>
        <v>8.0000000000000004E-4</v>
      </c>
      <c r="I377">
        <f>VLOOKUP(C377&amp;"|"&amp;D377,rate_tables!$A$32:$B$39,2,FALSE)</f>
        <v>1.6000000000000001E-3</v>
      </c>
      <c r="J377">
        <f t="shared" si="25"/>
        <v>90</v>
      </c>
      <c r="K377">
        <f t="shared" si="26"/>
        <v>37</v>
      </c>
      <c r="L377">
        <f t="shared" si="27"/>
        <v>5.2618666666666671</v>
      </c>
      <c r="M377">
        <f t="shared" si="28"/>
        <v>10.523733333333334</v>
      </c>
      <c r="N377">
        <f t="shared" si="29"/>
        <v>142.78559999999999</v>
      </c>
    </row>
    <row r="378" spans="1:14" x14ac:dyDescent="0.45">
      <c r="A378">
        <v>377</v>
      </c>
      <c r="B378" t="s">
        <v>4</v>
      </c>
      <c r="C378" t="s">
        <v>8</v>
      </c>
      <c r="D378" t="s">
        <v>37</v>
      </c>
      <c r="E378">
        <v>91964</v>
      </c>
      <c r="F378">
        <f>VLOOKUP(C378&amp;"|"&amp;B378,rate_tables!$A$3:$B$8,2,FALSE)</f>
        <v>85</v>
      </c>
      <c r="G378">
        <f>VLOOKUP(C378&amp;"|"&amp;B378,rate_tables!$A$12:$B$17,2,FALSE)</f>
        <v>35</v>
      </c>
      <c r="H378">
        <f>VLOOKUP(C378&amp;"|"&amp;D378,rate_tables!$A$21:$B$28,2,FALSE)</f>
        <v>1.4E-3</v>
      </c>
      <c r="I378">
        <f>VLOOKUP(C378&amp;"|"&amp;D378,rate_tables!$A$32:$B$39,2,FALSE)</f>
        <v>3.0000000000000001E-3</v>
      </c>
      <c r="J378">
        <f t="shared" si="25"/>
        <v>85</v>
      </c>
      <c r="K378">
        <f t="shared" si="26"/>
        <v>35</v>
      </c>
      <c r="L378">
        <f t="shared" si="27"/>
        <v>10.729133333333332</v>
      </c>
      <c r="M378">
        <f t="shared" si="28"/>
        <v>22.991</v>
      </c>
      <c r="N378">
        <f t="shared" si="29"/>
        <v>153.72013333333331</v>
      </c>
    </row>
    <row r="379" spans="1:14" x14ac:dyDescent="0.45">
      <c r="A379">
        <v>378</v>
      </c>
      <c r="B379" t="s">
        <v>5</v>
      </c>
      <c r="C379" t="s">
        <v>9</v>
      </c>
      <c r="D379" t="s">
        <v>37</v>
      </c>
      <c r="E379">
        <v>59805</v>
      </c>
      <c r="F379">
        <f>VLOOKUP(C379&amp;"|"&amp;B379,rate_tables!$A$3:$B$8,2,FALSE)</f>
        <v>100</v>
      </c>
      <c r="G379">
        <f>VLOOKUP(C379&amp;"|"&amp;B379,rate_tables!$A$12:$B$17,2,FALSE)</f>
        <v>42</v>
      </c>
      <c r="H379">
        <f>VLOOKUP(C379&amp;"|"&amp;D379,rate_tables!$A$21:$B$28,2,FALSE)</f>
        <v>1.8E-3</v>
      </c>
      <c r="I379">
        <f>VLOOKUP(C379&amp;"|"&amp;D379,rate_tables!$A$32:$B$39,2,FALSE)</f>
        <v>3.8E-3</v>
      </c>
      <c r="J379">
        <f t="shared" si="25"/>
        <v>100</v>
      </c>
      <c r="K379">
        <f t="shared" si="26"/>
        <v>42</v>
      </c>
      <c r="L379">
        <f t="shared" si="27"/>
        <v>8.9707500000000007</v>
      </c>
      <c r="M379">
        <f t="shared" si="28"/>
        <v>18.93825</v>
      </c>
      <c r="N379">
        <f t="shared" si="29"/>
        <v>169.90900000000002</v>
      </c>
    </row>
    <row r="380" spans="1:14" x14ac:dyDescent="0.45">
      <c r="A380">
        <v>379</v>
      </c>
      <c r="B380" t="s">
        <v>4</v>
      </c>
      <c r="C380" t="s">
        <v>8</v>
      </c>
      <c r="D380" t="s">
        <v>35</v>
      </c>
      <c r="E380">
        <v>63899</v>
      </c>
      <c r="F380">
        <f>VLOOKUP(C380&amp;"|"&amp;B380,rate_tables!$A$3:$B$8,2,FALSE)</f>
        <v>85</v>
      </c>
      <c r="G380">
        <f>VLOOKUP(C380&amp;"|"&amp;B380,rate_tables!$A$12:$B$17,2,FALSE)</f>
        <v>35</v>
      </c>
      <c r="H380">
        <f>VLOOKUP(C380&amp;"|"&amp;D380,rate_tables!$A$21:$B$28,2,FALSE)</f>
        <v>8.0000000000000004E-4</v>
      </c>
      <c r="I380">
        <f>VLOOKUP(C380&amp;"|"&amp;D380,rate_tables!$A$32:$B$39,2,FALSE)</f>
        <v>1.6000000000000001E-3</v>
      </c>
      <c r="J380">
        <f t="shared" si="25"/>
        <v>85</v>
      </c>
      <c r="K380">
        <f t="shared" si="26"/>
        <v>35</v>
      </c>
      <c r="L380">
        <f t="shared" si="27"/>
        <v>4.2599333333333336</v>
      </c>
      <c r="M380">
        <f t="shared" si="28"/>
        <v>8.5198666666666671</v>
      </c>
      <c r="N380">
        <f t="shared" si="29"/>
        <v>132.77979999999999</v>
      </c>
    </row>
    <row r="381" spans="1:14" x14ac:dyDescent="0.45">
      <c r="A381">
        <v>380</v>
      </c>
      <c r="B381" t="s">
        <v>6</v>
      </c>
      <c r="C381" t="s">
        <v>9</v>
      </c>
      <c r="D381" t="s">
        <v>38</v>
      </c>
      <c r="E381">
        <v>77301</v>
      </c>
      <c r="F381">
        <f>VLOOKUP(C381&amp;"|"&amp;B381,rate_tables!$A$3:$B$8,2,FALSE)</f>
        <v>98</v>
      </c>
      <c r="G381">
        <f>VLOOKUP(C381&amp;"|"&amp;B381,rate_tables!$A$12:$B$17,2,FALSE)</f>
        <v>41</v>
      </c>
      <c r="H381">
        <f>VLOOKUP(C381&amp;"|"&amp;D381,rate_tables!$A$21:$B$28,2,FALSE)</f>
        <v>2.5999999999999999E-3</v>
      </c>
      <c r="I381">
        <f>VLOOKUP(C381&amp;"|"&amp;D381,rate_tables!$A$32:$B$39,2,FALSE)</f>
        <v>5.5999999999999999E-3</v>
      </c>
      <c r="J381">
        <f t="shared" si="25"/>
        <v>98</v>
      </c>
      <c r="K381">
        <f t="shared" si="26"/>
        <v>41</v>
      </c>
      <c r="L381">
        <f t="shared" si="27"/>
        <v>16.748549999999998</v>
      </c>
      <c r="M381">
        <f t="shared" si="28"/>
        <v>36.073799999999999</v>
      </c>
      <c r="N381">
        <f t="shared" si="29"/>
        <v>191.82235</v>
      </c>
    </row>
    <row r="382" spans="1:14" x14ac:dyDescent="0.45">
      <c r="A382">
        <v>381</v>
      </c>
      <c r="B382" t="s">
        <v>4</v>
      </c>
      <c r="C382" t="s">
        <v>8</v>
      </c>
      <c r="D382" t="s">
        <v>38</v>
      </c>
      <c r="E382">
        <v>104530</v>
      </c>
      <c r="F382">
        <f>VLOOKUP(C382&amp;"|"&amp;B382,rate_tables!$A$3:$B$8,2,FALSE)</f>
        <v>85</v>
      </c>
      <c r="G382">
        <f>VLOOKUP(C382&amp;"|"&amp;B382,rate_tables!$A$12:$B$17,2,FALSE)</f>
        <v>35</v>
      </c>
      <c r="H382">
        <f>VLOOKUP(C382&amp;"|"&amp;D382,rate_tables!$A$21:$B$28,2,FALSE)</f>
        <v>2E-3</v>
      </c>
      <c r="I382">
        <f>VLOOKUP(C382&amp;"|"&amp;D382,rate_tables!$A$32:$B$39,2,FALSE)</f>
        <v>4.4000000000000003E-3</v>
      </c>
      <c r="J382">
        <f t="shared" si="25"/>
        <v>85</v>
      </c>
      <c r="K382">
        <f t="shared" si="26"/>
        <v>35</v>
      </c>
      <c r="L382">
        <f t="shared" si="27"/>
        <v>17.421666666666667</v>
      </c>
      <c r="M382">
        <f t="shared" si="28"/>
        <v>38.327666666666666</v>
      </c>
      <c r="N382">
        <f t="shared" si="29"/>
        <v>175.74933333333334</v>
      </c>
    </row>
    <row r="383" spans="1:14" x14ac:dyDescent="0.45">
      <c r="A383">
        <v>382</v>
      </c>
      <c r="B383" t="s">
        <v>6</v>
      </c>
      <c r="C383" t="s">
        <v>9</v>
      </c>
      <c r="D383" t="s">
        <v>36</v>
      </c>
      <c r="E383">
        <v>78940</v>
      </c>
      <c r="F383">
        <f>VLOOKUP(C383&amp;"|"&amp;B383,rate_tables!$A$3:$B$8,2,FALSE)</f>
        <v>98</v>
      </c>
      <c r="G383">
        <f>VLOOKUP(C383&amp;"|"&amp;B383,rate_tables!$A$12:$B$17,2,FALSE)</f>
        <v>41</v>
      </c>
      <c r="H383">
        <f>VLOOKUP(C383&amp;"|"&amp;D383,rate_tables!$A$21:$B$28,2,FALSE)</f>
        <v>1.2999999999999999E-3</v>
      </c>
      <c r="I383">
        <f>VLOOKUP(C383&amp;"|"&amp;D383,rate_tables!$A$32:$B$39,2,FALSE)</f>
        <v>2.5999999999999999E-3</v>
      </c>
      <c r="J383">
        <f t="shared" si="25"/>
        <v>98</v>
      </c>
      <c r="K383">
        <f t="shared" si="26"/>
        <v>41</v>
      </c>
      <c r="L383">
        <f t="shared" si="27"/>
        <v>8.5518333333333327</v>
      </c>
      <c r="M383">
        <f t="shared" si="28"/>
        <v>17.103666666666665</v>
      </c>
      <c r="N383">
        <f t="shared" si="29"/>
        <v>164.65549999999999</v>
      </c>
    </row>
    <row r="384" spans="1:14" x14ac:dyDescent="0.45">
      <c r="A384">
        <v>383</v>
      </c>
      <c r="B384" t="s">
        <v>6</v>
      </c>
      <c r="C384" t="s">
        <v>8</v>
      </c>
      <c r="D384" t="s">
        <v>37</v>
      </c>
      <c r="E384">
        <v>105658</v>
      </c>
      <c r="F384">
        <f>VLOOKUP(C384&amp;"|"&amp;B384,rate_tables!$A$3:$B$8,2,FALSE)</f>
        <v>88</v>
      </c>
      <c r="G384">
        <f>VLOOKUP(C384&amp;"|"&amp;B384,rate_tables!$A$12:$B$17,2,FALSE)</f>
        <v>36</v>
      </c>
      <c r="H384">
        <f>VLOOKUP(C384&amp;"|"&amp;D384,rate_tables!$A$21:$B$28,2,FALSE)</f>
        <v>1.4E-3</v>
      </c>
      <c r="I384">
        <f>VLOOKUP(C384&amp;"|"&amp;D384,rate_tables!$A$32:$B$39,2,FALSE)</f>
        <v>3.0000000000000001E-3</v>
      </c>
      <c r="J384">
        <f t="shared" si="25"/>
        <v>88</v>
      </c>
      <c r="K384">
        <f t="shared" si="26"/>
        <v>36</v>
      </c>
      <c r="L384">
        <f t="shared" si="27"/>
        <v>12.326766666666666</v>
      </c>
      <c r="M384">
        <f t="shared" si="28"/>
        <v>26.4145</v>
      </c>
      <c r="N384">
        <f t="shared" si="29"/>
        <v>162.74126666666666</v>
      </c>
    </row>
    <row r="385" spans="1:14" x14ac:dyDescent="0.45">
      <c r="A385">
        <v>384</v>
      </c>
      <c r="B385" t="s">
        <v>6</v>
      </c>
      <c r="C385" t="s">
        <v>8</v>
      </c>
      <c r="D385" t="s">
        <v>37</v>
      </c>
      <c r="E385">
        <v>82176</v>
      </c>
      <c r="F385">
        <f>VLOOKUP(C385&amp;"|"&amp;B385,rate_tables!$A$3:$B$8,2,FALSE)</f>
        <v>88</v>
      </c>
      <c r="G385">
        <f>VLOOKUP(C385&amp;"|"&amp;B385,rate_tables!$A$12:$B$17,2,FALSE)</f>
        <v>36</v>
      </c>
      <c r="H385">
        <f>VLOOKUP(C385&amp;"|"&amp;D385,rate_tables!$A$21:$B$28,2,FALSE)</f>
        <v>1.4E-3</v>
      </c>
      <c r="I385">
        <f>VLOOKUP(C385&amp;"|"&amp;D385,rate_tables!$A$32:$B$39,2,FALSE)</f>
        <v>3.0000000000000001E-3</v>
      </c>
      <c r="J385">
        <f t="shared" si="25"/>
        <v>88</v>
      </c>
      <c r="K385">
        <f t="shared" si="26"/>
        <v>36</v>
      </c>
      <c r="L385">
        <f t="shared" si="27"/>
        <v>9.5872000000000011</v>
      </c>
      <c r="M385">
        <f t="shared" si="28"/>
        <v>20.544</v>
      </c>
      <c r="N385">
        <f t="shared" si="29"/>
        <v>154.13120000000001</v>
      </c>
    </row>
    <row r="386" spans="1:14" x14ac:dyDescent="0.45">
      <c r="A386">
        <v>385</v>
      </c>
      <c r="B386" t="s">
        <v>5</v>
      </c>
      <c r="C386" t="s">
        <v>9</v>
      </c>
      <c r="D386" t="s">
        <v>36</v>
      </c>
      <c r="E386">
        <v>61827</v>
      </c>
      <c r="F386">
        <f>VLOOKUP(C386&amp;"|"&amp;B386,rate_tables!$A$3:$B$8,2,FALSE)</f>
        <v>100</v>
      </c>
      <c r="G386">
        <f>VLOOKUP(C386&amp;"|"&amp;B386,rate_tables!$A$12:$B$17,2,FALSE)</f>
        <v>42</v>
      </c>
      <c r="H386">
        <f>VLOOKUP(C386&amp;"|"&amp;D386,rate_tables!$A$21:$B$28,2,FALSE)</f>
        <v>1.2999999999999999E-3</v>
      </c>
      <c r="I386">
        <f>VLOOKUP(C386&amp;"|"&amp;D386,rate_tables!$A$32:$B$39,2,FALSE)</f>
        <v>2.5999999999999999E-3</v>
      </c>
      <c r="J386">
        <f t="shared" si="25"/>
        <v>100</v>
      </c>
      <c r="K386">
        <f t="shared" si="26"/>
        <v>42</v>
      </c>
      <c r="L386">
        <f t="shared" si="27"/>
        <v>6.6979250000000006</v>
      </c>
      <c r="M386">
        <f t="shared" si="28"/>
        <v>13.395850000000001</v>
      </c>
      <c r="N386">
        <f t="shared" si="29"/>
        <v>162.09377499999999</v>
      </c>
    </row>
    <row r="387" spans="1:14" x14ac:dyDescent="0.45">
      <c r="A387">
        <v>386</v>
      </c>
      <c r="B387" t="s">
        <v>4</v>
      </c>
      <c r="C387" t="s">
        <v>9</v>
      </c>
      <c r="D387" t="s">
        <v>35</v>
      </c>
      <c r="E387">
        <v>63613</v>
      </c>
      <c r="F387">
        <f>VLOOKUP(C387&amp;"|"&amp;B387,rate_tables!$A$3:$B$8,2,FALSE)</f>
        <v>95</v>
      </c>
      <c r="G387">
        <f>VLOOKUP(C387&amp;"|"&amp;B387,rate_tables!$A$12:$B$17,2,FALSE)</f>
        <v>40</v>
      </c>
      <c r="H387">
        <f>VLOOKUP(C387&amp;"|"&amp;D387,rate_tables!$A$21:$B$28,2,FALSE)</f>
        <v>1E-3</v>
      </c>
      <c r="I387">
        <f>VLOOKUP(C387&amp;"|"&amp;D387,rate_tables!$A$32:$B$39,2,FALSE)</f>
        <v>2E-3</v>
      </c>
      <c r="J387">
        <f t="shared" ref="J387:J450" si="30">F387</f>
        <v>95</v>
      </c>
      <c r="K387">
        <f t="shared" ref="K387:K450" si="31">G387</f>
        <v>40</v>
      </c>
      <c r="L387">
        <f t="shared" ref="L387:L450" si="32">H387*E387/12</f>
        <v>5.3010833333333336</v>
      </c>
      <c r="M387">
        <f t="shared" ref="M387:M450" si="33">I387*E387/12</f>
        <v>10.602166666666667</v>
      </c>
      <c r="N387">
        <f t="shared" ref="N387:N450" si="34">SUM(J387:M387)</f>
        <v>150.90325000000001</v>
      </c>
    </row>
    <row r="388" spans="1:14" x14ac:dyDescent="0.45">
      <c r="A388">
        <v>387</v>
      </c>
      <c r="B388" t="s">
        <v>4</v>
      </c>
      <c r="C388" t="s">
        <v>8</v>
      </c>
      <c r="D388" t="s">
        <v>37</v>
      </c>
      <c r="E388">
        <v>80641</v>
      </c>
      <c r="F388">
        <f>VLOOKUP(C388&amp;"|"&amp;B388,rate_tables!$A$3:$B$8,2,FALSE)</f>
        <v>85</v>
      </c>
      <c r="G388">
        <f>VLOOKUP(C388&amp;"|"&amp;B388,rate_tables!$A$12:$B$17,2,FALSE)</f>
        <v>35</v>
      </c>
      <c r="H388">
        <f>VLOOKUP(C388&amp;"|"&amp;D388,rate_tables!$A$21:$B$28,2,FALSE)</f>
        <v>1.4E-3</v>
      </c>
      <c r="I388">
        <f>VLOOKUP(C388&amp;"|"&amp;D388,rate_tables!$A$32:$B$39,2,FALSE)</f>
        <v>3.0000000000000001E-3</v>
      </c>
      <c r="J388">
        <f t="shared" si="30"/>
        <v>85</v>
      </c>
      <c r="K388">
        <f t="shared" si="31"/>
        <v>35</v>
      </c>
      <c r="L388">
        <f t="shared" si="32"/>
        <v>9.4081166666666665</v>
      </c>
      <c r="M388">
        <f t="shared" si="33"/>
        <v>20.160250000000001</v>
      </c>
      <c r="N388">
        <f t="shared" si="34"/>
        <v>149.56836666666666</v>
      </c>
    </row>
    <row r="389" spans="1:14" x14ac:dyDescent="0.45">
      <c r="A389">
        <v>388</v>
      </c>
      <c r="B389" t="s">
        <v>4</v>
      </c>
      <c r="C389" t="s">
        <v>9</v>
      </c>
      <c r="D389" t="s">
        <v>35</v>
      </c>
      <c r="E389">
        <v>54210</v>
      </c>
      <c r="F389">
        <f>VLOOKUP(C389&amp;"|"&amp;B389,rate_tables!$A$3:$B$8,2,FALSE)</f>
        <v>95</v>
      </c>
      <c r="G389">
        <f>VLOOKUP(C389&amp;"|"&amp;B389,rate_tables!$A$12:$B$17,2,FALSE)</f>
        <v>40</v>
      </c>
      <c r="H389">
        <f>VLOOKUP(C389&amp;"|"&amp;D389,rate_tables!$A$21:$B$28,2,FALSE)</f>
        <v>1E-3</v>
      </c>
      <c r="I389">
        <f>VLOOKUP(C389&amp;"|"&amp;D389,rate_tables!$A$32:$B$39,2,FALSE)</f>
        <v>2E-3</v>
      </c>
      <c r="J389">
        <f t="shared" si="30"/>
        <v>95</v>
      </c>
      <c r="K389">
        <f t="shared" si="31"/>
        <v>40</v>
      </c>
      <c r="L389">
        <f t="shared" si="32"/>
        <v>4.5175000000000001</v>
      </c>
      <c r="M389">
        <f t="shared" si="33"/>
        <v>9.0350000000000001</v>
      </c>
      <c r="N389">
        <f t="shared" si="34"/>
        <v>148.55250000000001</v>
      </c>
    </row>
    <row r="390" spans="1:14" x14ac:dyDescent="0.45">
      <c r="A390">
        <v>389</v>
      </c>
      <c r="B390" t="s">
        <v>6</v>
      </c>
      <c r="C390" t="s">
        <v>8</v>
      </c>
      <c r="D390" t="s">
        <v>36</v>
      </c>
      <c r="E390">
        <v>65815</v>
      </c>
      <c r="F390">
        <f>VLOOKUP(C390&amp;"|"&amp;B390,rate_tables!$A$3:$B$8,2,FALSE)</f>
        <v>88</v>
      </c>
      <c r="G390">
        <f>VLOOKUP(C390&amp;"|"&amp;B390,rate_tables!$A$12:$B$17,2,FALSE)</f>
        <v>36</v>
      </c>
      <c r="H390">
        <f>VLOOKUP(C390&amp;"|"&amp;D390,rate_tables!$A$21:$B$28,2,FALSE)</f>
        <v>1E-3</v>
      </c>
      <c r="I390">
        <f>VLOOKUP(C390&amp;"|"&amp;D390,rate_tables!$A$32:$B$39,2,FALSE)</f>
        <v>2E-3</v>
      </c>
      <c r="J390">
        <f t="shared" si="30"/>
        <v>88</v>
      </c>
      <c r="K390">
        <f t="shared" si="31"/>
        <v>36</v>
      </c>
      <c r="L390">
        <f t="shared" si="32"/>
        <v>5.4845833333333331</v>
      </c>
      <c r="M390">
        <f t="shared" si="33"/>
        <v>10.969166666666666</v>
      </c>
      <c r="N390">
        <f t="shared" si="34"/>
        <v>140.45374999999999</v>
      </c>
    </row>
    <row r="391" spans="1:14" x14ac:dyDescent="0.45">
      <c r="A391">
        <v>390</v>
      </c>
      <c r="B391" t="s">
        <v>6</v>
      </c>
      <c r="C391" t="s">
        <v>9</v>
      </c>
      <c r="D391" t="s">
        <v>36</v>
      </c>
      <c r="E391">
        <v>59283</v>
      </c>
      <c r="F391">
        <f>VLOOKUP(C391&amp;"|"&amp;B391,rate_tables!$A$3:$B$8,2,FALSE)</f>
        <v>98</v>
      </c>
      <c r="G391">
        <f>VLOOKUP(C391&amp;"|"&amp;B391,rate_tables!$A$12:$B$17,2,FALSE)</f>
        <v>41</v>
      </c>
      <c r="H391">
        <f>VLOOKUP(C391&amp;"|"&amp;D391,rate_tables!$A$21:$B$28,2,FALSE)</f>
        <v>1.2999999999999999E-3</v>
      </c>
      <c r="I391">
        <f>VLOOKUP(C391&amp;"|"&amp;D391,rate_tables!$A$32:$B$39,2,FALSE)</f>
        <v>2.5999999999999999E-3</v>
      </c>
      <c r="J391">
        <f t="shared" si="30"/>
        <v>98</v>
      </c>
      <c r="K391">
        <f t="shared" si="31"/>
        <v>41</v>
      </c>
      <c r="L391">
        <f t="shared" si="32"/>
        <v>6.4223249999999998</v>
      </c>
      <c r="M391">
        <f t="shared" si="33"/>
        <v>12.84465</v>
      </c>
      <c r="N391">
        <f t="shared" si="34"/>
        <v>158.266975</v>
      </c>
    </row>
    <row r="392" spans="1:14" x14ac:dyDescent="0.45">
      <c r="A392">
        <v>391</v>
      </c>
      <c r="B392" t="s">
        <v>4</v>
      </c>
      <c r="C392" t="s">
        <v>8</v>
      </c>
      <c r="D392" t="s">
        <v>36</v>
      </c>
      <c r="E392">
        <v>113337</v>
      </c>
      <c r="F392">
        <f>VLOOKUP(C392&amp;"|"&amp;B392,rate_tables!$A$3:$B$8,2,FALSE)</f>
        <v>85</v>
      </c>
      <c r="G392">
        <f>VLOOKUP(C392&amp;"|"&amp;B392,rate_tables!$A$12:$B$17,2,FALSE)</f>
        <v>35</v>
      </c>
      <c r="H392">
        <f>VLOOKUP(C392&amp;"|"&amp;D392,rate_tables!$A$21:$B$28,2,FALSE)</f>
        <v>1E-3</v>
      </c>
      <c r="I392">
        <f>VLOOKUP(C392&amp;"|"&amp;D392,rate_tables!$A$32:$B$39,2,FALSE)</f>
        <v>2E-3</v>
      </c>
      <c r="J392">
        <f t="shared" si="30"/>
        <v>85</v>
      </c>
      <c r="K392">
        <f t="shared" si="31"/>
        <v>35</v>
      </c>
      <c r="L392">
        <f t="shared" si="32"/>
        <v>9.4447500000000009</v>
      </c>
      <c r="M392">
        <f t="shared" si="33"/>
        <v>18.889500000000002</v>
      </c>
      <c r="N392">
        <f t="shared" si="34"/>
        <v>148.33425</v>
      </c>
    </row>
    <row r="393" spans="1:14" x14ac:dyDescent="0.45">
      <c r="A393">
        <v>392</v>
      </c>
      <c r="B393" t="s">
        <v>5</v>
      </c>
      <c r="C393" t="s">
        <v>9</v>
      </c>
      <c r="D393" t="s">
        <v>37</v>
      </c>
      <c r="E393">
        <v>50096</v>
      </c>
      <c r="F393">
        <f>VLOOKUP(C393&amp;"|"&amp;B393,rate_tables!$A$3:$B$8,2,FALSE)</f>
        <v>100</v>
      </c>
      <c r="G393">
        <f>VLOOKUP(C393&amp;"|"&amp;B393,rate_tables!$A$12:$B$17,2,FALSE)</f>
        <v>42</v>
      </c>
      <c r="H393">
        <f>VLOOKUP(C393&amp;"|"&amp;D393,rate_tables!$A$21:$B$28,2,FALSE)</f>
        <v>1.8E-3</v>
      </c>
      <c r="I393">
        <f>VLOOKUP(C393&amp;"|"&amp;D393,rate_tables!$A$32:$B$39,2,FALSE)</f>
        <v>3.8E-3</v>
      </c>
      <c r="J393">
        <f t="shared" si="30"/>
        <v>100</v>
      </c>
      <c r="K393">
        <f t="shared" si="31"/>
        <v>42</v>
      </c>
      <c r="L393">
        <f t="shared" si="32"/>
        <v>7.5143999999999993</v>
      </c>
      <c r="M393">
        <f t="shared" si="33"/>
        <v>15.863733333333334</v>
      </c>
      <c r="N393">
        <f t="shared" si="34"/>
        <v>165.37813333333332</v>
      </c>
    </row>
    <row r="394" spans="1:14" x14ac:dyDescent="0.45">
      <c r="A394">
        <v>393</v>
      </c>
      <c r="B394" t="s">
        <v>6</v>
      </c>
      <c r="C394" t="s">
        <v>8</v>
      </c>
      <c r="D394" t="s">
        <v>35</v>
      </c>
      <c r="E394">
        <v>71330</v>
      </c>
      <c r="F394">
        <f>VLOOKUP(C394&amp;"|"&amp;B394,rate_tables!$A$3:$B$8,2,FALSE)</f>
        <v>88</v>
      </c>
      <c r="G394">
        <f>VLOOKUP(C394&amp;"|"&amp;B394,rate_tables!$A$12:$B$17,2,FALSE)</f>
        <v>36</v>
      </c>
      <c r="H394">
        <f>VLOOKUP(C394&amp;"|"&amp;D394,rate_tables!$A$21:$B$28,2,FALSE)</f>
        <v>8.0000000000000004E-4</v>
      </c>
      <c r="I394">
        <f>VLOOKUP(C394&amp;"|"&amp;D394,rate_tables!$A$32:$B$39,2,FALSE)</f>
        <v>1.6000000000000001E-3</v>
      </c>
      <c r="J394">
        <f t="shared" si="30"/>
        <v>88</v>
      </c>
      <c r="K394">
        <f t="shared" si="31"/>
        <v>36</v>
      </c>
      <c r="L394">
        <f t="shared" si="32"/>
        <v>4.7553333333333336</v>
      </c>
      <c r="M394">
        <f t="shared" si="33"/>
        <v>9.5106666666666673</v>
      </c>
      <c r="N394">
        <f t="shared" si="34"/>
        <v>138.26600000000002</v>
      </c>
    </row>
    <row r="395" spans="1:14" x14ac:dyDescent="0.45">
      <c r="A395">
        <v>394</v>
      </c>
      <c r="B395" t="s">
        <v>4</v>
      </c>
      <c r="C395" t="s">
        <v>8</v>
      </c>
      <c r="D395" t="s">
        <v>37</v>
      </c>
      <c r="E395">
        <v>56431</v>
      </c>
      <c r="F395">
        <f>VLOOKUP(C395&amp;"|"&amp;B395,rate_tables!$A$3:$B$8,2,FALSE)</f>
        <v>85</v>
      </c>
      <c r="G395">
        <f>VLOOKUP(C395&amp;"|"&amp;B395,rate_tables!$A$12:$B$17,2,FALSE)</f>
        <v>35</v>
      </c>
      <c r="H395">
        <f>VLOOKUP(C395&amp;"|"&amp;D395,rate_tables!$A$21:$B$28,2,FALSE)</f>
        <v>1.4E-3</v>
      </c>
      <c r="I395">
        <f>VLOOKUP(C395&amp;"|"&amp;D395,rate_tables!$A$32:$B$39,2,FALSE)</f>
        <v>3.0000000000000001E-3</v>
      </c>
      <c r="J395">
        <f t="shared" si="30"/>
        <v>85</v>
      </c>
      <c r="K395">
        <f t="shared" si="31"/>
        <v>35</v>
      </c>
      <c r="L395">
        <f t="shared" si="32"/>
        <v>6.5836166666666669</v>
      </c>
      <c r="M395">
        <f t="shared" si="33"/>
        <v>14.107750000000001</v>
      </c>
      <c r="N395">
        <f t="shared" si="34"/>
        <v>140.69136666666668</v>
      </c>
    </row>
    <row r="396" spans="1:14" x14ac:dyDescent="0.45">
      <c r="A396">
        <v>395</v>
      </c>
      <c r="B396" t="s">
        <v>6</v>
      </c>
      <c r="C396" t="s">
        <v>9</v>
      </c>
      <c r="D396" t="s">
        <v>37</v>
      </c>
      <c r="E396">
        <v>67083</v>
      </c>
      <c r="F396">
        <f>VLOOKUP(C396&amp;"|"&amp;B396,rate_tables!$A$3:$B$8,2,FALSE)</f>
        <v>98</v>
      </c>
      <c r="G396">
        <f>VLOOKUP(C396&amp;"|"&amp;B396,rate_tables!$A$12:$B$17,2,FALSE)</f>
        <v>41</v>
      </c>
      <c r="H396">
        <f>VLOOKUP(C396&amp;"|"&amp;D396,rate_tables!$A$21:$B$28,2,FALSE)</f>
        <v>1.8E-3</v>
      </c>
      <c r="I396">
        <f>VLOOKUP(C396&amp;"|"&amp;D396,rate_tables!$A$32:$B$39,2,FALSE)</f>
        <v>3.8E-3</v>
      </c>
      <c r="J396">
        <f t="shared" si="30"/>
        <v>98</v>
      </c>
      <c r="K396">
        <f t="shared" si="31"/>
        <v>41</v>
      </c>
      <c r="L396">
        <f t="shared" si="32"/>
        <v>10.06245</v>
      </c>
      <c r="M396">
        <f t="shared" si="33"/>
        <v>21.24295</v>
      </c>
      <c r="N396">
        <f t="shared" si="34"/>
        <v>170.30540000000002</v>
      </c>
    </row>
    <row r="397" spans="1:14" x14ac:dyDescent="0.45">
      <c r="A397">
        <v>396</v>
      </c>
      <c r="B397" t="s">
        <v>4</v>
      </c>
      <c r="C397" t="s">
        <v>8</v>
      </c>
      <c r="D397" t="s">
        <v>35</v>
      </c>
      <c r="E397">
        <v>84368</v>
      </c>
      <c r="F397">
        <f>VLOOKUP(C397&amp;"|"&amp;B397,rate_tables!$A$3:$B$8,2,FALSE)</f>
        <v>85</v>
      </c>
      <c r="G397">
        <f>VLOOKUP(C397&amp;"|"&amp;B397,rate_tables!$A$12:$B$17,2,FALSE)</f>
        <v>35</v>
      </c>
      <c r="H397">
        <f>VLOOKUP(C397&amp;"|"&amp;D397,rate_tables!$A$21:$B$28,2,FALSE)</f>
        <v>8.0000000000000004E-4</v>
      </c>
      <c r="I397">
        <f>VLOOKUP(C397&amp;"|"&amp;D397,rate_tables!$A$32:$B$39,2,FALSE)</f>
        <v>1.6000000000000001E-3</v>
      </c>
      <c r="J397">
        <f t="shared" si="30"/>
        <v>85</v>
      </c>
      <c r="K397">
        <f t="shared" si="31"/>
        <v>35</v>
      </c>
      <c r="L397">
        <f t="shared" si="32"/>
        <v>5.6245333333333329</v>
      </c>
      <c r="M397">
        <f t="shared" si="33"/>
        <v>11.249066666666666</v>
      </c>
      <c r="N397">
        <f t="shared" si="34"/>
        <v>136.87360000000001</v>
      </c>
    </row>
    <row r="398" spans="1:14" x14ac:dyDescent="0.45">
      <c r="A398">
        <v>397</v>
      </c>
      <c r="B398" t="s">
        <v>6</v>
      </c>
      <c r="C398" t="s">
        <v>8</v>
      </c>
      <c r="D398" t="s">
        <v>37</v>
      </c>
      <c r="E398">
        <v>86013</v>
      </c>
      <c r="F398">
        <f>VLOOKUP(C398&amp;"|"&amp;B398,rate_tables!$A$3:$B$8,2,FALSE)</f>
        <v>88</v>
      </c>
      <c r="G398">
        <f>VLOOKUP(C398&amp;"|"&amp;B398,rate_tables!$A$12:$B$17,2,FALSE)</f>
        <v>36</v>
      </c>
      <c r="H398">
        <f>VLOOKUP(C398&amp;"|"&amp;D398,rate_tables!$A$21:$B$28,2,FALSE)</f>
        <v>1.4E-3</v>
      </c>
      <c r="I398">
        <f>VLOOKUP(C398&amp;"|"&amp;D398,rate_tables!$A$32:$B$39,2,FALSE)</f>
        <v>3.0000000000000001E-3</v>
      </c>
      <c r="J398">
        <f t="shared" si="30"/>
        <v>88</v>
      </c>
      <c r="K398">
        <f t="shared" si="31"/>
        <v>36</v>
      </c>
      <c r="L398">
        <f t="shared" si="32"/>
        <v>10.03485</v>
      </c>
      <c r="M398">
        <f t="shared" si="33"/>
        <v>21.503249999999998</v>
      </c>
      <c r="N398">
        <f t="shared" si="34"/>
        <v>155.53810000000001</v>
      </c>
    </row>
    <row r="399" spans="1:14" x14ac:dyDescent="0.45">
      <c r="A399">
        <v>398</v>
      </c>
      <c r="B399" t="s">
        <v>4</v>
      </c>
      <c r="C399" t="s">
        <v>9</v>
      </c>
      <c r="D399" t="s">
        <v>37</v>
      </c>
      <c r="E399">
        <v>79361</v>
      </c>
      <c r="F399">
        <f>VLOOKUP(C399&amp;"|"&amp;B399,rate_tables!$A$3:$B$8,2,FALSE)</f>
        <v>95</v>
      </c>
      <c r="G399">
        <f>VLOOKUP(C399&amp;"|"&amp;B399,rate_tables!$A$12:$B$17,2,FALSE)</f>
        <v>40</v>
      </c>
      <c r="H399">
        <f>VLOOKUP(C399&amp;"|"&amp;D399,rate_tables!$A$21:$B$28,2,FALSE)</f>
        <v>1.8E-3</v>
      </c>
      <c r="I399">
        <f>VLOOKUP(C399&amp;"|"&amp;D399,rate_tables!$A$32:$B$39,2,FALSE)</f>
        <v>3.8E-3</v>
      </c>
      <c r="J399">
        <f t="shared" si="30"/>
        <v>95</v>
      </c>
      <c r="K399">
        <f t="shared" si="31"/>
        <v>40</v>
      </c>
      <c r="L399">
        <f t="shared" si="32"/>
        <v>11.90415</v>
      </c>
      <c r="M399">
        <f t="shared" si="33"/>
        <v>25.130983333333333</v>
      </c>
      <c r="N399">
        <f t="shared" si="34"/>
        <v>172.03513333333331</v>
      </c>
    </row>
    <row r="400" spans="1:14" x14ac:dyDescent="0.45">
      <c r="A400">
        <v>399</v>
      </c>
      <c r="B400" t="s">
        <v>4</v>
      </c>
      <c r="C400" t="s">
        <v>8</v>
      </c>
      <c r="D400" t="s">
        <v>37</v>
      </c>
      <c r="E400">
        <v>103634</v>
      </c>
      <c r="F400">
        <f>VLOOKUP(C400&amp;"|"&amp;B400,rate_tables!$A$3:$B$8,2,FALSE)</f>
        <v>85</v>
      </c>
      <c r="G400">
        <f>VLOOKUP(C400&amp;"|"&amp;B400,rate_tables!$A$12:$B$17,2,FALSE)</f>
        <v>35</v>
      </c>
      <c r="H400">
        <f>VLOOKUP(C400&amp;"|"&amp;D400,rate_tables!$A$21:$B$28,2,FALSE)</f>
        <v>1.4E-3</v>
      </c>
      <c r="I400">
        <f>VLOOKUP(C400&amp;"|"&amp;D400,rate_tables!$A$32:$B$39,2,FALSE)</f>
        <v>3.0000000000000001E-3</v>
      </c>
      <c r="J400">
        <f t="shared" si="30"/>
        <v>85</v>
      </c>
      <c r="K400">
        <f t="shared" si="31"/>
        <v>35</v>
      </c>
      <c r="L400">
        <f t="shared" si="32"/>
        <v>12.090633333333335</v>
      </c>
      <c r="M400">
        <f t="shared" si="33"/>
        <v>25.9085</v>
      </c>
      <c r="N400">
        <f t="shared" si="34"/>
        <v>157.99913333333333</v>
      </c>
    </row>
    <row r="401" spans="1:14" x14ac:dyDescent="0.45">
      <c r="A401">
        <v>400</v>
      </c>
      <c r="B401" t="s">
        <v>4</v>
      </c>
      <c r="C401" t="s">
        <v>8</v>
      </c>
      <c r="D401" t="s">
        <v>35</v>
      </c>
      <c r="E401">
        <v>121296</v>
      </c>
      <c r="F401">
        <f>VLOOKUP(C401&amp;"|"&amp;B401,rate_tables!$A$3:$B$8,2,FALSE)</f>
        <v>85</v>
      </c>
      <c r="G401">
        <f>VLOOKUP(C401&amp;"|"&amp;B401,rate_tables!$A$12:$B$17,2,FALSE)</f>
        <v>35</v>
      </c>
      <c r="H401">
        <f>VLOOKUP(C401&amp;"|"&amp;D401,rate_tables!$A$21:$B$28,2,FALSE)</f>
        <v>8.0000000000000004E-4</v>
      </c>
      <c r="I401">
        <f>VLOOKUP(C401&amp;"|"&amp;D401,rate_tables!$A$32:$B$39,2,FALSE)</f>
        <v>1.6000000000000001E-3</v>
      </c>
      <c r="J401">
        <f t="shared" si="30"/>
        <v>85</v>
      </c>
      <c r="K401">
        <f t="shared" si="31"/>
        <v>35</v>
      </c>
      <c r="L401">
        <f t="shared" si="32"/>
        <v>8.0863999999999994</v>
      </c>
      <c r="M401">
        <f t="shared" si="33"/>
        <v>16.172799999999999</v>
      </c>
      <c r="N401">
        <f t="shared" si="34"/>
        <v>144.25919999999999</v>
      </c>
    </row>
    <row r="402" spans="1:14" x14ac:dyDescent="0.45">
      <c r="A402">
        <v>401</v>
      </c>
      <c r="B402" t="s">
        <v>4</v>
      </c>
      <c r="C402" t="s">
        <v>8</v>
      </c>
      <c r="D402" t="s">
        <v>38</v>
      </c>
      <c r="E402">
        <v>108907</v>
      </c>
      <c r="F402">
        <f>VLOOKUP(C402&amp;"|"&amp;B402,rate_tables!$A$3:$B$8,2,FALSE)</f>
        <v>85</v>
      </c>
      <c r="G402">
        <f>VLOOKUP(C402&amp;"|"&amp;B402,rate_tables!$A$12:$B$17,2,FALSE)</f>
        <v>35</v>
      </c>
      <c r="H402">
        <f>VLOOKUP(C402&amp;"|"&amp;D402,rate_tables!$A$21:$B$28,2,FALSE)</f>
        <v>2E-3</v>
      </c>
      <c r="I402">
        <f>VLOOKUP(C402&amp;"|"&amp;D402,rate_tables!$A$32:$B$39,2,FALSE)</f>
        <v>4.4000000000000003E-3</v>
      </c>
      <c r="J402">
        <f t="shared" si="30"/>
        <v>85</v>
      </c>
      <c r="K402">
        <f t="shared" si="31"/>
        <v>35</v>
      </c>
      <c r="L402">
        <f t="shared" si="32"/>
        <v>18.151166666666665</v>
      </c>
      <c r="M402">
        <f t="shared" si="33"/>
        <v>39.932566666666666</v>
      </c>
      <c r="N402">
        <f t="shared" si="34"/>
        <v>178.08373333333333</v>
      </c>
    </row>
    <row r="403" spans="1:14" x14ac:dyDescent="0.45">
      <c r="A403">
        <v>402</v>
      </c>
      <c r="B403" t="s">
        <v>5</v>
      </c>
      <c r="C403" t="s">
        <v>9</v>
      </c>
      <c r="D403" t="s">
        <v>36</v>
      </c>
      <c r="E403">
        <v>76809</v>
      </c>
      <c r="F403">
        <f>VLOOKUP(C403&amp;"|"&amp;B403,rate_tables!$A$3:$B$8,2,FALSE)</f>
        <v>100</v>
      </c>
      <c r="G403">
        <f>VLOOKUP(C403&amp;"|"&amp;B403,rate_tables!$A$12:$B$17,2,FALSE)</f>
        <v>42</v>
      </c>
      <c r="H403">
        <f>VLOOKUP(C403&amp;"|"&amp;D403,rate_tables!$A$21:$B$28,2,FALSE)</f>
        <v>1.2999999999999999E-3</v>
      </c>
      <c r="I403">
        <f>VLOOKUP(C403&amp;"|"&amp;D403,rate_tables!$A$32:$B$39,2,FALSE)</f>
        <v>2.5999999999999999E-3</v>
      </c>
      <c r="J403">
        <f t="shared" si="30"/>
        <v>100</v>
      </c>
      <c r="K403">
        <f t="shared" si="31"/>
        <v>42</v>
      </c>
      <c r="L403">
        <f t="shared" si="32"/>
        <v>8.3209749999999989</v>
      </c>
      <c r="M403">
        <f t="shared" si="33"/>
        <v>16.641949999999998</v>
      </c>
      <c r="N403">
        <f t="shared" si="34"/>
        <v>166.96292500000001</v>
      </c>
    </row>
    <row r="404" spans="1:14" x14ac:dyDescent="0.45">
      <c r="A404">
        <v>403</v>
      </c>
      <c r="B404" t="s">
        <v>6</v>
      </c>
      <c r="C404" t="s">
        <v>8</v>
      </c>
      <c r="D404" t="s">
        <v>37</v>
      </c>
      <c r="E404">
        <v>106172</v>
      </c>
      <c r="F404">
        <f>VLOOKUP(C404&amp;"|"&amp;B404,rate_tables!$A$3:$B$8,2,FALSE)</f>
        <v>88</v>
      </c>
      <c r="G404">
        <f>VLOOKUP(C404&amp;"|"&amp;B404,rate_tables!$A$12:$B$17,2,FALSE)</f>
        <v>36</v>
      </c>
      <c r="H404">
        <f>VLOOKUP(C404&amp;"|"&amp;D404,rate_tables!$A$21:$B$28,2,FALSE)</f>
        <v>1.4E-3</v>
      </c>
      <c r="I404">
        <f>VLOOKUP(C404&amp;"|"&amp;D404,rate_tables!$A$32:$B$39,2,FALSE)</f>
        <v>3.0000000000000001E-3</v>
      </c>
      <c r="J404">
        <f t="shared" si="30"/>
        <v>88</v>
      </c>
      <c r="K404">
        <f t="shared" si="31"/>
        <v>36</v>
      </c>
      <c r="L404">
        <f t="shared" si="32"/>
        <v>12.386733333333332</v>
      </c>
      <c r="M404">
        <f t="shared" si="33"/>
        <v>26.543000000000003</v>
      </c>
      <c r="N404">
        <f t="shared" si="34"/>
        <v>162.92973333333333</v>
      </c>
    </row>
    <row r="405" spans="1:14" x14ac:dyDescent="0.45">
      <c r="A405">
        <v>404</v>
      </c>
      <c r="B405" t="s">
        <v>4</v>
      </c>
      <c r="C405" t="s">
        <v>9</v>
      </c>
      <c r="D405" t="s">
        <v>36</v>
      </c>
      <c r="E405">
        <v>46120</v>
      </c>
      <c r="F405">
        <f>VLOOKUP(C405&amp;"|"&amp;B405,rate_tables!$A$3:$B$8,2,FALSE)</f>
        <v>95</v>
      </c>
      <c r="G405">
        <f>VLOOKUP(C405&amp;"|"&amp;B405,rate_tables!$A$12:$B$17,2,FALSE)</f>
        <v>40</v>
      </c>
      <c r="H405">
        <f>VLOOKUP(C405&amp;"|"&amp;D405,rate_tables!$A$21:$B$28,2,FALSE)</f>
        <v>1.2999999999999999E-3</v>
      </c>
      <c r="I405">
        <f>VLOOKUP(C405&amp;"|"&amp;D405,rate_tables!$A$32:$B$39,2,FALSE)</f>
        <v>2.5999999999999999E-3</v>
      </c>
      <c r="J405">
        <f t="shared" si="30"/>
        <v>95</v>
      </c>
      <c r="K405">
        <f t="shared" si="31"/>
        <v>40</v>
      </c>
      <c r="L405">
        <f t="shared" si="32"/>
        <v>4.9963333333333333</v>
      </c>
      <c r="M405">
        <f t="shared" si="33"/>
        <v>9.9926666666666666</v>
      </c>
      <c r="N405">
        <f t="shared" si="34"/>
        <v>149.989</v>
      </c>
    </row>
    <row r="406" spans="1:14" x14ac:dyDescent="0.45">
      <c r="A406">
        <v>405</v>
      </c>
      <c r="B406" t="s">
        <v>5</v>
      </c>
      <c r="C406" t="s">
        <v>9</v>
      </c>
      <c r="D406" t="s">
        <v>36</v>
      </c>
      <c r="E406">
        <v>71531</v>
      </c>
      <c r="F406">
        <f>VLOOKUP(C406&amp;"|"&amp;B406,rate_tables!$A$3:$B$8,2,FALSE)</f>
        <v>100</v>
      </c>
      <c r="G406">
        <f>VLOOKUP(C406&amp;"|"&amp;B406,rate_tables!$A$12:$B$17,2,FALSE)</f>
        <v>42</v>
      </c>
      <c r="H406">
        <f>VLOOKUP(C406&amp;"|"&amp;D406,rate_tables!$A$21:$B$28,2,FALSE)</f>
        <v>1.2999999999999999E-3</v>
      </c>
      <c r="I406">
        <f>VLOOKUP(C406&amp;"|"&amp;D406,rate_tables!$A$32:$B$39,2,FALSE)</f>
        <v>2.5999999999999999E-3</v>
      </c>
      <c r="J406">
        <f t="shared" si="30"/>
        <v>100</v>
      </c>
      <c r="K406">
        <f t="shared" si="31"/>
        <v>42</v>
      </c>
      <c r="L406">
        <f t="shared" si="32"/>
        <v>7.7491916666666656</v>
      </c>
      <c r="M406">
        <f t="shared" si="33"/>
        <v>15.498383333333331</v>
      </c>
      <c r="N406">
        <f t="shared" si="34"/>
        <v>165.24757499999998</v>
      </c>
    </row>
    <row r="407" spans="1:14" x14ac:dyDescent="0.45">
      <c r="A407">
        <v>406</v>
      </c>
      <c r="B407" t="s">
        <v>4</v>
      </c>
      <c r="C407" t="s">
        <v>8</v>
      </c>
      <c r="D407" t="s">
        <v>36</v>
      </c>
      <c r="E407">
        <v>80156</v>
      </c>
      <c r="F407">
        <f>VLOOKUP(C407&amp;"|"&amp;B407,rate_tables!$A$3:$B$8,2,FALSE)</f>
        <v>85</v>
      </c>
      <c r="G407">
        <f>VLOOKUP(C407&amp;"|"&amp;B407,rate_tables!$A$12:$B$17,2,FALSE)</f>
        <v>35</v>
      </c>
      <c r="H407">
        <f>VLOOKUP(C407&amp;"|"&amp;D407,rate_tables!$A$21:$B$28,2,FALSE)</f>
        <v>1E-3</v>
      </c>
      <c r="I407">
        <f>VLOOKUP(C407&amp;"|"&amp;D407,rate_tables!$A$32:$B$39,2,FALSE)</f>
        <v>2E-3</v>
      </c>
      <c r="J407">
        <f t="shared" si="30"/>
        <v>85</v>
      </c>
      <c r="K407">
        <f t="shared" si="31"/>
        <v>35</v>
      </c>
      <c r="L407">
        <f t="shared" si="32"/>
        <v>6.6796666666666669</v>
      </c>
      <c r="M407">
        <f t="shared" si="33"/>
        <v>13.359333333333334</v>
      </c>
      <c r="N407">
        <f t="shared" si="34"/>
        <v>140.03899999999999</v>
      </c>
    </row>
    <row r="408" spans="1:14" x14ac:dyDescent="0.45">
      <c r="A408">
        <v>407</v>
      </c>
      <c r="B408" t="s">
        <v>5</v>
      </c>
      <c r="C408" t="s">
        <v>8</v>
      </c>
      <c r="D408" t="s">
        <v>35</v>
      </c>
      <c r="E408">
        <v>54151</v>
      </c>
      <c r="F408">
        <f>VLOOKUP(C408&amp;"|"&amp;B408,rate_tables!$A$3:$B$8,2,FALSE)</f>
        <v>90</v>
      </c>
      <c r="G408">
        <f>VLOOKUP(C408&amp;"|"&amp;B408,rate_tables!$A$12:$B$17,2,FALSE)</f>
        <v>37</v>
      </c>
      <c r="H408">
        <f>VLOOKUP(C408&amp;"|"&amp;D408,rate_tables!$A$21:$B$28,2,FALSE)</f>
        <v>8.0000000000000004E-4</v>
      </c>
      <c r="I408">
        <f>VLOOKUP(C408&amp;"|"&amp;D408,rate_tables!$A$32:$B$39,2,FALSE)</f>
        <v>1.6000000000000001E-3</v>
      </c>
      <c r="J408">
        <f t="shared" si="30"/>
        <v>90</v>
      </c>
      <c r="K408">
        <f t="shared" si="31"/>
        <v>37</v>
      </c>
      <c r="L408">
        <f t="shared" si="32"/>
        <v>3.610066666666667</v>
      </c>
      <c r="M408">
        <f t="shared" si="33"/>
        <v>7.220133333333334</v>
      </c>
      <c r="N408">
        <f t="shared" si="34"/>
        <v>137.83019999999999</v>
      </c>
    </row>
    <row r="409" spans="1:14" x14ac:dyDescent="0.45">
      <c r="A409">
        <v>408</v>
      </c>
      <c r="B409" t="s">
        <v>5</v>
      </c>
      <c r="C409" t="s">
        <v>9</v>
      </c>
      <c r="D409" t="s">
        <v>35</v>
      </c>
      <c r="E409">
        <v>61409</v>
      </c>
      <c r="F409">
        <f>VLOOKUP(C409&amp;"|"&amp;B409,rate_tables!$A$3:$B$8,2,FALSE)</f>
        <v>100</v>
      </c>
      <c r="G409">
        <f>VLOOKUP(C409&amp;"|"&amp;B409,rate_tables!$A$12:$B$17,2,FALSE)</f>
        <v>42</v>
      </c>
      <c r="H409">
        <f>VLOOKUP(C409&amp;"|"&amp;D409,rate_tables!$A$21:$B$28,2,FALSE)</f>
        <v>1E-3</v>
      </c>
      <c r="I409">
        <f>VLOOKUP(C409&amp;"|"&amp;D409,rate_tables!$A$32:$B$39,2,FALSE)</f>
        <v>2E-3</v>
      </c>
      <c r="J409">
        <f t="shared" si="30"/>
        <v>100</v>
      </c>
      <c r="K409">
        <f t="shared" si="31"/>
        <v>42</v>
      </c>
      <c r="L409">
        <f t="shared" si="32"/>
        <v>5.1174166666666663</v>
      </c>
      <c r="M409">
        <f t="shared" si="33"/>
        <v>10.234833333333333</v>
      </c>
      <c r="N409">
        <f t="shared" si="34"/>
        <v>157.35225</v>
      </c>
    </row>
    <row r="410" spans="1:14" x14ac:dyDescent="0.45">
      <c r="A410">
        <v>409</v>
      </c>
      <c r="B410" t="s">
        <v>4</v>
      </c>
      <c r="C410" t="s">
        <v>8</v>
      </c>
      <c r="D410" t="s">
        <v>37</v>
      </c>
      <c r="E410">
        <v>98633</v>
      </c>
      <c r="F410">
        <f>VLOOKUP(C410&amp;"|"&amp;B410,rate_tables!$A$3:$B$8,2,FALSE)</f>
        <v>85</v>
      </c>
      <c r="G410">
        <f>VLOOKUP(C410&amp;"|"&amp;B410,rate_tables!$A$12:$B$17,2,FALSE)</f>
        <v>35</v>
      </c>
      <c r="H410">
        <f>VLOOKUP(C410&amp;"|"&amp;D410,rate_tables!$A$21:$B$28,2,FALSE)</f>
        <v>1.4E-3</v>
      </c>
      <c r="I410">
        <f>VLOOKUP(C410&amp;"|"&amp;D410,rate_tables!$A$32:$B$39,2,FALSE)</f>
        <v>3.0000000000000001E-3</v>
      </c>
      <c r="J410">
        <f t="shared" si="30"/>
        <v>85</v>
      </c>
      <c r="K410">
        <f t="shared" si="31"/>
        <v>35</v>
      </c>
      <c r="L410">
        <f t="shared" si="32"/>
        <v>11.507183333333332</v>
      </c>
      <c r="M410">
        <f t="shared" si="33"/>
        <v>24.658249999999999</v>
      </c>
      <c r="N410">
        <f t="shared" si="34"/>
        <v>156.16543333333334</v>
      </c>
    </row>
    <row r="411" spans="1:14" x14ac:dyDescent="0.45">
      <c r="A411">
        <v>410</v>
      </c>
      <c r="B411" t="s">
        <v>4</v>
      </c>
      <c r="C411" t="s">
        <v>8</v>
      </c>
      <c r="D411" t="s">
        <v>37</v>
      </c>
      <c r="E411">
        <v>107654</v>
      </c>
      <c r="F411">
        <f>VLOOKUP(C411&amp;"|"&amp;B411,rate_tables!$A$3:$B$8,2,FALSE)</f>
        <v>85</v>
      </c>
      <c r="G411">
        <f>VLOOKUP(C411&amp;"|"&amp;B411,rate_tables!$A$12:$B$17,2,FALSE)</f>
        <v>35</v>
      </c>
      <c r="H411">
        <f>VLOOKUP(C411&amp;"|"&amp;D411,rate_tables!$A$21:$B$28,2,FALSE)</f>
        <v>1.4E-3</v>
      </c>
      <c r="I411">
        <f>VLOOKUP(C411&amp;"|"&amp;D411,rate_tables!$A$32:$B$39,2,FALSE)</f>
        <v>3.0000000000000001E-3</v>
      </c>
      <c r="J411">
        <f t="shared" si="30"/>
        <v>85</v>
      </c>
      <c r="K411">
        <f t="shared" si="31"/>
        <v>35</v>
      </c>
      <c r="L411">
        <f t="shared" si="32"/>
        <v>12.559633333333332</v>
      </c>
      <c r="M411">
        <f t="shared" si="33"/>
        <v>26.913499999999999</v>
      </c>
      <c r="N411">
        <f t="shared" si="34"/>
        <v>159.47313333333332</v>
      </c>
    </row>
    <row r="412" spans="1:14" x14ac:dyDescent="0.45">
      <c r="A412">
        <v>411</v>
      </c>
      <c r="B412" t="s">
        <v>4</v>
      </c>
      <c r="C412" t="s">
        <v>8</v>
      </c>
      <c r="D412" t="s">
        <v>38</v>
      </c>
      <c r="E412">
        <v>55108</v>
      </c>
      <c r="F412">
        <f>VLOOKUP(C412&amp;"|"&amp;B412,rate_tables!$A$3:$B$8,2,FALSE)</f>
        <v>85</v>
      </c>
      <c r="G412">
        <f>VLOOKUP(C412&amp;"|"&amp;B412,rate_tables!$A$12:$B$17,2,FALSE)</f>
        <v>35</v>
      </c>
      <c r="H412">
        <f>VLOOKUP(C412&amp;"|"&amp;D412,rate_tables!$A$21:$B$28,2,FALSE)</f>
        <v>2E-3</v>
      </c>
      <c r="I412">
        <f>VLOOKUP(C412&amp;"|"&amp;D412,rate_tables!$A$32:$B$39,2,FALSE)</f>
        <v>4.4000000000000003E-3</v>
      </c>
      <c r="J412">
        <f t="shared" si="30"/>
        <v>85</v>
      </c>
      <c r="K412">
        <f t="shared" si="31"/>
        <v>35</v>
      </c>
      <c r="L412">
        <f t="shared" si="32"/>
        <v>9.1846666666666668</v>
      </c>
      <c r="M412">
        <f t="shared" si="33"/>
        <v>20.206266666666668</v>
      </c>
      <c r="N412">
        <f t="shared" si="34"/>
        <v>149.39093333333332</v>
      </c>
    </row>
    <row r="413" spans="1:14" x14ac:dyDescent="0.45">
      <c r="A413">
        <v>412</v>
      </c>
      <c r="B413" t="s">
        <v>4</v>
      </c>
      <c r="C413" t="s">
        <v>8</v>
      </c>
      <c r="D413" t="s">
        <v>35</v>
      </c>
      <c r="E413">
        <v>112591</v>
      </c>
      <c r="F413">
        <f>VLOOKUP(C413&amp;"|"&amp;B413,rate_tables!$A$3:$B$8,2,FALSE)</f>
        <v>85</v>
      </c>
      <c r="G413">
        <f>VLOOKUP(C413&amp;"|"&amp;B413,rate_tables!$A$12:$B$17,2,FALSE)</f>
        <v>35</v>
      </c>
      <c r="H413">
        <f>VLOOKUP(C413&amp;"|"&amp;D413,rate_tables!$A$21:$B$28,2,FALSE)</f>
        <v>8.0000000000000004E-4</v>
      </c>
      <c r="I413">
        <f>VLOOKUP(C413&amp;"|"&amp;D413,rate_tables!$A$32:$B$39,2,FALSE)</f>
        <v>1.6000000000000001E-3</v>
      </c>
      <c r="J413">
        <f t="shared" si="30"/>
        <v>85</v>
      </c>
      <c r="K413">
        <f t="shared" si="31"/>
        <v>35</v>
      </c>
      <c r="L413">
        <f t="shared" si="32"/>
        <v>7.5060666666666664</v>
      </c>
      <c r="M413">
        <f t="shared" si="33"/>
        <v>15.012133333333333</v>
      </c>
      <c r="N413">
        <f t="shared" si="34"/>
        <v>142.51820000000001</v>
      </c>
    </row>
    <row r="414" spans="1:14" x14ac:dyDescent="0.45">
      <c r="A414">
        <v>413</v>
      </c>
      <c r="B414" t="s">
        <v>4</v>
      </c>
      <c r="C414" t="s">
        <v>8</v>
      </c>
      <c r="D414" t="s">
        <v>36</v>
      </c>
      <c r="E414">
        <v>78167</v>
      </c>
      <c r="F414">
        <f>VLOOKUP(C414&amp;"|"&amp;B414,rate_tables!$A$3:$B$8,2,FALSE)</f>
        <v>85</v>
      </c>
      <c r="G414">
        <f>VLOOKUP(C414&amp;"|"&amp;B414,rate_tables!$A$12:$B$17,2,FALSE)</f>
        <v>35</v>
      </c>
      <c r="H414">
        <f>VLOOKUP(C414&amp;"|"&amp;D414,rate_tables!$A$21:$B$28,2,FALSE)</f>
        <v>1E-3</v>
      </c>
      <c r="I414">
        <f>VLOOKUP(C414&amp;"|"&amp;D414,rate_tables!$A$32:$B$39,2,FALSE)</f>
        <v>2E-3</v>
      </c>
      <c r="J414">
        <f t="shared" si="30"/>
        <v>85</v>
      </c>
      <c r="K414">
        <f t="shared" si="31"/>
        <v>35</v>
      </c>
      <c r="L414">
        <f t="shared" si="32"/>
        <v>6.5139166666666668</v>
      </c>
      <c r="M414">
        <f t="shared" si="33"/>
        <v>13.027833333333334</v>
      </c>
      <c r="N414">
        <f t="shared" si="34"/>
        <v>139.54174999999998</v>
      </c>
    </row>
    <row r="415" spans="1:14" x14ac:dyDescent="0.45">
      <c r="A415">
        <v>414</v>
      </c>
      <c r="B415" t="s">
        <v>4</v>
      </c>
      <c r="C415" t="s">
        <v>8</v>
      </c>
      <c r="D415" t="s">
        <v>35</v>
      </c>
      <c r="E415">
        <v>80304</v>
      </c>
      <c r="F415">
        <f>VLOOKUP(C415&amp;"|"&amp;B415,rate_tables!$A$3:$B$8,2,FALSE)</f>
        <v>85</v>
      </c>
      <c r="G415">
        <f>VLOOKUP(C415&amp;"|"&amp;B415,rate_tables!$A$12:$B$17,2,FALSE)</f>
        <v>35</v>
      </c>
      <c r="H415">
        <f>VLOOKUP(C415&amp;"|"&amp;D415,rate_tables!$A$21:$B$28,2,FALSE)</f>
        <v>8.0000000000000004E-4</v>
      </c>
      <c r="I415">
        <f>VLOOKUP(C415&amp;"|"&amp;D415,rate_tables!$A$32:$B$39,2,FALSE)</f>
        <v>1.6000000000000001E-3</v>
      </c>
      <c r="J415">
        <f t="shared" si="30"/>
        <v>85</v>
      </c>
      <c r="K415">
        <f t="shared" si="31"/>
        <v>35</v>
      </c>
      <c r="L415">
        <f t="shared" si="32"/>
        <v>5.3536000000000001</v>
      </c>
      <c r="M415">
        <f t="shared" si="33"/>
        <v>10.7072</v>
      </c>
      <c r="N415">
        <f t="shared" si="34"/>
        <v>136.0608</v>
      </c>
    </row>
    <row r="416" spans="1:14" x14ac:dyDescent="0.45">
      <c r="A416">
        <v>415</v>
      </c>
      <c r="B416" t="s">
        <v>4</v>
      </c>
      <c r="C416" t="s">
        <v>8</v>
      </c>
      <c r="D416" t="s">
        <v>38</v>
      </c>
      <c r="E416">
        <v>65599</v>
      </c>
      <c r="F416">
        <f>VLOOKUP(C416&amp;"|"&amp;B416,rate_tables!$A$3:$B$8,2,FALSE)</f>
        <v>85</v>
      </c>
      <c r="G416">
        <f>VLOOKUP(C416&amp;"|"&amp;B416,rate_tables!$A$12:$B$17,2,FALSE)</f>
        <v>35</v>
      </c>
      <c r="H416">
        <f>VLOOKUP(C416&amp;"|"&amp;D416,rate_tables!$A$21:$B$28,2,FALSE)</f>
        <v>2E-3</v>
      </c>
      <c r="I416">
        <f>VLOOKUP(C416&amp;"|"&amp;D416,rate_tables!$A$32:$B$39,2,FALSE)</f>
        <v>4.4000000000000003E-3</v>
      </c>
      <c r="J416">
        <f t="shared" si="30"/>
        <v>85</v>
      </c>
      <c r="K416">
        <f t="shared" si="31"/>
        <v>35</v>
      </c>
      <c r="L416">
        <f t="shared" si="32"/>
        <v>10.933166666666667</v>
      </c>
      <c r="M416">
        <f t="shared" si="33"/>
        <v>24.052966666666666</v>
      </c>
      <c r="N416">
        <f t="shared" si="34"/>
        <v>154.98613333333333</v>
      </c>
    </row>
    <row r="417" spans="1:14" x14ac:dyDescent="0.45">
      <c r="A417">
        <v>416</v>
      </c>
      <c r="B417" t="s">
        <v>6</v>
      </c>
      <c r="C417" t="s">
        <v>9</v>
      </c>
      <c r="D417" t="s">
        <v>37</v>
      </c>
      <c r="E417">
        <v>70334</v>
      </c>
      <c r="F417">
        <f>VLOOKUP(C417&amp;"|"&amp;B417,rate_tables!$A$3:$B$8,2,FALSE)</f>
        <v>98</v>
      </c>
      <c r="G417">
        <f>VLOOKUP(C417&amp;"|"&amp;B417,rate_tables!$A$12:$B$17,2,FALSE)</f>
        <v>41</v>
      </c>
      <c r="H417">
        <f>VLOOKUP(C417&amp;"|"&amp;D417,rate_tables!$A$21:$B$28,2,FALSE)</f>
        <v>1.8E-3</v>
      </c>
      <c r="I417">
        <f>VLOOKUP(C417&amp;"|"&amp;D417,rate_tables!$A$32:$B$39,2,FALSE)</f>
        <v>3.8E-3</v>
      </c>
      <c r="J417">
        <f t="shared" si="30"/>
        <v>98</v>
      </c>
      <c r="K417">
        <f t="shared" si="31"/>
        <v>41</v>
      </c>
      <c r="L417">
        <f t="shared" si="32"/>
        <v>10.550099999999999</v>
      </c>
      <c r="M417">
        <f t="shared" si="33"/>
        <v>22.272433333333336</v>
      </c>
      <c r="N417">
        <f t="shared" si="34"/>
        <v>171.82253333333333</v>
      </c>
    </row>
    <row r="418" spans="1:14" x14ac:dyDescent="0.45">
      <c r="A418">
        <v>417</v>
      </c>
      <c r="B418" t="s">
        <v>4</v>
      </c>
      <c r="C418" t="s">
        <v>8</v>
      </c>
      <c r="D418" t="s">
        <v>37</v>
      </c>
      <c r="E418">
        <v>69761</v>
      </c>
      <c r="F418">
        <f>VLOOKUP(C418&amp;"|"&amp;B418,rate_tables!$A$3:$B$8,2,FALSE)</f>
        <v>85</v>
      </c>
      <c r="G418">
        <f>VLOOKUP(C418&amp;"|"&amp;B418,rate_tables!$A$12:$B$17,2,FALSE)</f>
        <v>35</v>
      </c>
      <c r="H418">
        <f>VLOOKUP(C418&amp;"|"&amp;D418,rate_tables!$A$21:$B$28,2,FALSE)</f>
        <v>1.4E-3</v>
      </c>
      <c r="I418">
        <f>VLOOKUP(C418&amp;"|"&amp;D418,rate_tables!$A$32:$B$39,2,FALSE)</f>
        <v>3.0000000000000001E-3</v>
      </c>
      <c r="J418">
        <f t="shared" si="30"/>
        <v>85</v>
      </c>
      <c r="K418">
        <f t="shared" si="31"/>
        <v>35</v>
      </c>
      <c r="L418">
        <f t="shared" si="32"/>
        <v>8.1387833333333344</v>
      </c>
      <c r="M418">
        <f t="shared" si="33"/>
        <v>17.440250000000002</v>
      </c>
      <c r="N418">
        <f t="shared" si="34"/>
        <v>145.57903333333331</v>
      </c>
    </row>
    <row r="419" spans="1:14" x14ac:dyDescent="0.45">
      <c r="A419">
        <v>418</v>
      </c>
      <c r="B419" t="s">
        <v>6</v>
      </c>
      <c r="C419" t="s">
        <v>8</v>
      </c>
      <c r="D419" t="s">
        <v>37</v>
      </c>
      <c r="E419">
        <v>74979</v>
      </c>
      <c r="F419">
        <f>VLOOKUP(C419&amp;"|"&amp;B419,rate_tables!$A$3:$B$8,2,FALSE)</f>
        <v>88</v>
      </c>
      <c r="G419">
        <f>VLOOKUP(C419&amp;"|"&amp;B419,rate_tables!$A$12:$B$17,2,FALSE)</f>
        <v>36</v>
      </c>
      <c r="H419">
        <f>VLOOKUP(C419&amp;"|"&amp;D419,rate_tables!$A$21:$B$28,2,FALSE)</f>
        <v>1.4E-3</v>
      </c>
      <c r="I419">
        <f>VLOOKUP(C419&amp;"|"&amp;D419,rate_tables!$A$32:$B$39,2,FALSE)</f>
        <v>3.0000000000000001E-3</v>
      </c>
      <c r="J419">
        <f t="shared" si="30"/>
        <v>88</v>
      </c>
      <c r="K419">
        <f t="shared" si="31"/>
        <v>36</v>
      </c>
      <c r="L419">
        <f t="shared" si="32"/>
        <v>8.7475500000000004</v>
      </c>
      <c r="M419">
        <f t="shared" si="33"/>
        <v>18.74475</v>
      </c>
      <c r="N419">
        <f t="shared" si="34"/>
        <v>151.4923</v>
      </c>
    </row>
    <row r="420" spans="1:14" x14ac:dyDescent="0.45">
      <c r="A420">
        <v>419</v>
      </c>
      <c r="B420" t="s">
        <v>5</v>
      </c>
      <c r="C420" t="s">
        <v>9</v>
      </c>
      <c r="D420" t="s">
        <v>37</v>
      </c>
      <c r="E420">
        <v>72419</v>
      </c>
      <c r="F420">
        <f>VLOOKUP(C420&amp;"|"&amp;B420,rate_tables!$A$3:$B$8,2,FALSE)</f>
        <v>100</v>
      </c>
      <c r="G420">
        <f>VLOOKUP(C420&amp;"|"&amp;B420,rate_tables!$A$12:$B$17,2,FALSE)</f>
        <v>42</v>
      </c>
      <c r="H420">
        <f>VLOOKUP(C420&amp;"|"&amp;D420,rate_tables!$A$21:$B$28,2,FALSE)</f>
        <v>1.8E-3</v>
      </c>
      <c r="I420">
        <f>VLOOKUP(C420&amp;"|"&amp;D420,rate_tables!$A$32:$B$39,2,FALSE)</f>
        <v>3.8E-3</v>
      </c>
      <c r="J420">
        <f t="shared" si="30"/>
        <v>100</v>
      </c>
      <c r="K420">
        <f t="shared" si="31"/>
        <v>42</v>
      </c>
      <c r="L420">
        <f t="shared" si="32"/>
        <v>10.86285</v>
      </c>
      <c r="M420">
        <f t="shared" si="33"/>
        <v>22.932683333333333</v>
      </c>
      <c r="N420">
        <f t="shared" si="34"/>
        <v>175.79553333333334</v>
      </c>
    </row>
    <row r="421" spans="1:14" x14ac:dyDescent="0.45">
      <c r="A421">
        <v>420</v>
      </c>
      <c r="B421" t="s">
        <v>6</v>
      </c>
      <c r="C421" t="s">
        <v>8</v>
      </c>
      <c r="D421" t="s">
        <v>38</v>
      </c>
      <c r="E421">
        <v>118678</v>
      </c>
      <c r="F421">
        <f>VLOOKUP(C421&amp;"|"&amp;B421,rate_tables!$A$3:$B$8,2,FALSE)</f>
        <v>88</v>
      </c>
      <c r="G421">
        <f>VLOOKUP(C421&amp;"|"&amp;B421,rate_tables!$A$12:$B$17,2,FALSE)</f>
        <v>36</v>
      </c>
      <c r="H421">
        <f>VLOOKUP(C421&amp;"|"&amp;D421,rate_tables!$A$21:$B$28,2,FALSE)</f>
        <v>2E-3</v>
      </c>
      <c r="I421">
        <f>VLOOKUP(C421&amp;"|"&amp;D421,rate_tables!$A$32:$B$39,2,FALSE)</f>
        <v>4.4000000000000003E-3</v>
      </c>
      <c r="J421">
        <f t="shared" si="30"/>
        <v>88</v>
      </c>
      <c r="K421">
        <f t="shared" si="31"/>
        <v>36</v>
      </c>
      <c r="L421">
        <f t="shared" si="32"/>
        <v>19.779666666666667</v>
      </c>
      <c r="M421">
        <f t="shared" si="33"/>
        <v>43.515266666666669</v>
      </c>
      <c r="N421">
        <f t="shared" si="34"/>
        <v>187.29493333333332</v>
      </c>
    </row>
    <row r="422" spans="1:14" x14ac:dyDescent="0.45">
      <c r="A422">
        <v>421</v>
      </c>
      <c r="B422" t="s">
        <v>6</v>
      </c>
      <c r="C422" t="s">
        <v>8</v>
      </c>
      <c r="D422" t="s">
        <v>36</v>
      </c>
      <c r="E422">
        <v>119409</v>
      </c>
      <c r="F422">
        <f>VLOOKUP(C422&amp;"|"&amp;B422,rate_tables!$A$3:$B$8,2,FALSE)</f>
        <v>88</v>
      </c>
      <c r="G422">
        <f>VLOOKUP(C422&amp;"|"&amp;B422,rate_tables!$A$12:$B$17,2,FALSE)</f>
        <v>36</v>
      </c>
      <c r="H422">
        <f>VLOOKUP(C422&amp;"|"&amp;D422,rate_tables!$A$21:$B$28,2,FALSE)</f>
        <v>1E-3</v>
      </c>
      <c r="I422">
        <f>VLOOKUP(C422&amp;"|"&amp;D422,rate_tables!$A$32:$B$39,2,FALSE)</f>
        <v>2E-3</v>
      </c>
      <c r="J422">
        <f t="shared" si="30"/>
        <v>88</v>
      </c>
      <c r="K422">
        <f t="shared" si="31"/>
        <v>36</v>
      </c>
      <c r="L422">
        <f t="shared" si="32"/>
        <v>9.9507500000000011</v>
      </c>
      <c r="M422">
        <f t="shared" si="33"/>
        <v>19.901500000000002</v>
      </c>
      <c r="N422">
        <f t="shared" si="34"/>
        <v>153.85225</v>
      </c>
    </row>
    <row r="423" spans="1:14" x14ac:dyDescent="0.45">
      <c r="A423">
        <v>422</v>
      </c>
      <c r="B423" t="s">
        <v>5</v>
      </c>
      <c r="C423" t="s">
        <v>8</v>
      </c>
      <c r="D423" t="s">
        <v>38</v>
      </c>
      <c r="E423">
        <v>113862</v>
      </c>
      <c r="F423">
        <f>VLOOKUP(C423&amp;"|"&amp;B423,rate_tables!$A$3:$B$8,2,FALSE)</f>
        <v>90</v>
      </c>
      <c r="G423">
        <f>VLOOKUP(C423&amp;"|"&amp;B423,rate_tables!$A$12:$B$17,2,FALSE)</f>
        <v>37</v>
      </c>
      <c r="H423">
        <f>VLOOKUP(C423&amp;"|"&amp;D423,rate_tables!$A$21:$B$28,2,FALSE)</f>
        <v>2E-3</v>
      </c>
      <c r="I423">
        <f>VLOOKUP(C423&amp;"|"&amp;D423,rate_tables!$A$32:$B$39,2,FALSE)</f>
        <v>4.4000000000000003E-3</v>
      </c>
      <c r="J423">
        <f t="shared" si="30"/>
        <v>90</v>
      </c>
      <c r="K423">
        <f t="shared" si="31"/>
        <v>37</v>
      </c>
      <c r="L423">
        <f t="shared" si="32"/>
        <v>18.977</v>
      </c>
      <c r="M423">
        <f t="shared" si="33"/>
        <v>41.749400000000001</v>
      </c>
      <c r="N423">
        <f t="shared" si="34"/>
        <v>187.72640000000001</v>
      </c>
    </row>
    <row r="424" spans="1:14" x14ac:dyDescent="0.45">
      <c r="A424">
        <v>423</v>
      </c>
      <c r="B424" t="s">
        <v>6</v>
      </c>
      <c r="C424" t="s">
        <v>9</v>
      </c>
      <c r="D424" t="s">
        <v>36</v>
      </c>
      <c r="E424">
        <v>62591</v>
      </c>
      <c r="F424">
        <f>VLOOKUP(C424&amp;"|"&amp;B424,rate_tables!$A$3:$B$8,2,FALSE)</f>
        <v>98</v>
      </c>
      <c r="G424">
        <f>VLOOKUP(C424&amp;"|"&amp;B424,rate_tables!$A$12:$B$17,2,FALSE)</f>
        <v>41</v>
      </c>
      <c r="H424">
        <f>VLOOKUP(C424&amp;"|"&amp;D424,rate_tables!$A$21:$B$28,2,FALSE)</f>
        <v>1.2999999999999999E-3</v>
      </c>
      <c r="I424">
        <f>VLOOKUP(C424&amp;"|"&amp;D424,rate_tables!$A$32:$B$39,2,FALSE)</f>
        <v>2.5999999999999999E-3</v>
      </c>
      <c r="J424">
        <f t="shared" si="30"/>
        <v>98</v>
      </c>
      <c r="K424">
        <f t="shared" si="31"/>
        <v>41</v>
      </c>
      <c r="L424">
        <f t="shared" si="32"/>
        <v>6.7806916666666659</v>
      </c>
      <c r="M424">
        <f t="shared" si="33"/>
        <v>13.561383333333332</v>
      </c>
      <c r="N424">
        <f t="shared" si="34"/>
        <v>159.34207499999999</v>
      </c>
    </row>
    <row r="425" spans="1:14" x14ac:dyDescent="0.45">
      <c r="A425">
        <v>424</v>
      </c>
      <c r="B425" t="s">
        <v>4</v>
      </c>
      <c r="C425" t="s">
        <v>8</v>
      </c>
      <c r="D425" t="s">
        <v>36</v>
      </c>
      <c r="E425">
        <v>103826</v>
      </c>
      <c r="F425">
        <f>VLOOKUP(C425&amp;"|"&amp;B425,rate_tables!$A$3:$B$8,2,FALSE)</f>
        <v>85</v>
      </c>
      <c r="G425">
        <f>VLOOKUP(C425&amp;"|"&amp;B425,rate_tables!$A$12:$B$17,2,FALSE)</f>
        <v>35</v>
      </c>
      <c r="H425">
        <f>VLOOKUP(C425&amp;"|"&amp;D425,rate_tables!$A$21:$B$28,2,FALSE)</f>
        <v>1E-3</v>
      </c>
      <c r="I425">
        <f>VLOOKUP(C425&amp;"|"&amp;D425,rate_tables!$A$32:$B$39,2,FALSE)</f>
        <v>2E-3</v>
      </c>
      <c r="J425">
        <f t="shared" si="30"/>
        <v>85</v>
      </c>
      <c r="K425">
        <f t="shared" si="31"/>
        <v>35</v>
      </c>
      <c r="L425">
        <f t="shared" si="32"/>
        <v>8.6521666666666679</v>
      </c>
      <c r="M425">
        <f t="shared" si="33"/>
        <v>17.304333333333336</v>
      </c>
      <c r="N425">
        <f t="shared" si="34"/>
        <v>145.95650000000001</v>
      </c>
    </row>
    <row r="426" spans="1:14" x14ac:dyDescent="0.45">
      <c r="A426">
        <v>425</v>
      </c>
      <c r="B426" t="s">
        <v>5</v>
      </c>
      <c r="C426" t="s">
        <v>8</v>
      </c>
      <c r="D426" t="s">
        <v>38</v>
      </c>
      <c r="E426">
        <v>98726</v>
      </c>
      <c r="F426">
        <f>VLOOKUP(C426&amp;"|"&amp;B426,rate_tables!$A$3:$B$8,2,FALSE)</f>
        <v>90</v>
      </c>
      <c r="G426">
        <f>VLOOKUP(C426&amp;"|"&amp;B426,rate_tables!$A$12:$B$17,2,FALSE)</f>
        <v>37</v>
      </c>
      <c r="H426">
        <f>VLOOKUP(C426&amp;"|"&amp;D426,rate_tables!$A$21:$B$28,2,FALSE)</f>
        <v>2E-3</v>
      </c>
      <c r="I426">
        <f>VLOOKUP(C426&amp;"|"&amp;D426,rate_tables!$A$32:$B$39,2,FALSE)</f>
        <v>4.4000000000000003E-3</v>
      </c>
      <c r="J426">
        <f t="shared" si="30"/>
        <v>90</v>
      </c>
      <c r="K426">
        <f t="shared" si="31"/>
        <v>37</v>
      </c>
      <c r="L426">
        <f t="shared" si="32"/>
        <v>16.454333333333334</v>
      </c>
      <c r="M426">
        <f t="shared" si="33"/>
        <v>36.199533333333335</v>
      </c>
      <c r="N426">
        <f t="shared" si="34"/>
        <v>179.65386666666666</v>
      </c>
    </row>
    <row r="427" spans="1:14" x14ac:dyDescent="0.45">
      <c r="A427">
        <v>426</v>
      </c>
      <c r="B427" t="s">
        <v>4</v>
      </c>
      <c r="C427" t="s">
        <v>9</v>
      </c>
      <c r="D427" t="s">
        <v>36</v>
      </c>
      <c r="E427">
        <v>76193</v>
      </c>
      <c r="F427">
        <f>VLOOKUP(C427&amp;"|"&amp;B427,rate_tables!$A$3:$B$8,2,FALSE)</f>
        <v>95</v>
      </c>
      <c r="G427">
        <f>VLOOKUP(C427&amp;"|"&amp;B427,rate_tables!$A$12:$B$17,2,FALSE)</f>
        <v>40</v>
      </c>
      <c r="H427">
        <f>VLOOKUP(C427&amp;"|"&amp;D427,rate_tables!$A$21:$B$28,2,FALSE)</f>
        <v>1.2999999999999999E-3</v>
      </c>
      <c r="I427">
        <f>VLOOKUP(C427&amp;"|"&amp;D427,rate_tables!$A$32:$B$39,2,FALSE)</f>
        <v>2.5999999999999999E-3</v>
      </c>
      <c r="J427">
        <f t="shared" si="30"/>
        <v>95</v>
      </c>
      <c r="K427">
        <f t="shared" si="31"/>
        <v>40</v>
      </c>
      <c r="L427">
        <f t="shared" si="32"/>
        <v>8.2542416666666671</v>
      </c>
      <c r="M427">
        <f t="shared" si="33"/>
        <v>16.508483333333334</v>
      </c>
      <c r="N427">
        <f t="shared" si="34"/>
        <v>159.76272500000002</v>
      </c>
    </row>
    <row r="428" spans="1:14" x14ac:dyDescent="0.45">
      <c r="A428">
        <v>427</v>
      </c>
      <c r="B428" t="s">
        <v>4</v>
      </c>
      <c r="C428" t="s">
        <v>9</v>
      </c>
      <c r="D428" t="s">
        <v>36</v>
      </c>
      <c r="E428">
        <v>49396</v>
      </c>
      <c r="F428">
        <f>VLOOKUP(C428&amp;"|"&amp;B428,rate_tables!$A$3:$B$8,2,FALSE)</f>
        <v>95</v>
      </c>
      <c r="G428">
        <f>VLOOKUP(C428&amp;"|"&amp;B428,rate_tables!$A$12:$B$17,2,FALSE)</f>
        <v>40</v>
      </c>
      <c r="H428">
        <f>VLOOKUP(C428&amp;"|"&amp;D428,rate_tables!$A$21:$B$28,2,FALSE)</f>
        <v>1.2999999999999999E-3</v>
      </c>
      <c r="I428">
        <f>VLOOKUP(C428&amp;"|"&amp;D428,rate_tables!$A$32:$B$39,2,FALSE)</f>
        <v>2.5999999999999999E-3</v>
      </c>
      <c r="J428">
        <f t="shared" si="30"/>
        <v>95</v>
      </c>
      <c r="K428">
        <f t="shared" si="31"/>
        <v>40</v>
      </c>
      <c r="L428">
        <f t="shared" si="32"/>
        <v>5.3512333333333331</v>
      </c>
      <c r="M428">
        <f t="shared" si="33"/>
        <v>10.702466666666666</v>
      </c>
      <c r="N428">
        <f t="shared" si="34"/>
        <v>151.05369999999999</v>
      </c>
    </row>
    <row r="429" spans="1:14" x14ac:dyDescent="0.45">
      <c r="A429">
        <v>428</v>
      </c>
      <c r="B429" t="s">
        <v>6</v>
      </c>
      <c r="C429" t="s">
        <v>8</v>
      </c>
      <c r="D429" t="s">
        <v>36</v>
      </c>
      <c r="E429">
        <v>62182</v>
      </c>
      <c r="F429">
        <f>VLOOKUP(C429&amp;"|"&amp;B429,rate_tables!$A$3:$B$8,2,FALSE)</f>
        <v>88</v>
      </c>
      <c r="G429">
        <f>VLOOKUP(C429&amp;"|"&amp;B429,rate_tables!$A$12:$B$17,2,FALSE)</f>
        <v>36</v>
      </c>
      <c r="H429">
        <f>VLOOKUP(C429&amp;"|"&amp;D429,rate_tables!$A$21:$B$28,2,FALSE)</f>
        <v>1E-3</v>
      </c>
      <c r="I429">
        <f>VLOOKUP(C429&amp;"|"&amp;D429,rate_tables!$A$32:$B$39,2,FALSE)</f>
        <v>2E-3</v>
      </c>
      <c r="J429">
        <f t="shared" si="30"/>
        <v>88</v>
      </c>
      <c r="K429">
        <f t="shared" si="31"/>
        <v>36</v>
      </c>
      <c r="L429">
        <f t="shared" si="32"/>
        <v>5.1818333333333335</v>
      </c>
      <c r="M429">
        <f t="shared" si="33"/>
        <v>10.363666666666667</v>
      </c>
      <c r="N429">
        <f t="shared" si="34"/>
        <v>139.5455</v>
      </c>
    </row>
    <row r="430" spans="1:14" x14ac:dyDescent="0.45">
      <c r="A430">
        <v>429</v>
      </c>
      <c r="B430" t="s">
        <v>4</v>
      </c>
      <c r="C430" t="s">
        <v>8</v>
      </c>
      <c r="D430" t="s">
        <v>37</v>
      </c>
      <c r="E430">
        <v>100610</v>
      </c>
      <c r="F430">
        <f>VLOOKUP(C430&amp;"|"&amp;B430,rate_tables!$A$3:$B$8,2,FALSE)</f>
        <v>85</v>
      </c>
      <c r="G430">
        <f>VLOOKUP(C430&amp;"|"&amp;B430,rate_tables!$A$12:$B$17,2,FALSE)</f>
        <v>35</v>
      </c>
      <c r="H430">
        <f>VLOOKUP(C430&amp;"|"&amp;D430,rate_tables!$A$21:$B$28,2,FALSE)</f>
        <v>1.4E-3</v>
      </c>
      <c r="I430">
        <f>VLOOKUP(C430&amp;"|"&amp;D430,rate_tables!$A$32:$B$39,2,FALSE)</f>
        <v>3.0000000000000001E-3</v>
      </c>
      <c r="J430">
        <f t="shared" si="30"/>
        <v>85</v>
      </c>
      <c r="K430">
        <f t="shared" si="31"/>
        <v>35</v>
      </c>
      <c r="L430">
        <f t="shared" si="32"/>
        <v>11.737833333333333</v>
      </c>
      <c r="M430">
        <f t="shared" si="33"/>
        <v>25.1525</v>
      </c>
      <c r="N430">
        <f t="shared" si="34"/>
        <v>156.89033333333333</v>
      </c>
    </row>
    <row r="431" spans="1:14" x14ac:dyDescent="0.45">
      <c r="A431">
        <v>430</v>
      </c>
      <c r="B431" t="s">
        <v>4</v>
      </c>
      <c r="C431" t="s">
        <v>8</v>
      </c>
      <c r="D431" t="s">
        <v>37</v>
      </c>
      <c r="E431">
        <v>71526</v>
      </c>
      <c r="F431">
        <f>VLOOKUP(C431&amp;"|"&amp;B431,rate_tables!$A$3:$B$8,2,FALSE)</f>
        <v>85</v>
      </c>
      <c r="G431">
        <f>VLOOKUP(C431&amp;"|"&amp;B431,rate_tables!$A$12:$B$17,2,FALSE)</f>
        <v>35</v>
      </c>
      <c r="H431">
        <f>VLOOKUP(C431&amp;"|"&amp;D431,rate_tables!$A$21:$B$28,2,FALSE)</f>
        <v>1.4E-3</v>
      </c>
      <c r="I431">
        <f>VLOOKUP(C431&amp;"|"&amp;D431,rate_tables!$A$32:$B$39,2,FALSE)</f>
        <v>3.0000000000000001E-3</v>
      </c>
      <c r="J431">
        <f t="shared" si="30"/>
        <v>85</v>
      </c>
      <c r="K431">
        <f t="shared" si="31"/>
        <v>35</v>
      </c>
      <c r="L431">
        <f t="shared" si="32"/>
        <v>8.3446999999999996</v>
      </c>
      <c r="M431">
        <f t="shared" si="33"/>
        <v>17.881499999999999</v>
      </c>
      <c r="N431">
        <f t="shared" si="34"/>
        <v>146.22619999999998</v>
      </c>
    </row>
    <row r="432" spans="1:14" x14ac:dyDescent="0.45">
      <c r="A432">
        <v>431</v>
      </c>
      <c r="B432" t="s">
        <v>6</v>
      </c>
      <c r="C432" t="s">
        <v>8</v>
      </c>
      <c r="D432" t="s">
        <v>36</v>
      </c>
      <c r="E432">
        <v>68640</v>
      </c>
      <c r="F432">
        <f>VLOOKUP(C432&amp;"|"&amp;B432,rate_tables!$A$3:$B$8,2,FALSE)</f>
        <v>88</v>
      </c>
      <c r="G432">
        <f>VLOOKUP(C432&amp;"|"&amp;B432,rate_tables!$A$12:$B$17,2,FALSE)</f>
        <v>36</v>
      </c>
      <c r="H432">
        <f>VLOOKUP(C432&amp;"|"&amp;D432,rate_tables!$A$21:$B$28,2,FALSE)</f>
        <v>1E-3</v>
      </c>
      <c r="I432">
        <f>VLOOKUP(C432&amp;"|"&amp;D432,rate_tables!$A$32:$B$39,2,FALSE)</f>
        <v>2E-3</v>
      </c>
      <c r="J432">
        <f t="shared" si="30"/>
        <v>88</v>
      </c>
      <c r="K432">
        <f t="shared" si="31"/>
        <v>36</v>
      </c>
      <c r="L432">
        <f t="shared" si="32"/>
        <v>5.72</v>
      </c>
      <c r="M432">
        <f t="shared" si="33"/>
        <v>11.44</v>
      </c>
      <c r="N432">
        <f t="shared" si="34"/>
        <v>141.16</v>
      </c>
    </row>
    <row r="433" spans="1:14" x14ac:dyDescent="0.45">
      <c r="A433">
        <v>432</v>
      </c>
      <c r="B433" t="s">
        <v>5</v>
      </c>
      <c r="C433" t="s">
        <v>9</v>
      </c>
      <c r="D433" t="s">
        <v>35</v>
      </c>
      <c r="E433">
        <v>58334</v>
      </c>
      <c r="F433">
        <f>VLOOKUP(C433&amp;"|"&amp;B433,rate_tables!$A$3:$B$8,2,FALSE)</f>
        <v>100</v>
      </c>
      <c r="G433">
        <f>VLOOKUP(C433&amp;"|"&amp;B433,rate_tables!$A$12:$B$17,2,FALSE)</f>
        <v>42</v>
      </c>
      <c r="H433">
        <f>VLOOKUP(C433&amp;"|"&amp;D433,rate_tables!$A$21:$B$28,2,FALSE)</f>
        <v>1E-3</v>
      </c>
      <c r="I433">
        <f>VLOOKUP(C433&amp;"|"&amp;D433,rate_tables!$A$32:$B$39,2,FALSE)</f>
        <v>2E-3</v>
      </c>
      <c r="J433">
        <f t="shared" si="30"/>
        <v>100</v>
      </c>
      <c r="K433">
        <f t="shared" si="31"/>
        <v>42</v>
      </c>
      <c r="L433">
        <f t="shared" si="32"/>
        <v>4.8611666666666666</v>
      </c>
      <c r="M433">
        <f t="shared" si="33"/>
        <v>9.7223333333333333</v>
      </c>
      <c r="N433">
        <f t="shared" si="34"/>
        <v>156.58349999999999</v>
      </c>
    </row>
    <row r="434" spans="1:14" x14ac:dyDescent="0.45">
      <c r="A434">
        <v>433</v>
      </c>
      <c r="B434" t="s">
        <v>5</v>
      </c>
      <c r="C434" t="s">
        <v>8</v>
      </c>
      <c r="D434" t="s">
        <v>37</v>
      </c>
      <c r="E434">
        <v>85702</v>
      </c>
      <c r="F434">
        <f>VLOOKUP(C434&amp;"|"&amp;B434,rate_tables!$A$3:$B$8,2,FALSE)</f>
        <v>90</v>
      </c>
      <c r="G434">
        <f>VLOOKUP(C434&amp;"|"&amp;B434,rate_tables!$A$12:$B$17,2,FALSE)</f>
        <v>37</v>
      </c>
      <c r="H434">
        <f>VLOOKUP(C434&amp;"|"&amp;D434,rate_tables!$A$21:$B$28,2,FALSE)</f>
        <v>1.4E-3</v>
      </c>
      <c r="I434">
        <f>VLOOKUP(C434&amp;"|"&amp;D434,rate_tables!$A$32:$B$39,2,FALSE)</f>
        <v>3.0000000000000001E-3</v>
      </c>
      <c r="J434">
        <f t="shared" si="30"/>
        <v>90</v>
      </c>
      <c r="K434">
        <f t="shared" si="31"/>
        <v>37</v>
      </c>
      <c r="L434">
        <f t="shared" si="32"/>
        <v>9.998566666666667</v>
      </c>
      <c r="M434">
        <f t="shared" si="33"/>
        <v>21.4255</v>
      </c>
      <c r="N434">
        <f t="shared" si="34"/>
        <v>158.42406666666668</v>
      </c>
    </row>
    <row r="435" spans="1:14" x14ac:dyDescent="0.45">
      <c r="A435">
        <v>434</v>
      </c>
      <c r="B435" t="s">
        <v>4</v>
      </c>
      <c r="C435" t="s">
        <v>8</v>
      </c>
      <c r="D435" t="s">
        <v>35</v>
      </c>
      <c r="E435">
        <v>53071</v>
      </c>
      <c r="F435">
        <f>VLOOKUP(C435&amp;"|"&amp;B435,rate_tables!$A$3:$B$8,2,FALSE)</f>
        <v>85</v>
      </c>
      <c r="G435">
        <f>VLOOKUP(C435&amp;"|"&amp;B435,rate_tables!$A$12:$B$17,2,FALSE)</f>
        <v>35</v>
      </c>
      <c r="H435">
        <f>VLOOKUP(C435&amp;"|"&amp;D435,rate_tables!$A$21:$B$28,2,FALSE)</f>
        <v>8.0000000000000004E-4</v>
      </c>
      <c r="I435">
        <f>VLOOKUP(C435&amp;"|"&amp;D435,rate_tables!$A$32:$B$39,2,FALSE)</f>
        <v>1.6000000000000001E-3</v>
      </c>
      <c r="J435">
        <f t="shared" si="30"/>
        <v>85</v>
      </c>
      <c r="K435">
        <f t="shared" si="31"/>
        <v>35</v>
      </c>
      <c r="L435">
        <f t="shared" si="32"/>
        <v>3.5380666666666669</v>
      </c>
      <c r="M435">
        <f t="shared" si="33"/>
        <v>7.0761333333333338</v>
      </c>
      <c r="N435">
        <f t="shared" si="34"/>
        <v>130.61420000000001</v>
      </c>
    </row>
    <row r="436" spans="1:14" x14ac:dyDescent="0.45">
      <c r="A436">
        <v>435</v>
      </c>
      <c r="B436" t="s">
        <v>4</v>
      </c>
      <c r="C436" t="s">
        <v>9</v>
      </c>
      <c r="D436" t="s">
        <v>36</v>
      </c>
      <c r="E436">
        <v>55492</v>
      </c>
      <c r="F436">
        <f>VLOOKUP(C436&amp;"|"&amp;B436,rate_tables!$A$3:$B$8,2,FALSE)</f>
        <v>95</v>
      </c>
      <c r="G436">
        <f>VLOOKUP(C436&amp;"|"&amp;B436,rate_tables!$A$12:$B$17,2,FALSE)</f>
        <v>40</v>
      </c>
      <c r="H436">
        <f>VLOOKUP(C436&amp;"|"&amp;D436,rate_tables!$A$21:$B$28,2,FALSE)</f>
        <v>1.2999999999999999E-3</v>
      </c>
      <c r="I436">
        <f>VLOOKUP(C436&amp;"|"&amp;D436,rate_tables!$A$32:$B$39,2,FALSE)</f>
        <v>2.5999999999999999E-3</v>
      </c>
      <c r="J436">
        <f t="shared" si="30"/>
        <v>95</v>
      </c>
      <c r="K436">
        <f t="shared" si="31"/>
        <v>40</v>
      </c>
      <c r="L436">
        <f t="shared" si="32"/>
        <v>6.0116333333333332</v>
      </c>
      <c r="M436">
        <f t="shared" si="33"/>
        <v>12.023266666666666</v>
      </c>
      <c r="N436">
        <f t="shared" si="34"/>
        <v>153.03489999999999</v>
      </c>
    </row>
    <row r="437" spans="1:14" x14ac:dyDescent="0.45">
      <c r="A437">
        <v>436</v>
      </c>
      <c r="B437" t="s">
        <v>4</v>
      </c>
      <c r="C437" t="s">
        <v>9</v>
      </c>
      <c r="D437" t="s">
        <v>35</v>
      </c>
      <c r="E437">
        <v>54179</v>
      </c>
      <c r="F437">
        <f>VLOOKUP(C437&amp;"|"&amp;B437,rate_tables!$A$3:$B$8,2,FALSE)</f>
        <v>95</v>
      </c>
      <c r="G437">
        <f>VLOOKUP(C437&amp;"|"&amp;B437,rate_tables!$A$12:$B$17,2,FALSE)</f>
        <v>40</v>
      </c>
      <c r="H437">
        <f>VLOOKUP(C437&amp;"|"&amp;D437,rate_tables!$A$21:$B$28,2,FALSE)</f>
        <v>1E-3</v>
      </c>
      <c r="I437">
        <f>VLOOKUP(C437&amp;"|"&amp;D437,rate_tables!$A$32:$B$39,2,FALSE)</f>
        <v>2E-3</v>
      </c>
      <c r="J437">
        <f t="shared" si="30"/>
        <v>95</v>
      </c>
      <c r="K437">
        <f t="shared" si="31"/>
        <v>40</v>
      </c>
      <c r="L437">
        <f t="shared" si="32"/>
        <v>4.5149166666666671</v>
      </c>
      <c r="M437">
        <f t="shared" si="33"/>
        <v>9.0298333333333343</v>
      </c>
      <c r="N437">
        <f t="shared" si="34"/>
        <v>148.54474999999999</v>
      </c>
    </row>
    <row r="438" spans="1:14" x14ac:dyDescent="0.45">
      <c r="A438">
        <v>437</v>
      </c>
      <c r="B438" t="s">
        <v>4</v>
      </c>
      <c r="C438" t="s">
        <v>8</v>
      </c>
      <c r="D438" t="s">
        <v>37</v>
      </c>
      <c r="E438">
        <v>115650</v>
      </c>
      <c r="F438">
        <f>VLOOKUP(C438&amp;"|"&amp;B438,rate_tables!$A$3:$B$8,2,FALSE)</f>
        <v>85</v>
      </c>
      <c r="G438">
        <f>VLOOKUP(C438&amp;"|"&amp;B438,rate_tables!$A$12:$B$17,2,FALSE)</f>
        <v>35</v>
      </c>
      <c r="H438">
        <f>VLOOKUP(C438&amp;"|"&amp;D438,rate_tables!$A$21:$B$28,2,FALSE)</f>
        <v>1.4E-3</v>
      </c>
      <c r="I438">
        <f>VLOOKUP(C438&amp;"|"&amp;D438,rate_tables!$A$32:$B$39,2,FALSE)</f>
        <v>3.0000000000000001E-3</v>
      </c>
      <c r="J438">
        <f t="shared" si="30"/>
        <v>85</v>
      </c>
      <c r="K438">
        <f t="shared" si="31"/>
        <v>35</v>
      </c>
      <c r="L438">
        <f t="shared" si="32"/>
        <v>13.4925</v>
      </c>
      <c r="M438">
        <f t="shared" si="33"/>
        <v>28.912499999999998</v>
      </c>
      <c r="N438">
        <f t="shared" si="34"/>
        <v>162.405</v>
      </c>
    </row>
    <row r="439" spans="1:14" x14ac:dyDescent="0.45">
      <c r="A439">
        <v>438</v>
      </c>
      <c r="B439" t="s">
        <v>4</v>
      </c>
      <c r="C439" t="s">
        <v>8</v>
      </c>
      <c r="D439" t="s">
        <v>36</v>
      </c>
      <c r="E439">
        <v>112443</v>
      </c>
      <c r="F439">
        <f>VLOOKUP(C439&amp;"|"&amp;B439,rate_tables!$A$3:$B$8,2,FALSE)</f>
        <v>85</v>
      </c>
      <c r="G439">
        <f>VLOOKUP(C439&amp;"|"&amp;B439,rate_tables!$A$12:$B$17,2,FALSE)</f>
        <v>35</v>
      </c>
      <c r="H439">
        <f>VLOOKUP(C439&amp;"|"&amp;D439,rate_tables!$A$21:$B$28,2,FALSE)</f>
        <v>1E-3</v>
      </c>
      <c r="I439">
        <f>VLOOKUP(C439&amp;"|"&amp;D439,rate_tables!$A$32:$B$39,2,FALSE)</f>
        <v>2E-3</v>
      </c>
      <c r="J439">
        <f t="shared" si="30"/>
        <v>85</v>
      </c>
      <c r="K439">
        <f t="shared" si="31"/>
        <v>35</v>
      </c>
      <c r="L439">
        <f t="shared" si="32"/>
        <v>9.3702500000000004</v>
      </c>
      <c r="M439">
        <f t="shared" si="33"/>
        <v>18.740500000000001</v>
      </c>
      <c r="N439">
        <f t="shared" si="34"/>
        <v>148.11075</v>
      </c>
    </row>
    <row r="440" spans="1:14" x14ac:dyDescent="0.45">
      <c r="A440">
        <v>439</v>
      </c>
      <c r="B440" t="s">
        <v>5</v>
      </c>
      <c r="C440" t="s">
        <v>8</v>
      </c>
      <c r="D440" t="s">
        <v>38</v>
      </c>
      <c r="E440">
        <v>125160</v>
      </c>
      <c r="F440">
        <f>VLOOKUP(C440&amp;"|"&amp;B440,rate_tables!$A$3:$B$8,2,FALSE)</f>
        <v>90</v>
      </c>
      <c r="G440">
        <f>VLOOKUP(C440&amp;"|"&amp;B440,rate_tables!$A$12:$B$17,2,FALSE)</f>
        <v>37</v>
      </c>
      <c r="H440">
        <f>VLOOKUP(C440&amp;"|"&amp;D440,rate_tables!$A$21:$B$28,2,FALSE)</f>
        <v>2E-3</v>
      </c>
      <c r="I440">
        <f>VLOOKUP(C440&amp;"|"&amp;D440,rate_tables!$A$32:$B$39,2,FALSE)</f>
        <v>4.4000000000000003E-3</v>
      </c>
      <c r="J440">
        <f t="shared" si="30"/>
        <v>90</v>
      </c>
      <c r="K440">
        <f t="shared" si="31"/>
        <v>37</v>
      </c>
      <c r="L440">
        <f t="shared" si="32"/>
        <v>20.86</v>
      </c>
      <c r="M440">
        <f t="shared" si="33"/>
        <v>45.892000000000003</v>
      </c>
      <c r="N440">
        <f t="shared" si="34"/>
        <v>193.75200000000001</v>
      </c>
    </row>
    <row r="441" spans="1:14" x14ac:dyDescent="0.45">
      <c r="A441">
        <v>440</v>
      </c>
      <c r="B441" t="s">
        <v>4</v>
      </c>
      <c r="C441" t="s">
        <v>9</v>
      </c>
      <c r="D441" t="s">
        <v>36</v>
      </c>
      <c r="E441">
        <v>75018</v>
      </c>
      <c r="F441">
        <f>VLOOKUP(C441&amp;"|"&amp;B441,rate_tables!$A$3:$B$8,2,FALSE)</f>
        <v>95</v>
      </c>
      <c r="G441">
        <f>VLOOKUP(C441&amp;"|"&amp;B441,rate_tables!$A$12:$B$17,2,FALSE)</f>
        <v>40</v>
      </c>
      <c r="H441">
        <f>VLOOKUP(C441&amp;"|"&amp;D441,rate_tables!$A$21:$B$28,2,FALSE)</f>
        <v>1.2999999999999999E-3</v>
      </c>
      <c r="I441">
        <f>VLOOKUP(C441&amp;"|"&amp;D441,rate_tables!$A$32:$B$39,2,FALSE)</f>
        <v>2.5999999999999999E-3</v>
      </c>
      <c r="J441">
        <f t="shared" si="30"/>
        <v>95</v>
      </c>
      <c r="K441">
        <f t="shared" si="31"/>
        <v>40</v>
      </c>
      <c r="L441">
        <f t="shared" si="32"/>
        <v>8.126949999999999</v>
      </c>
      <c r="M441">
        <f t="shared" si="33"/>
        <v>16.253899999999998</v>
      </c>
      <c r="N441">
        <f t="shared" si="34"/>
        <v>159.38084999999998</v>
      </c>
    </row>
    <row r="442" spans="1:14" x14ac:dyDescent="0.45">
      <c r="A442">
        <v>441</v>
      </c>
      <c r="B442" t="s">
        <v>5</v>
      </c>
      <c r="C442" t="s">
        <v>8</v>
      </c>
      <c r="D442" t="s">
        <v>35</v>
      </c>
      <c r="E442">
        <v>125595</v>
      </c>
      <c r="F442">
        <f>VLOOKUP(C442&amp;"|"&amp;B442,rate_tables!$A$3:$B$8,2,FALSE)</f>
        <v>90</v>
      </c>
      <c r="G442">
        <f>VLOOKUP(C442&amp;"|"&amp;B442,rate_tables!$A$12:$B$17,2,FALSE)</f>
        <v>37</v>
      </c>
      <c r="H442">
        <f>VLOOKUP(C442&amp;"|"&amp;D442,rate_tables!$A$21:$B$28,2,FALSE)</f>
        <v>8.0000000000000004E-4</v>
      </c>
      <c r="I442">
        <f>VLOOKUP(C442&amp;"|"&amp;D442,rate_tables!$A$32:$B$39,2,FALSE)</f>
        <v>1.6000000000000001E-3</v>
      </c>
      <c r="J442">
        <f t="shared" si="30"/>
        <v>90</v>
      </c>
      <c r="K442">
        <f t="shared" si="31"/>
        <v>37</v>
      </c>
      <c r="L442">
        <f t="shared" si="32"/>
        <v>8.3729999999999993</v>
      </c>
      <c r="M442">
        <f t="shared" si="33"/>
        <v>16.745999999999999</v>
      </c>
      <c r="N442">
        <f t="shared" si="34"/>
        <v>152.119</v>
      </c>
    </row>
    <row r="443" spans="1:14" x14ac:dyDescent="0.45">
      <c r="A443">
        <v>442</v>
      </c>
      <c r="B443" t="s">
        <v>4</v>
      </c>
      <c r="C443" t="s">
        <v>9</v>
      </c>
      <c r="D443" t="s">
        <v>36</v>
      </c>
      <c r="E443">
        <v>58151</v>
      </c>
      <c r="F443">
        <f>VLOOKUP(C443&amp;"|"&amp;B443,rate_tables!$A$3:$B$8,2,FALSE)</f>
        <v>95</v>
      </c>
      <c r="G443">
        <f>VLOOKUP(C443&amp;"|"&amp;B443,rate_tables!$A$12:$B$17,2,FALSE)</f>
        <v>40</v>
      </c>
      <c r="H443">
        <f>VLOOKUP(C443&amp;"|"&amp;D443,rate_tables!$A$21:$B$28,2,FALSE)</f>
        <v>1.2999999999999999E-3</v>
      </c>
      <c r="I443">
        <f>VLOOKUP(C443&amp;"|"&amp;D443,rate_tables!$A$32:$B$39,2,FALSE)</f>
        <v>2.5999999999999999E-3</v>
      </c>
      <c r="J443">
        <f t="shared" si="30"/>
        <v>95</v>
      </c>
      <c r="K443">
        <f t="shared" si="31"/>
        <v>40</v>
      </c>
      <c r="L443">
        <f t="shared" si="32"/>
        <v>6.2996916666666669</v>
      </c>
      <c r="M443">
        <f t="shared" si="33"/>
        <v>12.599383333333334</v>
      </c>
      <c r="N443">
        <f t="shared" si="34"/>
        <v>153.89907499999998</v>
      </c>
    </row>
    <row r="444" spans="1:14" x14ac:dyDescent="0.45">
      <c r="A444">
        <v>443</v>
      </c>
      <c r="B444" t="s">
        <v>4</v>
      </c>
      <c r="C444" t="s">
        <v>8</v>
      </c>
      <c r="D444" t="s">
        <v>36</v>
      </c>
      <c r="E444">
        <v>65865</v>
      </c>
      <c r="F444">
        <f>VLOOKUP(C444&amp;"|"&amp;B444,rate_tables!$A$3:$B$8,2,FALSE)</f>
        <v>85</v>
      </c>
      <c r="G444">
        <f>VLOOKUP(C444&amp;"|"&amp;B444,rate_tables!$A$12:$B$17,2,FALSE)</f>
        <v>35</v>
      </c>
      <c r="H444">
        <f>VLOOKUP(C444&amp;"|"&amp;D444,rate_tables!$A$21:$B$28,2,FALSE)</f>
        <v>1E-3</v>
      </c>
      <c r="I444">
        <f>VLOOKUP(C444&amp;"|"&amp;D444,rate_tables!$A$32:$B$39,2,FALSE)</f>
        <v>2E-3</v>
      </c>
      <c r="J444">
        <f t="shared" si="30"/>
        <v>85</v>
      </c>
      <c r="K444">
        <f t="shared" si="31"/>
        <v>35</v>
      </c>
      <c r="L444">
        <f t="shared" si="32"/>
        <v>5.4887499999999996</v>
      </c>
      <c r="M444">
        <f t="shared" si="33"/>
        <v>10.977499999999999</v>
      </c>
      <c r="N444">
        <f t="shared" si="34"/>
        <v>136.46625</v>
      </c>
    </row>
    <row r="445" spans="1:14" x14ac:dyDescent="0.45">
      <c r="A445">
        <v>444</v>
      </c>
      <c r="B445" t="s">
        <v>6</v>
      </c>
      <c r="C445" t="s">
        <v>8</v>
      </c>
      <c r="D445" t="s">
        <v>38</v>
      </c>
      <c r="E445">
        <v>113915</v>
      </c>
      <c r="F445">
        <f>VLOOKUP(C445&amp;"|"&amp;B445,rate_tables!$A$3:$B$8,2,FALSE)</f>
        <v>88</v>
      </c>
      <c r="G445">
        <f>VLOOKUP(C445&amp;"|"&amp;B445,rate_tables!$A$12:$B$17,2,FALSE)</f>
        <v>36</v>
      </c>
      <c r="H445">
        <f>VLOOKUP(C445&amp;"|"&amp;D445,rate_tables!$A$21:$B$28,2,FALSE)</f>
        <v>2E-3</v>
      </c>
      <c r="I445">
        <f>VLOOKUP(C445&amp;"|"&amp;D445,rate_tables!$A$32:$B$39,2,FALSE)</f>
        <v>4.4000000000000003E-3</v>
      </c>
      <c r="J445">
        <f t="shared" si="30"/>
        <v>88</v>
      </c>
      <c r="K445">
        <f t="shared" si="31"/>
        <v>36</v>
      </c>
      <c r="L445">
        <f t="shared" si="32"/>
        <v>18.985833333333336</v>
      </c>
      <c r="M445">
        <f t="shared" si="33"/>
        <v>41.76883333333334</v>
      </c>
      <c r="N445">
        <f t="shared" si="34"/>
        <v>184.75466666666668</v>
      </c>
    </row>
    <row r="446" spans="1:14" x14ac:dyDescent="0.45">
      <c r="A446">
        <v>445</v>
      </c>
      <c r="B446" t="s">
        <v>4</v>
      </c>
      <c r="C446" t="s">
        <v>9</v>
      </c>
      <c r="D446" t="s">
        <v>36</v>
      </c>
      <c r="E446">
        <v>50826</v>
      </c>
      <c r="F446">
        <f>VLOOKUP(C446&amp;"|"&amp;B446,rate_tables!$A$3:$B$8,2,FALSE)</f>
        <v>95</v>
      </c>
      <c r="G446">
        <f>VLOOKUP(C446&amp;"|"&amp;B446,rate_tables!$A$12:$B$17,2,FALSE)</f>
        <v>40</v>
      </c>
      <c r="H446">
        <f>VLOOKUP(C446&amp;"|"&amp;D446,rate_tables!$A$21:$B$28,2,FALSE)</f>
        <v>1.2999999999999999E-3</v>
      </c>
      <c r="I446">
        <f>VLOOKUP(C446&amp;"|"&amp;D446,rate_tables!$A$32:$B$39,2,FALSE)</f>
        <v>2.5999999999999999E-3</v>
      </c>
      <c r="J446">
        <f t="shared" si="30"/>
        <v>95</v>
      </c>
      <c r="K446">
        <f t="shared" si="31"/>
        <v>40</v>
      </c>
      <c r="L446">
        <f t="shared" si="32"/>
        <v>5.506149999999999</v>
      </c>
      <c r="M446">
        <f t="shared" si="33"/>
        <v>11.012299999999998</v>
      </c>
      <c r="N446">
        <f t="shared" si="34"/>
        <v>151.51845</v>
      </c>
    </row>
    <row r="447" spans="1:14" x14ac:dyDescent="0.45">
      <c r="A447">
        <v>446</v>
      </c>
      <c r="B447" t="s">
        <v>5</v>
      </c>
      <c r="C447" t="s">
        <v>8</v>
      </c>
      <c r="D447" t="s">
        <v>36</v>
      </c>
      <c r="E447">
        <v>73217</v>
      </c>
      <c r="F447">
        <f>VLOOKUP(C447&amp;"|"&amp;B447,rate_tables!$A$3:$B$8,2,FALSE)</f>
        <v>90</v>
      </c>
      <c r="G447">
        <f>VLOOKUP(C447&amp;"|"&amp;B447,rate_tables!$A$12:$B$17,2,FALSE)</f>
        <v>37</v>
      </c>
      <c r="H447">
        <f>VLOOKUP(C447&amp;"|"&amp;D447,rate_tables!$A$21:$B$28,2,FALSE)</f>
        <v>1E-3</v>
      </c>
      <c r="I447">
        <f>VLOOKUP(C447&amp;"|"&amp;D447,rate_tables!$A$32:$B$39,2,FALSE)</f>
        <v>2E-3</v>
      </c>
      <c r="J447">
        <f t="shared" si="30"/>
        <v>90</v>
      </c>
      <c r="K447">
        <f t="shared" si="31"/>
        <v>37</v>
      </c>
      <c r="L447">
        <f t="shared" si="32"/>
        <v>6.1014166666666663</v>
      </c>
      <c r="M447">
        <f t="shared" si="33"/>
        <v>12.202833333333333</v>
      </c>
      <c r="N447">
        <f t="shared" si="34"/>
        <v>145.30425</v>
      </c>
    </row>
    <row r="448" spans="1:14" x14ac:dyDescent="0.45">
      <c r="A448">
        <v>447</v>
      </c>
      <c r="B448" t="s">
        <v>4</v>
      </c>
      <c r="C448" t="s">
        <v>9</v>
      </c>
      <c r="D448" t="s">
        <v>37</v>
      </c>
      <c r="E448">
        <v>66936</v>
      </c>
      <c r="F448">
        <f>VLOOKUP(C448&amp;"|"&amp;B448,rate_tables!$A$3:$B$8,2,FALSE)</f>
        <v>95</v>
      </c>
      <c r="G448">
        <f>VLOOKUP(C448&amp;"|"&amp;B448,rate_tables!$A$12:$B$17,2,FALSE)</f>
        <v>40</v>
      </c>
      <c r="H448">
        <f>VLOOKUP(C448&amp;"|"&amp;D448,rate_tables!$A$21:$B$28,2,FALSE)</f>
        <v>1.8E-3</v>
      </c>
      <c r="I448">
        <f>VLOOKUP(C448&amp;"|"&amp;D448,rate_tables!$A$32:$B$39,2,FALSE)</f>
        <v>3.8E-3</v>
      </c>
      <c r="J448">
        <f t="shared" si="30"/>
        <v>95</v>
      </c>
      <c r="K448">
        <f t="shared" si="31"/>
        <v>40</v>
      </c>
      <c r="L448">
        <f t="shared" si="32"/>
        <v>10.0404</v>
      </c>
      <c r="M448">
        <f t="shared" si="33"/>
        <v>21.196400000000001</v>
      </c>
      <c r="N448">
        <f t="shared" si="34"/>
        <v>166.23680000000002</v>
      </c>
    </row>
    <row r="449" spans="1:14" x14ac:dyDescent="0.45">
      <c r="A449">
        <v>448</v>
      </c>
      <c r="B449" t="s">
        <v>4</v>
      </c>
      <c r="C449" t="s">
        <v>8</v>
      </c>
      <c r="D449" t="s">
        <v>36</v>
      </c>
      <c r="E449">
        <v>120791</v>
      </c>
      <c r="F449">
        <f>VLOOKUP(C449&amp;"|"&amp;B449,rate_tables!$A$3:$B$8,2,FALSE)</f>
        <v>85</v>
      </c>
      <c r="G449">
        <f>VLOOKUP(C449&amp;"|"&amp;B449,rate_tables!$A$12:$B$17,2,FALSE)</f>
        <v>35</v>
      </c>
      <c r="H449">
        <f>VLOOKUP(C449&amp;"|"&amp;D449,rate_tables!$A$21:$B$28,2,FALSE)</f>
        <v>1E-3</v>
      </c>
      <c r="I449">
        <f>VLOOKUP(C449&amp;"|"&amp;D449,rate_tables!$A$32:$B$39,2,FALSE)</f>
        <v>2E-3</v>
      </c>
      <c r="J449">
        <f t="shared" si="30"/>
        <v>85</v>
      </c>
      <c r="K449">
        <f t="shared" si="31"/>
        <v>35</v>
      </c>
      <c r="L449">
        <f t="shared" si="32"/>
        <v>10.065916666666666</v>
      </c>
      <c r="M449">
        <f t="shared" si="33"/>
        <v>20.131833333333333</v>
      </c>
      <c r="N449">
        <f t="shared" si="34"/>
        <v>150.19775000000001</v>
      </c>
    </row>
    <row r="450" spans="1:14" x14ac:dyDescent="0.45">
      <c r="A450">
        <v>449</v>
      </c>
      <c r="B450" t="s">
        <v>4</v>
      </c>
      <c r="C450" t="s">
        <v>8</v>
      </c>
      <c r="D450" t="s">
        <v>37</v>
      </c>
      <c r="E450">
        <v>74009</v>
      </c>
      <c r="F450">
        <f>VLOOKUP(C450&amp;"|"&amp;B450,rate_tables!$A$3:$B$8,2,FALSE)</f>
        <v>85</v>
      </c>
      <c r="G450">
        <f>VLOOKUP(C450&amp;"|"&amp;B450,rate_tables!$A$12:$B$17,2,FALSE)</f>
        <v>35</v>
      </c>
      <c r="H450">
        <f>VLOOKUP(C450&amp;"|"&amp;D450,rate_tables!$A$21:$B$28,2,FALSE)</f>
        <v>1.4E-3</v>
      </c>
      <c r="I450">
        <f>VLOOKUP(C450&amp;"|"&amp;D450,rate_tables!$A$32:$B$39,2,FALSE)</f>
        <v>3.0000000000000001E-3</v>
      </c>
      <c r="J450">
        <f t="shared" si="30"/>
        <v>85</v>
      </c>
      <c r="K450">
        <f t="shared" si="31"/>
        <v>35</v>
      </c>
      <c r="L450">
        <f t="shared" si="32"/>
        <v>8.634383333333334</v>
      </c>
      <c r="M450">
        <f t="shared" si="33"/>
        <v>18.50225</v>
      </c>
      <c r="N450">
        <f t="shared" si="34"/>
        <v>147.13663333333335</v>
      </c>
    </row>
    <row r="451" spans="1:14" x14ac:dyDescent="0.45">
      <c r="A451">
        <v>450</v>
      </c>
      <c r="B451" t="s">
        <v>4</v>
      </c>
      <c r="C451" t="s">
        <v>8</v>
      </c>
      <c r="D451" t="s">
        <v>35</v>
      </c>
      <c r="E451">
        <v>52943</v>
      </c>
      <c r="F451">
        <f>VLOOKUP(C451&amp;"|"&amp;B451,rate_tables!$A$3:$B$8,2,FALSE)</f>
        <v>85</v>
      </c>
      <c r="G451">
        <f>VLOOKUP(C451&amp;"|"&amp;B451,rate_tables!$A$12:$B$17,2,FALSE)</f>
        <v>35</v>
      </c>
      <c r="H451">
        <f>VLOOKUP(C451&amp;"|"&amp;D451,rate_tables!$A$21:$B$28,2,FALSE)</f>
        <v>8.0000000000000004E-4</v>
      </c>
      <c r="I451">
        <f>VLOOKUP(C451&amp;"|"&amp;D451,rate_tables!$A$32:$B$39,2,FALSE)</f>
        <v>1.6000000000000001E-3</v>
      </c>
      <c r="J451">
        <f t="shared" ref="J451:J501" si="35">F451</f>
        <v>85</v>
      </c>
      <c r="K451">
        <f t="shared" ref="K451:K501" si="36">G451</f>
        <v>35</v>
      </c>
      <c r="L451">
        <f t="shared" ref="L451:L501" si="37">H451*E451/12</f>
        <v>3.5295333333333336</v>
      </c>
      <c r="M451">
        <f t="shared" ref="M451:M501" si="38">I451*E451/12</f>
        <v>7.0590666666666673</v>
      </c>
      <c r="N451">
        <f t="shared" ref="N451:N501" si="39">SUM(J451:M451)</f>
        <v>130.58860000000001</v>
      </c>
    </row>
    <row r="452" spans="1:14" x14ac:dyDescent="0.45">
      <c r="A452">
        <v>451</v>
      </c>
      <c r="B452" t="s">
        <v>5</v>
      </c>
      <c r="C452" t="s">
        <v>8</v>
      </c>
      <c r="D452" t="s">
        <v>36</v>
      </c>
      <c r="E452">
        <v>91059</v>
      </c>
      <c r="F452">
        <f>VLOOKUP(C452&amp;"|"&amp;B452,rate_tables!$A$3:$B$8,2,FALSE)</f>
        <v>90</v>
      </c>
      <c r="G452">
        <f>VLOOKUP(C452&amp;"|"&amp;B452,rate_tables!$A$12:$B$17,2,FALSE)</f>
        <v>37</v>
      </c>
      <c r="H452">
        <f>VLOOKUP(C452&amp;"|"&amp;D452,rate_tables!$A$21:$B$28,2,FALSE)</f>
        <v>1E-3</v>
      </c>
      <c r="I452">
        <f>VLOOKUP(C452&amp;"|"&amp;D452,rate_tables!$A$32:$B$39,2,FALSE)</f>
        <v>2E-3</v>
      </c>
      <c r="J452">
        <f t="shared" si="35"/>
        <v>90</v>
      </c>
      <c r="K452">
        <f t="shared" si="36"/>
        <v>37</v>
      </c>
      <c r="L452">
        <f t="shared" si="37"/>
        <v>7.5882499999999995</v>
      </c>
      <c r="M452">
        <f t="shared" si="38"/>
        <v>15.176499999999999</v>
      </c>
      <c r="N452">
        <f t="shared" si="39"/>
        <v>149.76474999999999</v>
      </c>
    </row>
    <row r="453" spans="1:14" x14ac:dyDescent="0.45">
      <c r="A453">
        <v>452</v>
      </c>
      <c r="B453" t="s">
        <v>4</v>
      </c>
      <c r="C453" t="s">
        <v>9</v>
      </c>
      <c r="D453" t="s">
        <v>35</v>
      </c>
      <c r="E453">
        <v>74966</v>
      </c>
      <c r="F453">
        <f>VLOOKUP(C453&amp;"|"&amp;B453,rate_tables!$A$3:$B$8,2,FALSE)</f>
        <v>95</v>
      </c>
      <c r="G453">
        <f>VLOOKUP(C453&amp;"|"&amp;B453,rate_tables!$A$12:$B$17,2,FALSE)</f>
        <v>40</v>
      </c>
      <c r="H453">
        <f>VLOOKUP(C453&amp;"|"&amp;D453,rate_tables!$A$21:$B$28,2,FALSE)</f>
        <v>1E-3</v>
      </c>
      <c r="I453">
        <f>VLOOKUP(C453&amp;"|"&amp;D453,rate_tables!$A$32:$B$39,2,FALSE)</f>
        <v>2E-3</v>
      </c>
      <c r="J453">
        <f t="shared" si="35"/>
        <v>95</v>
      </c>
      <c r="K453">
        <f t="shared" si="36"/>
        <v>40</v>
      </c>
      <c r="L453">
        <f t="shared" si="37"/>
        <v>6.2471666666666676</v>
      </c>
      <c r="M453">
        <f t="shared" si="38"/>
        <v>12.494333333333335</v>
      </c>
      <c r="N453">
        <f t="shared" si="39"/>
        <v>153.7415</v>
      </c>
    </row>
    <row r="454" spans="1:14" x14ac:dyDescent="0.45">
      <c r="A454">
        <v>453</v>
      </c>
      <c r="B454" t="s">
        <v>4</v>
      </c>
      <c r="C454" t="s">
        <v>9</v>
      </c>
      <c r="D454" t="s">
        <v>36</v>
      </c>
      <c r="E454">
        <v>61056</v>
      </c>
      <c r="F454">
        <f>VLOOKUP(C454&amp;"|"&amp;B454,rate_tables!$A$3:$B$8,2,FALSE)</f>
        <v>95</v>
      </c>
      <c r="G454">
        <f>VLOOKUP(C454&amp;"|"&amp;B454,rate_tables!$A$12:$B$17,2,FALSE)</f>
        <v>40</v>
      </c>
      <c r="H454">
        <f>VLOOKUP(C454&amp;"|"&amp;D454,rate_tables!$A$21:$B$28,2,FALSE)</f>
        <v>1.2999999999999999E-3</v>
      </c>
      <c r="I454">
        <f>VLOOKUP(C454&amp;"|"&amp;D454,rate_tables!$A$32:$B$39,2,FALSE)</f>
        <v>2.5999999999999999E-3</v>
      </c>
      <c r="J454">
        <f t="shared" si="35"/>
        <v>95</v>
      </c>
      <c r="K454">
        <f t="shared" si="36"/>
        <v>40</v>
      </c>
      <c r="L454">
        <f t="shared" si="37"/>
        <v>6.6143999999999998</v>
      </c>
      <c r="M454">
        <f t="shared" si="38"/>
        <v>13.2288</v>
      </c>
      <c r="N454">
        <f t="shared" si="39"/>
        <v>154.8432</v>
      </c>
    </row>
    <row r="455" spans="1:14" x14ac:dyDescent="0.45">
      <c r="A455">
        <v>454</v>
      </c>
      <c r="B455" t="s">
        <v>6</v>
      </c>
      <c r="C455" t="s">
        <v>9</v>
      </c>
      <c r="D455" t="s">
        <v>35</v>
      </c>
      <c r="E455">
        <v>72060</v>
      </c>
      <c r="F455">
        <f>VLOOKUP(C455&amp;"|"&amp;B455,rate_tables!$A$3:$B$8,2,FALSE)</f>
        <v>98</v>
      </c>
      <c r="G455">
        <f>VLOOKUP(C455&amp;"|"&amp;B455,rate_tables!$A$12:$B$17,2,FALSE)</f>
        <v>41</v>
      </c>
      <c r="H455">
        <f>VLOOKUP(C455&amp;"|"&amp;D455,rate_tables!$A$21:$B$28,2,FALSE)</f>
        <v>1E-3</v>
      </c>
      <c r="I455">
        <f>VLOOKUP(C455&amp;"|"&amp;D455,rate_tables!$A$32:$B$39,2,FALSE)</f>
        <v>2E-3</v>
      </c>
      <c r="J455">
        <f t="shared" si="35"/>
        <v>98</v>
      </c>
      <c r="K455">
        <f t="shared" si="36"/>
        <v>41</v>
      </c>
      <c r="L455">
        <f t="shared" si="37"/>
        <v>6.0049999999999999</v>
      </c>
      <c r="M455">
        <f t="shared" si="38"/>
        <v>12.01</v>
      </c>
      <c r="N455">
        <f t="shared" si="39"/>
        <v>157.01499999999999</v>
      </c>
    </row>
    <row r="456" spans="1:14" x14ac:dyDescent="0.45">
      <c r="A456">
        <v>455</v>
      </c>
      <c r="B456" t="s">
        <v>6</v>
      </c>
      <c r="C456" t="s">
        <v>9</v>
      </c>
      <c r="D456" t="s">
        <v>36</v>
      </c>
      <c r="E456">
        <v>61149</v>
      </c>
      <c r="F456">
        <f>VLOOKUP(C456&amp;"|"&amp;B456,rate_tables!$A$3:$B$8,2,FALSE)</f>
        <v>98</v>
      </c>
      <c r="G456">
        <f>VLOOKUP(C456&amp;"|"&amp;B456,rate_tables!$A$12:$B$17,2,FALSE)</f>
        <v>41</v>
      </c>
      <c r="H456">
        <f>VLOOKUP(C456&amp;"|"&amp;D456,rate_tables!$A$21:$B$28,2,FALSE)</f>
        <v>1.2999999999999999E-3</v>
      </c>
      <c r="I456">
        <f>VLOOKUP(C456&amp;"|"&amp;D456,rate_tables!$A$32:$B$39,2,FALSE)</f>
        <v>2.5999999999999999E-3</v>
      </c>
      <c r="J456">
        <f t="shared" si="35"/>
        <v>98</v>
      </c>
      <c r="K456">
        <f t="shared" si="36"/>
        <v>41</v>
      </c>
      <c r="L456">
        <f t="shared" si="37"/>
        <v>6.6244749999999994</v>
      </c>
      <c r="M456">
        <f t="shared" si="38"/>
        <v>13.248949999999999</v>
      </c>
      <c r="N456">
        <f t="shared" si="39"/>
        <v>158.873425</v>
      </c>
    </row>
    <row r="457" spans="1:14" x14ac:dyDescent="0.45">
      <c r="A457">
        <v>456</v>
      </c>
      <c r="B457" t="s">
        <v>4</v>
      </c>
      <c r="C457" t="s">
        <v>8</v>
      </c>
      <c r="D457" t="s">
        <v>35</v>
      </c>
      <c r="E457">
        <v>108910</v>
      </c>
      <c r="F457">
        <f>VLOOKUP(C457&amp;"|"&amp;B457,rate_tables!$A$3:$B$8,2,FALSE)</f>
        <v>85</v>
      </c>
      <c r="G457">
        <f>VLOOKUP(C457&amp;"|"&amp;B457,rate_tables!$A$12:$B$17,2,FALSE)</f>
        <v>35</v>
      </c>
      <c r="H457">
        <f>VLOOKUP(C457&amp;"|"&amp;D457,rate_tables!$A$21:$B$28,2,FALSE)</f>
        <v>8.0000000000000004E-4</v>
      </c>
      <c r="I457">
        <f>VLOOKUP(C457&amp;"|"&amp;D457,rate_tables!$A$32:$B$39,2,FALSE)</f>
        <v>1.6000000000000001E-3</v>
      </c>
      <c r="J457">
        <f t="shared" si="35"/>
        <v>85</v>
      </c>
      <c r="K457">
        <f t="shared" si="36"/>
        <v>35</v>
      </c>
      <c r="L457">
        <f t="shared" si="37"/>
        <v>7.2606666666666664</v>
      </c>
      <c r="M457">
        <f t="shared" si="38"/>
        <v>14.521333333333333</v>
      </c>
      <c r="N457">
        <f t="shared" si="39"/>
        <v>141.78200000000001</v>
      </c>
    </row>
    <row r="458" spans="1:14" x14ac:dyDescent="0.45">
      <c r="A458">
        <v>457</v>
      </c>
      <c r="B458" t="s">
        <v>4</v>
      </c>
      <c r="C458" t="s">
        <v>8</v>
      </c>
      <c r="D458" t="s">
        <v>36</v>
      </c>
      <c r="E458">
        <v>110868</v>
      </c>
      <c r="F458">
        <f>VLOOKUP(C458&amp;"|"&amp;B458,rate_tables!$A$3:$B$8,2,FALSE)</f>
        <v>85</v>
      </c>
      <c r="G458">
        <f>VLOOKUP(C458&amp;"|"&amp;B458,rate_tables!$A$12:$B$17,2,FALSE)</f>
        <v>35</v>
      </c>
      <c r="H458">
        <f>VLOOKUP(C458&amp;"|"&amp;D458,rate_tables!$A$21:$B$28,2,FALSE)</f>
        <v>1E-3</v>
      </c>
      <c r="I458">
        <f>VLOOKUP(C458&amp;"|"&amp;D458,rate_tables!$A$32:$B$39,2,FALSE)</f>
        <v>2E-3</v>
      </c>
      <c r="J458">
        <f t="shared" si="35"/>
        <v>85</v>
      </c>
      <c r="K458">
        <f t="shared" si="36"/>
        <v>35</v>
      </c>
      <c r="L458">
        <f t="shared" si="37"/>
        <v>9.2390000000000008</v>
      </c>
      <c r="M458">
        <f t="shared" si="38"/>
        <v>18.478000000000002</v>
      </c>
      <c r="N458">
        <f t="shared" si="39"/>
        <v>147.71700000000001</v>
      </c>
    </row>
    <row r="459" spans="1:14" x14ac:dyDescent="0.45">
      <c r="A459">
        <v>458</v>
      </c>
      <c r="B459" t="s">
        <v>5</v>
      </c>
      <c r="C459" t="s">
        <v>8</v>
      </c>
      <c r="D459" t="s">
        <v>36</v>
      </c>
      <c r="E459">
        <v>96297</v>
      </c>
      <c r="F459">
        <f>VLOOKUP(C459&amp;"|"&amp;B459,rate_tables!$A$3:$B$8,2,FALSE)</f>
        <v>90</v>
      </c>
      <c r="G459">
        <f>VLOOKUP(C459&amp;"|"&amp;B459,rate_tables!$A$12:$B$17,2,FALSE)</f>
        <v>37</v>
      </c>
      <c r="H459">
        <f>VLOOKUP(C459&amp;"|"&amp;D459,rate_tables!$A$21:$B$28,2,FALSE)</f>
        <v>1E-3</v>
      </c>
      <c r="I459">
        <f>VLOOKUP(C459&amp;"|"&amp;D459,rate_tables!$A$32:$B$39,2,FALSE)</f>
        <v>2E-3</v>
      </c>
      <c r="J459">
        <f t="shared" si="35"/>
        <v>90</v>
      </c>
      <c r="K459">
        <f t="shared" si="36"/>
        <v>37</v>
      </c>
      <c r="L459">
        <f t="shared" si="37"/>
        <v>8.0247499999999992</v>
      </c>
      <c r="M459">
        <f t="shared" si="38"/>
        <v>16.049499999999998</v>
      </c>
      <c r="N459">
        <f t="shared" si="39"/>
        <v>151.07425000000001</v>
      </c>
    </row>
    <row r="460" spans="1:14" x14ac:dyDescent="0.45">
      <c r="A460">
        <v>459</v>
      </c>
      <c r="B460" t="s">
        <v>5</v>
      </c>
      <c r="C460" t="s">
        <v>8</v>
      </c>
      <c r="D460" t="s">
        <v>38</v>
      </c>
      <c r="E460">
        <v>104699</v>
      </c>
      <c r="F460">
        <f>VLOOKUP(C460&amp;"|"&amp;B460,rate_tables!$A$3:$B$8,2,FALSE)</f>
        <v>90</v>
      </c>
      <c r="G460">
        <f>VLOOKUP(C460&amp;"|"&amp;B460,rate_tables!$A$12:$B$17,2,FALSE)</f>
        <v>37</v>
      </c>
      <c r="H460">
        <f>VLOOKUP(C460&amp;"|"&amp;D460,rate_tables!$A$21:$B$28,2,FALSE)</f>
        <v>2E-3</v>
      </c>
      <c r="I460">
        <f>VLOOKUP(C460&amp;"|"&amp;D460,rate_tables!$A$32:$B$39,2,FALSE)</f>
        <v>4.4000000000000003E-3</v>
      </c>
      <c r="J460">
        <f t="shared" si="35"/>
        <v>90</v>
      </c>
      <c r="K460">
        <f t="shared" si="36"/>
        <v>37</v>
      </c>
      <c r="L460">
        <f t="shared" si="37"/>
        <v>17.449833333333334</v>
      </c>
      <c r="M460">
        <f t="shared" si="38"/>
        <v>38.389633333333336</v>
      </c>
      <c r="N460">
        <f t="shared" si="39"/>
        <v>182.83946666666668</v>
      </c>
    </row>
    <row r="461" spans="1:14" x14ac:dyDescent="0.45">
      <c r="A461">
        <v>460</v>
      </c>
      <c r="B461" t="s">
        <v>4</v>
      </c>
      <c r="C461" t="s">
        <v>8</v>
      </c>
      <c r="D461" t="s">
        <v>36</v>
      </c>
      <c r="E461">
        <v>120756</v>
      </c>
      <c r="F461">
        <f>VLOOKUP(C461&amp;"|"&amp;B461,rate_tables!$A$3:$B$8,2,FALSE)</f>
        <v>85</v>
      </c>
      <c r="G461">
        <f>VLOOKUP(C461&amp;"|"&amp;B461,rate_tables!$A$12:$B$17,2,FALSE)</f>
        <v>35</v>
      </c>
      <c r="H461">
        <f>VLOOKUP(C461&amp;"|"&amp;D461,rate_tables!$A$21:$B$28,2,FALSE)</f>
        <v>1E-3</v>
      </c>
      <c r="I461">
        <f>VLOOKUP(C461&amp;"|"&amp;D461,rate_tables!$A$32:$B$39,2,FALSE)</f>
        <v>2E-3</v>
      </c>
      <c r="J461">
        <f t="shared" si="35"/>
        <v>85</v>
      </c>
      <c r="K461">
        <f t="shared" si="36"/>
        <v>35</v>
      </c>
      <c r="L461">
        <f t="shared" si="37"/>
        <v>10.063000000000001</v>
      </c>
      <c r="M461">
        <f t="shared" si="38"/>
        <v>20.126000000000001</v>
      </c>
      <c r="N461">
        <f t="shared" si="39"/>
        <v>150.18899999999999</v>
      </c>
    </row>
    <row r="462" spans="1:14" x14ac:dyDescent="0.45">
      <c r="A462">
        <v>461</v>
      </c>
      <c r="B462" t="s">
        <v>5</v>
      </c>
      <c r="C462" t="s">
        <v>8</v>
      </c>
      <c r="D462" t="s">
        <v>37</v>
      </c>
      <c r="E462">
        <v>99203</v>
      </c>
      <c r="F462">
        <f>VLOOKUP(C462&amp;"|"&amp;B462,rate_tables!$A$3:$B$8,2,FALSE)</f>
        <v>90</v>
      </c>
      <c r="G462">
        <f>VLOOKUP(C462&amp;"|"&amp;B462,rate_tables!$A$12:$B$17,2,FALSE)</f>
        <v>37</v>
      </c>
      <c r="H462">
        <f>VLOOKUP(C462&amp;"|"&amp;D462,rate_tables!$A$21:$B$28,2,FALSE)</f>
        <v>1.4E-3</v>
      </c>
      <c r="I462">
        <f>VLOOKUP(C462&amp;"|"&amp;D462,rate_tables!$A$32:$B$39,2,FALSE)</f>
        <v>3.0000000000000001E-3</v>
      </c>
      <c r="J462">
        <f t="shared" si="35"/>
        <v>90</v>
      </c>
      <c r="K462">
        <f t="shared" si="36"/>
        <v>37</v>
      </c>
      <c r="L462">
        <f t="shared" si="37"/>
        <v>11.573683333333333</v>
      </c>
      <c r="M462">
        <f t="shared" si="38"/>
        <v>24.800749999999997</v>
      </c>
      <c r="N462">
        <f t="shared" si="39"/>
        <v>163.37443333333331</v>
      </c>
    </row>
    <row r="463" spans="1:14" x14ac:dyDescent="0.45">
      <c r="A463">
        <v>462</v>
      </c>
      <c r="B463" t="s">
        <v>6</v>
      </c>
      <c r="C463" t="s">
        <v>9</v>
      </c>
      <c r="D463" t="s">
        <v>38</v>
      </c>
      <c r="E463">
        <v>72598</v>
      </c>
      <c r="F463">
        <f>VLOOKUP(C463&amp;"|"&amp;B463,rate_tables!$A$3:$B$8,2,FALSE)</f>
        <v>98</v>
      </c>
      <c r="G463">
        <f>VLOOKUP(C463&amp;"|"&amp;B463,rate_tables!$A$12:$B$17,2,FALSE)</f>
        <v>41</v>
      </c>
      <c r="H463">
        <f>VLOOKUP(C463&amp;"|"&amp;D463,rate_tables!$A$21:$B$28,2,FALSE)</f>
        <v>2.5999999999999999E-3</v>
      </c>
      <c r="I463">
        <f>VLOOKUP(C463&amp;"|"&amp;D463,rate_tables!$A$32:$B$39,2,FALSE)</f>
        <v>5.5999999999999999E-3</v>
      </c>
      <c r="J463">
        <f t="shared" si="35"/>
        <v>98</v>
      </c>
      <c r="K463">
        <f t="shared" si="36"/>
        <v>41</v>
      </c>
      <c r="L463">
        <f t="shared" si="37"/>
        <v>15.729566666666665</v>
      </c>
      <c r="M463">
        <f t="shared" si="38"/>
        <v>33.879066666666667</v>
      </c>
      <c r="N463">
        <f t="shared" si="39"/>
        <v>188.60863333333333</v>
      </c>
    </row>
    <row r="464" spans="1:14" x14ac:dyDescent="0.45">
      <c r="A464">
        <v>463</v>
      </c>
      <c r="B464" t="s">
        <v>4</v>
      </c>
      <c r="C464" t="s">
        <v>9</v>
      </c>
      <c r="D464" t="s">
        <v>36</v>
      </c>
      <c r="E464">
        <v>45473</v>
      </c>
      <c r="F464">
        <f>VLOOKUP(C464&amp;"|"&amp;B464,rate_tables!$A$3:$B$8,2,FALSE)</f>
        <v>95</v>
      </c>
      <c r="G464">
        <f>VLOOKUP(C464&amp;"|"&amp;B464,rate_tables!$A$12:$B$17,2,FALSE)</f>
        <v>40</v>
      </c>
      <c r="H464">
        <f>VLOOKUP(C464&amp;"|"&amp;D464,rate_tables!$A$21:$B$28,2,FALSE)</f>
        <v>1.2999999999999999E-3</v>
      </c>
      <c r="I464">
        <f>VLOOKUP(C464&amp;"|"&amp;D464,rate_tables!$A$32:$B$39,2,FALSE)</f>
        <v>2.5999999999999999E-3</v>
      </c>
      <c r="J464">
        <f t="shared" si="35"/>
        <v>95</v>
      </c>
      <c r="K464">
        <f t="shared" si="36"/>
        <v>40</v>
      </c>
      <c r="L464">
        <f t="shared" si="37"/>
        <v>4.9262416666666669</v>
      </c>
      <c r="M464">
        <f t="shared" si="38"/>
        <v>9.8524833333333337</v>
      </c>
      <c r="N464">
        <f t="shared" si="39"/>
        <v>149.77872500000001</v>
      </c>
    </row>
    <row r="465" spans="1:14" x14ac:dyDescent="0.45">
      <c r="A465">
        <v>464</v>
      </c>
      <c r="B465" t="s">
        <v>5</v>
      </c>
      <c r="C465" t="s">
        <v>9</v>
      </c>
      <c r="D465" t="s">
        <v>35</v>
      </c>
      <c r="E465">
        <v>58557</v>
      </c>
      <c r="F465">
        <f>VLOOKUP(C465&amp;"|"&amp;B465,rate_tables!$A$3:$B$8,2,FALSE)</f>
        <v>100</v>
      </c>
      <c r="G465">
        <f>VLOOKUP(C465&amp;"|"&amp;B465,rate_tables!$A$12:$B$17,2,FALSE)</f>
        <v>42</v>
      </c>
      <c r="H465">
        <f>VLOOKUP(C465&amp;"|"&amp;D465,rate_tables!$A$21:$B$28,2,FALSE)</f>
        <v>1E-3</v>
      </c>
      <c r="I465">
        <f>VLOOKUP(C465&amp;"|"&amp;D465,rate_tables!$A$32:$B$39,2,FALSE)</f>
        <v>2E-3</v>
      </c>
      <c r="J465">
        <f t="shared" si="35"/>
        <v>100</v>
      </c>
      <c r="K465">
        <f t="shared" si="36"/>
        <v>42</v>
      </c>
      <c r="L465">
        <f t="shared" si="37"/>
        <v>4.8797500000000005</v>
      </c>
      <c r="M465">
        <f t="shared" si="38"/>
        <v>9.759500000000001</v>
      </c>
      <c r="N465">
        <f t="shared" si="39"/>
        <v>156.63925</v>
      </c>
    </row>
    <row r="466" spans="1:14" x14ac:dyDescent="0.45">
      <c r="A466">
        <v>465</v>
      </c>
      <c r="B466" t="s">
        <v>4</v>
      </c>
      <c r="C466" t="s">
        <v>8</v>
      </c>
      <c r="D466" t="s">
        <v>35</v>
      </c>
      <c r="E466">
        <v>121524</v>
      </c>
      <c r="F466">
        <f>VLOOKUP(C466&amp;"|"&amp;B466,rate_tables!$A$3:$B$8,2,FALSE)</f>
        <v>85</v>
      </c>
      <c r="G466">
        <f>VLOOKUP(C466&amp;"|"&amp;B466,rate_tables!$A$12:$B$17,2,FALSE)</f>
        <v>35</v>
      </c>
      <c r="H466">
        <f>VLOOKUP(C466&amp;"|"&amp;D466,rate_tables!$A$21:$B$28,2,FALSE)</f>
        <v>8.0000000000000004E-4</v>
      </c>
      <c r="I466">
        <f>VLOOKUP(C466&amp;"|"&amp;D466,rate_tables!$A$32:$B$39,2,FALSE)</f>
        <v>1.6000000000000001E-3</v>
      </c>
      <c r="J466">
        <f t="shared" si="35"/>
        <v>85</v>
      </c>
      <c r="K466">
        <f t="shared" si="36"/>
        <v>35</v>
      </c>
      <c r="L466">
        <f t="shared" si="37"/>
        <v>8.1015999999999995</v>
      </c>
      <c r="M466">
        <f t="shared" si="38"/>
        <v>16.203199999999999</v>
      </c>
      <c r="N466">
        <f t="shared" si="39"/>
        <v>144.3048</v>
      </c>
    </row>
    <row r="467" spans="1:14" x14ac:dyDescent="0.45">
      <c r="A467">
        <v>466</v>
      </c>
      <c r="B467" t="s">
        <v>5</v>
      </c>
      <c r="C467" t="s">
        <v>9</v>
      </c>
      <c r="D467" t="s">
        <v>35</v>
      </c>
      <c r="E467">
        <v>71900</v>
      </c>
      <c r="F467">
        <f>VLOOKUP(C467&amp;"|"&amp;B467,rate_tables!$A$3:$B$8,2,FALSE)</f>
        <v>100</v>
      </c>
      <c r="G467">
        <f>VLOOKUP(C467&amp;"|"&amp;B467,rate_tables!$A$12:$B$17,2,FALSE)</f>
        <v>42</v>
      </c>
      <c r="H467">
        <f>VLOOKUP(C467&amp;"|"&amp;D467,rate_tables!$A$21:$B$28,2,FALSE)</f>
        <v>1E-3</v>
      </c>
      <c r="I467">
        <f>VLOOKUP(C467&amp;"|"&amp;D467,rate_tables!$A$32:$B$39,2,FALSE)</f>
        <v>2E-3</v>
      </c>
      <c r="J467">
        <f t="shared" si="35"/>
        <v>100</v>
      </c>
      <c r="K467">
        <f t="shared" si="36"/>
        <v>42</v>
      </c>
      <c r="L467">
        <f t="shared" si="37"/>
        <v>5.9916666666666671</v>
      </c>
      <c r="M467">
        <f t="shared" si="38"/>
        <v>11.983333333333334</v>
      </c>
      <c r="N467">
        <f t="shared" si="39"/>
        <v>159.97500000000002</v>
      </c>
    </row>
    <row r="468" spans="1:14" x14ac:dyDescent="0.45">
      <c r="A468">
        <v>467</v>
      </c>
      <c r="B468" t="s">
        <v>4</v>
      </c>
      <c r="C468" t="s">
        <v>8</v>
      </c>
      <c r="D468" t="s">
        <v>37</v>
      </c>
      <c r="E468">
        <v>101896</v>
      </c>
      <c r="F468">
        <f>VLOOKUP(C468&amp;"|"&amp;B468,rate_tables!$A$3:$B$8,2,FALSE)</f>
        <v>85</v>
      </c>
      <c r="G468">
        <f>VLOOKUP(C468&amp;"|"&amp;B468,rate_tables!$A$12:$B$17,2,FALSE)</f>
        <v>35</v>
      </c>
      <c r="H468">
        <f>VLOOKUP(C468&amp;"|"&amp;D468,rate_tables!$A$21:$B$28,2,FALSE)</f>
        <v>1.4E-3</v>
      </c>
      <c r="I468">
        <f>VLOOKUP(C468&amp;"|"&amp;D468,rate_tables!$A$32:$B$39,2,FALSE)</f>
        <v>3.0000000000000001E-3</v>
      </c>
      <c r="J468">
        <f t="shared" si="35"/>
        <v>85</v>
      </c>
      <c r="K468">
        <f t="shared" si="36"/>
        <v>35</v>
      </c>
      <c r="L468">
        <f t="shared" si="37"/>
        <v>11.887866666666667</v>
      </c>
      <c r="M468">
        <f t="shared" si="38"/>
        <v>25.474</v>
      </c>
      <c r="N468">
        <f t="shared" si="39"/>
        <v>157.36186666666666</v>
      </c>
    </row>
    <row r="469" spans="1:14" x14ac:dyDescent="0.45">
      <c r="A469">
        <v>468</v>
      </c>
      <c r="B469" t="s">
        <v>4</v>
      </c>
      <c r="C469" t="s">
        <v>8</v>
      </c>
      <c r="D469" t="s">
        <v>36</v>
      </c>
      <c r="E469">
        <v>81078</v>
      </c>
      <c r="F469">
        <f>VLOOKUP(C469&amp;"|"&amp;B469,rate_tables!$A$3:$B$8,2,FALSE)</f>
        <v>85</v>
      </c>
      <c r="G469">
        <f>VLOOKUP(C469&amp;"|"&amp;B469,rate_tables!$A$12:$B$17,2,FALSE)</f>
        <v>35</v>
      </c>
      <c r="H469">
        <f>VLOOKUP(C469&amp;"|"&amp;D469,rate_tables!$A$21:$B$28,2,FALSE)</f>
        <v>1E-3</v>
      </c>
      <c r="I469">
        <f>VLOOKUP(C469&amp;"|"&amp;D469,rate_tables!$A$32:$B$39,2,FALSE)</f>
        <v>2E-3</v>
      </c>
      <c r="J469">
        <f t="shared" si="35"/>
        <v>85</v>
      </c>
      <c r="K469">
        <f t="shared" si="36"/>
        <v>35</v>
      </c>
      <c r="L469">
        <f t="shared" si="37"/>
        <v>6.7565</v>
      </c>
      <c r="M469">
        <f t="shared" si="38"/>
        <v>13.513</v>
      </c>
      <c r="N469">
        <f t="shared" si="39"/>
        <v>140.26949999999999</v>
      </c>
    </row>
    <row r="470" spans="1:14" x14ac:dyDescent="0.45">
      <c r="A470">
        <v>469</v>
      </c>
      <c r="B470" t="s">
        <v>4</v>
      </c>
      <c r="C470" t="s">
        <v>8</v>
      </c>
      <c r="D470" t="s">
        <v>37</v>
      </c>
      <c r="E470">
        <v>111103</v>
      </c>
      <c r="F470">
        <f>VLOOKUP(C470&amp;"|"&amp;B470,rate_tables!$A$3:$B$8,2,FALSE)</f>
        <v>85</v>
      </c>
      <c r="G470">
        <f>VLOOKUP(C470&amp;"|"&amp;B470,rate_tables!$A$12:$B$17,2,FALSE)</f>
        <v>35</v>
      </c>
      <c r="H470">
        <f>VLOOKUP(C470&amp;"|"&amp;D470,rate_tables!$A$21:$B$28,2,FALSE)</f>
        <v>1.4E-3</v>
      </c>
      <c r="I470">
        <f>VLOOKUP(C470&amp;"|"&amp;D470,rate_tables!$A$32:$B$39,2,FALSE)</f>
        <v>3.0000000000000001E-3</v>
      </c>
      <c r="J470">
        <f t="shared" si="35"/>
        <v>85</v>
      </c>
      <c r="K470">
        <f t="shared" si="36"/>
        <v>35</v>
      </c>
      <c r="L470">
        <f t="shared" si="37"/>
        <v>12.962016666666665</v>
      </c>
      <c r="M470">
        <f t="shared" si="38"/>
        <v>27.775750000000002</v>
      </c>
      <c r="N470">
        <f t="shared" si="39"/>
        <v>160.73776666666669</v>
      </c>
    </row>
    <row r="471" spans="1:14" x14ac:dyDescent="0.45">
      <c r="A471">
        <v>470</v>
      </c>
      <c r="B471" t="s">
        <v>4</v>
      </c>
      <c r="C471" t="s">
        <v>9</v>
      </c>
      <c r="D471" t="s">
        <v>35</v>
      </c>
      <c r="E471">
        <v>71601</v>
      </c>
      <c r="F471">
        <f>VLOOKUP(C471&amp;"|"&amp;B471,rate_tables!$A$3:$B$8,2,FALSE)</f>
        <v>95</v>
      </c>
      <c r="G471">
        <f>VLOOKUP(C471&amp;"|"&amp;B471,rate_tables!$A$12:$B$17,2,FALSE)</f>
        <v>40</v>
      </c>
      <c r="H471">
        <f>VLOOKUP(C471&amp;"|"&amp;D471,rate_tables!$A$21:$B$28,2,FALSE)</f>
        <v>1E-3</v>
      </c>
      <c r="I471">
        <f>VLOOKUP(C471&amp;"|"&amp;D471,rate_tables!$A$32:$B$39,2,FALSE)</f>
        <v>2E-3</v>
      </c>
      <c r="J471">
        <f t="shared" si="35"/>
        <v>95</v>
      </c>
      <c r="K471">
        <f t="shared" si="36"/>
        <v>40</v>
      </c>
      <c r="L471">
        <f t="shared" si="37"/>
        <v>5.9667500000000002</v>
      </c>
      <c r="M471">
        <f t="shared" si="38"/>
        <v>11.9335</v>
      </c>
      <c r="N471">
        <f t="shared" si="39"/>
        <v>152.90025</v>
      </c>
    </row>
    <row r="472" spans="1:14" x14ac:dyDescent="0.45">
      <c r="A472">
        <v>471</v>
      </c>
      <c r="B472" t="s">
        <v>6</v>
      </c>
      <c r="C472" t="s">
        <v>8</v>
      </c>
      <c r="D472" t="s">
        <v>37</v>
      </c>
      <c r="E472">
        <v>91773</v>
      </c>
      <c r="F472">
        <f>VLOOKUP(C472&amp;"|"&amp;B472,rate_tables!$A$3:$B$8,2,FALSE)</f>
        <v>88</v>
      </c>
      <c r="G472">
        <f>VLOOKUP(C472&amp;"|"&amp;B472,rate_tables!$A$12:$B$17,2,FALSE)</f>
        <v>36</v>
      </c>
      <c r="H472">
        <f>VLOOKUP(C472&amp;"|"&amp;D472,rate_tables!$A$21:$B$28,2,FALSE)</f>
        <v>1.4E-3</v>
      </c>
      <c r="I472">
        <f>VLOOKUP(C472&amp;"|"&amp;D472,rate_tables!$A$32:$B$39,2,FALSE)</f>
        <v>3.0000000000000001E-3</v>
      </c>
      <c r="J472">
        <f t="shared" si="35"/>
        <v>88</v>
      </c>
      <c r="K472">
        <f t="shared" si="36"/>
        <v>36</v>
      </c>
      <c r="L472">
        <f t="shared" si="37"/>
        <v>10.706850000000001</v>
      </c>
      <c r="M472">
        <f t="shared" si="38"/>
        <v>22.943250000000003</v>
      </c>
      <c r="N472">
        <f t="shared" si="39"/>
        <v>157.65010000000001</v>
      </c>
    </row>
    <row r="473" spans="1:14" x14ac:dyDescent="0.45">
      <c r="A473">
        <v>472</v>
      </c>
      <c r="B473" t="s">
        <v>6</v>
      </c>
      <c r="C473" t="s">
        <v>9</v>
      </c>
      <c r="D473" t="s">
        <v>35</v>
      </c>
      <c r="E473">
        <v>53974</v>
      </c>
      <c r="F473">
        <f>VLOOKUP(C473&amp;"|"&amp;B473,rate_tables!$A$3:$B$8,2,FALSE)</f>
        <v>98</v>
      </c>
      <c r="G473">
        <f>VLOOKUP(C473&amp;"|"&amp;B473,rate_tables!$A$12:$B$17,2,FALSE)</f>
        <v>41</v>
      </c>
      <c r="H473">
        <f>VLOOKUP(C473&amp;"|"&amp;D473,rate_tables!$A$21:$B$28,2,FALSE)</f>
        <v>1E-3</v>
      </c>
      <c r="I473">
        <f>VLOOKUP(C473&amp;"|"&amp;D473,rate_tables!$A$32:$B$39,2,FALSE)</f>
        <v>2E-3</v>
      </c>
      <c r="J473">
        <f t="shared" si="35"/>
        <v>98</v>
      </c>
      <c r="K473">
        <f t="shared" si="36"/>
        <v>41</v>
      </c>
      <c r="L473">
        <f t="shared" si="37"/>
        <v>4.4978333333333333</v>
      </c>
      <c r="M473">
        <f t="shared" si="38"/>
        <v>8.9956666666666667</v>
      </c>
      <c r="N473">
        <f t="shared" si="39"/>
        <v>152.49350000000001</v>
      </c>
    </row>
    <row r="474" spans="1:14" x14ac:dyDescent="0.45">
      <c r="A474">
        <v>473</v>
      </c>
      <c r="B474" t="s">
        <v>5</v>
      </c>
      <c r="C474" t="s">
        <v>9</v>
      </c>
      <c r="D474" t="s">
        <v>37</v>
      </c>
      <c r="E474">
        <v>56152</v>
      </c>
      <c r="F474">
        <f>VLOOKUP(C474&amp;"|"&amp;B474,rate_tables!$A$3:$B$8,2,FALSE)</f>
        <v>100</v>
      </c>
      <c r="G474">
        <f>VLOOKUP(C474&amp;"|"&amp;B474,rate_tables!$A$12:$B$17,2,FALSE)</f>
        <v>42</v>
      </c>
      <c r="H474">
        <f>VLOOKUP(C474&amp;"|"&amp;D474,rate_tables!$A$21:$B$28,2,FALSE)</f>
        <v>1.8E-3</v>
      </c>
      <c r="I474">
        <f>VLOOKUP(C474&amp;"|"&amp;D474,rate_tables!$A$32:$B$39,2,FALSE)</f>
        <v>3.8E-3</v>
      </c>
      <c r="J474">
        <f t="shared" si="35"/>
        <v>100</v>
      </c>
      <c r="K474">
        <f t="shared" si="36"/>
        <v>42</v>
      </c>
      <c r="L474">
        <f t="shared" si="37"/>
        <v>8.4228000000000005</v>
      </c>
      <c r="M474">
        <f t="shared" si="38"/>
        <v>17.781466666666667</v>
      </c>
      <c r="N474">
        <f t="shared" si="39"/>
        <v>168.20426666666665</v>
      </c>
    </row>
    <row r="475" spans="1:14" x14ac:dyDescent="0.45">
      <c r="A475">
        <v>474</v>
      </c>
      <c r="B475" t="s">
        <v>6</v>
      </c>
      <c r="C475" t="s">
        <v>8</v>
      </c>
      <c r="D475" t="s">
        <v>36</v>
      </c>
      <c r="E475">
        <v>89253</v>
      </c>
      <c r="F475">
        <f>VLOOKUP(C475&amp;"|"&amp;B475,rate_tables!$A$3:$B$8,2,FALSE)</f>
        <v>88</v>
      </c>
      <c r="G475">
        <f>VLOOKUP(C475&amp;"|"&amp;B475,rate_tables!$A$12:$B$17,2,FALSE)</f>
        <v>36</v>
      </c>
      <c r="H475">
        <f>VLOOKUP(C475&amp;"|"&amp;D475,rate_tables!$A$21:$B$28,2,FALSE)</f>
        <v>1E-3</v>
      </c>
      <c r="I475">
        <f>VLOOKUP(C475&amp;"|"&amp;D475,rate_tables!$A$32:$B$39,2,FALSE)</f>
        <v>2E-3</v>
      </c>
      <c r="J475">
        <f t="shared" si="35"/>
        <v>88</v>
      </c>
      <c r="K475">
        <f t="shared" si="36"/>
        <v>36</v>
      </c>
      <c r="L475">
        <f t="shared" si="37"/>
        <v>7.4377500000000003</v>
      </c>
      <c r="M475">
        <f t="shared" si="38"/>
        <v>14.875500000000001</v>
      </c>
      <c r="N475">
        <f t="shared" si="39"/>
        <v>146.31324999999998</v>
      </c>
    </row>
    <row r="476" spans="1:14" x14ac:dyDescent="0.45">
      <c r="A476">
        <v>475</v>
      </c>
      <c r="B476" t="s">
        <v>4</v>
      </c>
      <c r="C476" t="s">
        <v>9</v>
      </c>
      <c r="D476" t="s">
        <v>37</v>
      </c>
      <c r="E476">
        <v>53751</v>
      </c>
      <c r="F476">
        <f>VLOOKUP(C476&amp;"|"&amp;B476,rate_tables!$A$3:$B$8,2,FALSE)</f>
        <v>95</v>
      </c>
      <c r="G476">
        <f>VLOOKUP(C476&amp;"|"&amp;B476,rate_tables!$A$12:$B$17,2,FALSE)</f>
        <v>40</v>
      </c>
      <c r="H476">
        <f>VLOOKUP(C476&amp;"|"&amp;D476,rate_tables!$A$21:$B$28,2,FALSE)</f>
        <v>1.8E-3</v>
      </c>
      <c r="I476">
        <f>VLOOKUP(C476&amp;"|"&amp;D476,rate_tables!$A$32:$B$39,2,FALSE)</f>
        <v>3.8E-3</v>
      </c>
      <c r="J476">
        <f t="shared" si="35"/>
        <v>95</v>
      </c>
      <c r="K476">
        <f t="shared" si="36"/>
        <v>40</v>
      </c>
      <c r="L476">
        <f t="shared" si="37"/>
        <v>8.0626499999999997</v>
      </c>
      <c r="M476">
        <f t="shared" si="38"/>
        <v>17.021150000000002</v>
      </c>
      <c r="N476">
        <f t="shared" si="39"/>
        <v>160.0838</v>
      </c>
    </row>
    <row r="477" spans="1:14" x14ac:dyDescent="0.45">
      <c r="A477">
        <v>476</v>
      </c>
      <c r="B477" t="s">
        <v>4</v>
      </c>
      <c r="C477" t="s">
        <v>9</v>
      </c>
      <c r="D477" t="s">
        <v>36</v>
      </c>
      <c r="E477">
        <v>60287</v>
      </c>
      <c r="F477">
        <f>VLOOKUP(C477&amp;"|"&amp;B477,rate_tables!$A$3:$B$8,2,FALSE)</f>
        <v>95</v>
      </c>
      <c r="G477">
        <f>VLOOKUP(C477&amp;"|"&amp;B477,rate_tables!$A$12:$B$17,2,FALSE)</f>
        <v>40</v>
      </c>
      <c r="H477">
        <f>VLOOKUP(C477&amp;"|"&amp;D477,rate_tables!$A$21:$B$28,2,FALSE)</f>
        <v>1.2999999999999999E-3</v>
      </c>
      <c r="I477">
        <f>VLOOKUP(C477&amp;"|"&amp;D477,rate_tables!$A$32:$B$39,2,FALSE)</f>
        <v>2.5999999999999999E-3</v>
      </c>
      <c r="J477">
        <f t="shared" si="35"/>
        <v>95</v>
      </c>
      <c r="K477">
        <f t="shared" si="36"/>
        <v>40</v>
      </c>
      <c r="L477">
        <f t="shared" si="37"/>
        <v>6.5310916666666659</v>
      </c>
      <c r="M477">
        <f t="shared" si="38"/>
        <v>13.062183333333332</v>
      </c>
      <c r="N477">
        <f t="shared" si="39"/>
        <v>154.59327500000001</v>
      </c>
    </row>
    <row r="478" spans="1:14" x14ac:dyDescent="0.45">
      <c r="A478">
        <v>477</v>
      </c>
      <c r="B478" t="s">
        <v>4</v>
      </c>
      <c r="C478" t="s">
        <v>8</v>
      </c>
      <c r="D478" t="s">
        <v>35</v>
      </c>
      <c r="E478">
        <v>101090</v>
      </c>
      <c r="F478">
        <f>VLOOKUP(C478&amp;"|"&amp;B478,rate_tables!$A$3:$B$8,2,FALSE)</f>
        <v>85</v>
      </c>
      <c r="G478">
        <f>VLOOKUP(C478&amp;"|"&amp;B478,rate_tables!$A$12:$B$17,2,FALSE)</f>
        <v>35</v>
      </c>
      <c r="H478">
        <f>VLOOKUP(C478&amp;"|"&amp;D478,rate_tables!$A$21:$B$28,2,FALSE)</f>
        <v>8.0000000000000004E-4</v>
      </c>
      <c r="I478">
        <f>VLOOKUP(C478&amp;"|"&amp;D478,rate_tables!$A$32:$B$39,2,FALSE)</f>
        <v>1.6000000000000001E-3</v>
      </c>
      <c r="J478">
        <f t="shared" si="35"/>
        <v>85</v>
      </c>
      <c r="K478">
        <f t="shared" si="36"/>
        <v>35</v>
      </c>
      <c r="L478">
        <f t="shared" si="37"/>
        <v>6.7393333333333336</v>
      </c>
      <c r="M478">
        <f t="shared" si="38"/>
        <v>13.478666666666667</v>
      </c>
      <c r="N478">
        <f t="shared" si="39"/>
        <v>140.21799999999999</v>
      </c>
    </row>
    <row r="479" spans="1:14" x14ac:dyDescent="0.45">
      <c r="A479">
        <v>478</v>
      </c>
      <c r="B479" t="s">
        <v>5</v>
      </c>
      <c r="C479" t="s">
        <v>9</v>
      </c>
      <c r="D479" t="s">
        <v>35</v>
      </c>
      <c r="E479">
        <v>72592</v>
      </c>
      <c r="F479">
        <f>VLOOKUP(C479&amp;"|"&amp;B479,rate_tables!$A$3:$B$8,2,FALSE)</f>
        <v>100</v>
      </c>
      <c r="G479">
        <f>VLOOKUP(C479&amp;"|"&amp;B479,rate_tables!$A$12:$B$17,2,FALSE)</f>
        <v>42</v>
      </c>
      <c r="H479">
        <f>VLOOKUP(C479&amp;"|"&amp;D479,rate_tables!$A$21:$B$28,2,FALSE)</f>
        <v>1E-3</v>
      </c>
      <c r="I479">
        <f>VLOOKUP(C479&amp;"|"&amp;D479,rate_tables!$A$32:$B$39,2,FALSE)</f>
        <v>2E-3</v>
      </c>
      <c r="J479">
        <f t="shared" si="35"/>
        <v>100</v>
      </c>
      <c r="K479">
        <f t="shared" si="36"/>
        <v>42</v>
      </c>
      <c r="L479">
        <f t="shared" si="37"/>
        <v>6.0493333333333332</v>
      </c>
      <c r="M479">
        <f t="shared" si="38"/>
        <v>12.098666666666666</v>
      </c>
      <c r="N479">
        <f t="shared" si="39"/>
        <v>160.148</v>
      </c>
    </row>
    <row r="480" spans="1:14" x14ac:dyDescent="0.45">
      <c r="A480">
        <v>479</v>
      </c>
      <c r="B480" t="s">
        <v>6</v>
      </c>
      <c r="C480" t="s">
        <v>9</v>
      </c>
      <c r="D480" t="s">
        <v>37</v>
      </c>
      <c r="E480">
        <v>45043</v>
      </c>
      <c r="F480">
        <f>VLOOKUP(C480&amp;"|"&amp;B480,rate_tables!$A$3:$B$8,2,FALSE)</f>
        <v>98</v>
      </c>
      <c r="G480">
        <f>VLOOKUP(C480&amp;"|"&amp;B480,rate_tables!$A$12:$B$17,2,FALSE)</f>
        <v>41</v>
      </c>
      <c r="H480">
        <f>VLOOKUP(C480&amp;"|"&amp;D480,rate_tables!$A$21:$B$28,2,FALSE)</f>
        <v>1.8E-3</v>
      </c>
      <c r="I480">
        <f>VLOOKUP(C480&amp;"|"&amp;D480,rate_tables!$A$32:$B$39,2,FALSE)</f>
        <v>3.8E-3</v>
      </c>
      <c r="J480">
        <f t="shared" si="35"/>
        <v>98</v>
      </c>
      <c r="K480">
        <f t="shared" si="36"/>
        <v>41</v>
      </c>
      <c r="L480">
        <f t="shared" si="37"/>
        <v>6.7564500000000001</v>
      </c>
      <c r="M480">
        <f t="shared" si="38"/>
        <v>14.263616666666666</v>
      </c>
      <c r="N480">
        <f t="shared" si="39"/>
        <v>160.02006666666668</v>
      </c>
    </row>
    <row r="481" spans="1:14" x14ac:dyDescent="0.45">
      <c r="A481">
        <v>480</v>
      </c>
      <c r="B481" t="s">
        <v>4</v>
      </c>
      <c r="C481" t="s">
        <v>8</v>
      </c>
      <c r="D481" t="s">
        <v>36</v>
      </c>
      <c r="E481">
        <v>62026</v>
      </c>
      <c r="F481">
        <f>VLOOKUP(C481&amp;"|"&amp;B481,rate_tables!$A$3:$B$8,2,FALSE)</f>
        <v>85</v>
      </c>
      <c r="G481">
        <f>VLOOKUP(C481&amp;"|"&amp;B481,rate_tables!$A$12:$B$17,2,FALSE)</f>
        <v>35</v>
      </c>
      <c r="H481">
        <f>VLOOKUP(C481&amp;"|"&amp;D481,rate_tables!$A$21:$B$28,2,FALSE)</f>
        <v>1E-3</v>
      </c>
      <c r="I481">
        <f>VLOOKUP(C481&amp;"|"&amp;D481,rate_tables!$A$32:$B$39,2,FALSE)</f>
        <v>2E-3</v>
      </c>
      <c r="J481">
        <f t="shared" si="35"/>
        <v>85</v>
      </c>
      <c r="K481">
        <f t="shared" si="36"/>
        <v>35</v>
      </c>
      <c r="L481">
        <f t="shared" si="37"/>
        <v>5.1688333333333336</v>
      </c>
      <c r="M481">
        <f t="shared" si="38"/>
        <v>10.337666666666667</v>
      </c>
      <c r="N481">
        <f t="shared" si="39"/>
        <v>135.50650000000002</v>
      </c>
    </row>
    <row r="482" spans="1:14" x14ac:dyDescent="0.45">
      <c r="A482">
        <v>481</v>
      </c>
      <c r="B482" t="s">
        <v>4</v>
      </c>
      <c r="C482" t="s">
        <v>8</v>
      </c>
      <c r="D482" t="s">
        <v>38</v>
      </c>
      <c r="E482">
        <v>67255</v>
      </c>
      <c r="F482">
        <f>VLOOKUP(C482&amp;"|"&amp;B482,rate_tables!$A$3:$B$8,2,FALSE)</f>
        <v>85</v>
      </c>
      <c r="G482">
        <f>VLOOKUP(C482&amp;"|"&amp;B482,rate_tables!$A$12:$B$17,2,FALSE)</f>
        <v>35</v>
      </c>
      <c r="H482">
        <f>VLOOKUP(C482&amp;"|"&amp;D482,rate_tables!$A$21:$B$28,2,FALSE)</f>
        <v>2E-3</v>
      </c>
      <c r="I482">
        <f>VLOOKUP(C482&amp;"|"&amp;D482,rate_tables!$A$32:$B$39,2,FALSE)</f>
        <v>4.4000000000000003E-3</v>
      </c>
      <c r="J482">
        <f t="shared" si="35"/>
        <v>85</v>
      </c>
      <c r="K482">
        <f t="shared" si="36"/>
        <v>35</v>
      </c>
      <c r="L482">
        <f t="shared" si="37"/>
        <v>11.209166666666667</v>
      </c>
      <c r="M482">
        <f t="shared" si="38"/>
        <v>24.660166666666669</v>
      </c>
      <c r="N482">
        <f t="shared" si="39"/>
        <v>155.86933333333334</v>
      </c>
    </row>
    <row r="483" spans="1:14" x14ac:dyDescent="0.45">
      <c r="A483">
        <v>482</v>
      </c>
      <c r="B483" t="s">
        <v>5</v>
      </c>
      <c r="C483" t="s">
        <v>8</v>
      </c>
      <c r="D483" t="s">
        <v>37</v>
      </c>
      <c r="E483">
        <v>53293</v>
      </c>
      <c r="F483">
        <f>VLOOKUP(C483&amp;"|"&amp;B483,rate_tables!$A$3:$B$8,2,FALSE)</f>
        <v>90</v>
      </c>
      <c r="G483">
        <f>VLOOKUP(C483&amp;"|"&amp;B483,rate_tables!$A$12:$B$17,2,FALSE)</f>
        <v>37</v>
      </c>
      <c r="H483">
        <f>VLOOKUP(C483&amp;"|"&amp;D483,rate_tables!$A$21:$B$28,2,FALSE)</f>
        <v>1.4E-3</v>
      </c>
      <c r="I483">
        <f>VLOOKUP(C483&amp;"|"&amp;D483,rate_tables!$A$32:$B$39,2,FALSE)</f>
        <v>3.0000000000000001E-3</v>
      </c>
      <c r="J483">
        <f t="shared" si="35"/>
        <v>90</v>
      </c>
      <c r="K483">
        <f t="shared" si="36"/>
        <v>37</v>
      </c>
      <c r="L483">
        <f t="shared" si="37"/>
        <v>6.2175166666666675</v>
      </c>
      <c r="M483">
        <f t="shared" si="38"/>
        <v>13.32325</v>
      </c>
      <c r="N483">
        <f t="shared" si="39"/>
        <v>146.54076666666666</v>
      </c>
    </row>
    <row r="484" spans="1:14" x14ac:dyDescent="0.45">
      <c r="A484">
        <v>483</v>
      </c>
      <c r="B484" t="s">
        <v>6</v>
      </c>
      <c r="C484" t="s">
        <v>9</v>
      </c>
      <c r="D484" t="s">
        <v>37</v>
      </c>
      <c r="E484">
        <v>73007</v>
      </c>
      <c r="F484">
        <f>VLOOKUP(C484&amp;"|"&amp;B484,rate_tables!$A$3:$B$8,2,FALSE)</f>
        <v>98</v>
      </c>
      <c r="G484">
        <f>VLOOKUP(C484&amp;"|"&amp;B484,rate_tables!$A$12:$B$17,2,FALSE)</f>
        <v>41</v>
      </c>
      <c r="H484">
        <f>VLOOKUP(C484&amp;"|"&amp;D484,rate_tables!$A$21:$B$28,2,FALSE)</f>
        <v>1.8E-3</v>
      </c>
      <c r="I484">
        <f>VLOOKUP(C484&amp;"|"&amp;D484,rate_tables!$A$32:$B$39,2,FALSE)</f>
        <v>3.8E-3</v>
      </c>
      <c r="J484">
        <f t="shared" si="35"/>
        <v>98</v>
      </c>
      <c r="K484">
        <f t="shared" si="36"/>
        <v>41</v>
      </c>
      <c r="L484">
        <f t="shared" si="37"/>
        <v>10.95105</v>
      </c>
      <c r="M484">
        <f t="shared" si="38"/>
        <v>23.118883333333333</v>
      </c>
      <c r="N484">
        <f t="shared" si="39"/>
        <v>173.06993333333335</v>
      </c>
    </row>
    <row r="485" spans="1:14" x14ac:dyDescent="0.45">
      <c r="A485">
        <v>484</v>
      </c>
      <c r="B485" t="s">
        <v>4</v>
      </c>
      <c r="C485" t="s">
        <v>8</v>
      </c>
      <c r="D485" t="s">
        <v>35</v>
      </c>
      <c r="E485">
        <v>72763</v>
      </c>
      <c r="F485">
        <f>VLOOKUP(C485&amp;"|"&amp;B485,rate_tables!$A$3:$B$8,2,FALSE)</f>
        <v>85</v>
      </c>
      <c r="G485">
        <f>VLOOKUP(C485&amp;"|"&amp;B485,rate_tables!$A$12:$B$17,2,FALSE)</f>
        <v>35</v>
      </c>
      <c r="H485">
        <f>VLOOKUP(C485&amp;"|"&amp;D485,rate_tables!$A$21:$B$28,2,FALSE)</f>
        <v>8.0000000000000004E-4</v>
      </c>
      <c r="I485">
        <f>VLOOKUP(C485&amp;"|"&amp;D485,rate_tables!$A$32:$B$39,2,FALSE)</f>
        <v>1.6000000000000001E-3</v>
      </c>
      <c r="J485">
        <f t="shared" si="35"/>
        <v>85</v>
      </c>
      <c r="K485">
        <f t="shared" si="36"/>
        <v>35</v>
      </c>
      <c r="L485">
        <f t="shared" si="37"/>
        <v>4.8508666666666667</v>
      </c>
      <c r="M485">
        <f t="shared" si="38"/>
        <v>9.7017333333333333</v>
      </c>
      <c r="N485">
        <f t="shared" si="39"/>
        <v>134.55259999999998</v>
      </c>
    </row>
    <row r="486" spans="1:14" x14ac:dyDescent="0.45">
      <c r="A486">
        <v>485</v>
      </c>
      <c r="B486" t="s">
        <v>5</v>
      </c>
      <c r="C486" t="s">
        <v>8</v>
      </c>
      <c r="D486" t="s">
        <v>36</v>
      </c>
      <c r="E486">
        <v>123771</v>
      </c>
      <c r="F486">
        <f>VLOOKUP(C486&amp;"|"&amp;B486,rate_tables!$A$3:$B$8,2,FALSE)</f>
        <v>90</v>
      </c>
      <c r="G486">
        <f>VLOOKUP(C486&amp;"|"&amp;B486,rate_tables!$A$12:$B$17,2,FALSE)</f>
        <v>37</v>
      </c>
      <c r="H486">
        <f>VLOOKUP(C486&amp;"|"&amp;D486,rate_tables!$A$21:$B$28,2,FALSE)</f>
        <v>1E-3</v>
      </c>
      <c r="I486">
        <f>VLOOKUP(C486&amp;"|"&amp;D486,rate_tables!$A$32:$B$39,2,FALSE)</f>
        <v>2E-3</v>
      </c>
      <c r="J486">
        <f t="shared" si="35"/>
        <v>90</v>
      </c>
      <c r="K486">
        <f t="shared" si="36"/>
        <v>37</v>
      </c>
      <c r="L486">
        <f t="shared" si="37"/>
        <v>10.314249999999999</v>
      </c>
      <c r="M486">
        <f t="shared" si="38"/>
        <v>20.628499999999999</v>
      </c>
      <c r="N486">
        <f t="shared" si="39"/>
        <v>157.94274999999999</v>
      </c>
    </row>
    <row r="487" spans="1:14" x14ac:dyDescent="0.45">
      <c r="A487">
        <v>486</v>
      </c>
      <c r="B487" t="s">
        <v>4</v>
      </c>
      <c r="C487" t="s">
        <v>8</v>
      </c>
      <c r="D487" t="s">
        <v>36</v>
      </c>
      <c r="E487">
        <v>126729</v>
      </c>
      <c r="F487">
        <f>VLOOKUP(C487&amp;"|"&amp;B487,rate_tables!$A$3:$B$8,2,FALSE)</f>
        <v>85</v>
      </c>
      <c r="G487">
        <f>VLOOKUP(C487&amp;"|"&amp;B487,rate_tables!$A$12:$B$17,2,FALSE)</f>
        <v>35</v>
      </c>
      <c r="H487">
        <f>VLOOKUP(C487&amp;"|"&amp;D487,rate_tables!$A$21:$B$28,2,FALSE)</f>
        <v>1E-3</v>
      </c>
      <c r="I487">
        <f>VLOOKUP(C487&amp;"|"&amp;D487,rate_tables!$A$32:$B$39,2,FALSE)</f>
        <v>2E-3</v>
      </c>
      <c r="J487">
        <f t="shared" si="35"/>
        <v>85</v>
      </c>
      <c r="K487">
        <f t="shared" si="36"/>
        <v>35</v>
      </c>
      <c r="L487">
        <f t="shared" si="37"/>
        <v>10.560750000000001</v>
      </c>
      <c r="M487">
        <f t="shared" si="38"/>
        <v>21.121500000000001</v>
      </c>
      <c r="N487">
        <f t="shared" si="39"/>
        <v>151.68225000000001</v>
      </c>
    </row>
    <row r="488" spans="1:14" x14ac:dyDescent="0.45">
      <c r="A488">
        <v>487</v>
      </c>
      <c r="B488" t="s">
        <v>4</v>
      </c>
      <c r="C488" t="s">
        <v>8</v>
      </c>
      <c r="D488" t="s">
        <v>35</v>
      </c>
      <c r="E488">
        <v>105535</v>
      </c>
      <c r="F488">
        <f>VLOOKUP(C488&amp;"|"&amp;B488,rate_tables!$A$3:$B$8,2,FALSE)</f>
        <v>85</v>
      </c>
      <c r="G488">
        <f>VLOOKUP(C488&amp;"|"&amp;B488,rate_tables!$A$12:$B$17,2,FALSE)</f>
        <v>35</v>
      </c>
      <c r="H488">
        <f>VLOOKUP(C488&amp;"|"&amp;D488,rate_tables!$A$21:$B$28,2,FALSE)</f>
        <v>8.0000000000000004E-4</v>
      </c>
      <c r="I488">
        <f>VLOOKUP(C488&amp;"|"&amp;D488,rate_tables!$A$32:$B$39,2,FALSE)</f>
        <v>1.6000000000000001E-3</v>
      </c>
      <c r="J488">
        <f t="shared" si="35"/>
        <v>85</v>
      </c>
      <c r="K488">
        <f t="shared" si="36"/>
        <v>35</v>
      </c>
      <c r="L488">
        <f t="shared" si="37"/>
        <v>7.0356666666666667</v>
      </c>
      <c r="M488">
        <f t="shared" si="38"/>
        <v>14.071333333333333</v>
      </c>
      <c r="N488">
        <f t="shared" si="39"/>
        <v>141.107</v>
      </c>
    </row>
    <row r="489" spans="1:14" x14ac:dyDescent="0.45">
      <c r="A489">
        <v>488</v>
      </c>
      <c r="B489" t="s">
        <v>4</v>
      </c>
      <c r="C489" t="s">
        <v>8</v>
      </c>
      <c r="D489" t="s">
        <v>37</v>
      </c>
      <c r="E489">
        <v>121722</v>
      </c>
      <c r="F489">
        <f>VLOOKUP(C489&amp;"|"&amp;B489,rate_tables!$A$3:$B$8,2,FALSE)</f>
        <v>85</v>
      </c>
      <c r="G489">
        <f>VLOOKUP(C489&amp;"|"&amp;B489,rate_tables!$A$12:$B$17,2,FALSE)</f>
        <v>35</v>
      </c>
      <c r="H489">
        <f>VLOOKUP(C489&amp;"|"&amp;D489,rate_tables!$A$21:$B$28,2,FALSE)</f>
        <v>1.4E-3</v>
      </c>
      <c r="I489">
        <f>VLOOKUP(C489&amp;"|"&amp;D489,rate_tables!$A$32:$B$39,2,FALSE)</f>
        <v>3.0000000000000001E-3</v>
      </c>
      <c r="J489">
        <f t="shared" si="35"/>
        <v>85</v>
      </c>
      <c r="K489">
        <f t="shared" si="36"/>
        <v>35</v>
      </c>
      <c r="L489">
        <f t="shared" si="37"/>
        <v>14.200899999999999</v>
      </c>
      <c r="M489">
        <f t="shared" si="38"/>
        <v>30.430499999999999</v>
      </c>
      <c r="N489">
        <f t="shared" si="39"/>
        <v>164.63139999999999</v>
      </c>
    </row>
    <row r="490" spans="1:14" x14ac:dyDescent="0.45">
      <c r="A490">
        <v>489</v>
      </c>
      <c r="B490" t="s">
        <v>4</v>
      </c>
      <c r="C490" t="s">
        <v>9</v>
      </c>
      <c r="D490" t="s">
        <v>35</v>
      </c>
      <c r="E490">
        <v>61900</v>
      </c>
      <c r="F490">
        <f>VLOOKUP(C490&amp;"|"&amp;B490,rate_tables!$A$3:$B$8,2,FALSE)</f>
        <v>95</v>
      </c>
      <c r="G490">
        <f>VLOOKUP(C490&amp;"|"&amp;B490,rate_tables!$A$12:$B$17,2,FALSE)</f>
        <v>40</v>
      </c>
      <c r="H490">
        <f>VLOOKUP(C490&amp;"|"&amp;D490,rate_tables!$A$21:$B$28,2,FALSE)</f>
        <v>1E-3</v>
      </c>
      <c r="I490">
        <f>VLOOKUP(C490&amp;"|"&amp;D490,rate_tables!$A$32:$B$39,2,FALSE)</f>
        <v>2E-3</v>
      </c>
      <c r="J490">
        <f t="shared" si="35"/>
        <v>95</v>
      </c>
      <c r="K490">
        <f t="shared" si="36"/>
        <v>40</v>
      </c>
      <c r="L490">
        <f t="shared" si="37"/>
        <v>5.1583333333333332</v>
      </c>
      <c r="M490">
        <f t="shared" si="38"/>
        <v>10.316666666666666</v>
      </c>
      <c r="N490">
        <f t="shared" si="39"/>
        <v>150.47499999999999</v>
      </c>
    </row>
    <row r="491" spans="1:14" x14ac:dyDescent="0.45">
      <c r="A491">
        <v>490</v>
      </c>
      <c r="B491" t="s">
        <v>4</v>
      </c>
      <c r="C491" t="s">
        <v>9</v>
      </c>
      <c r="D491" t="s">
        <v>35</v>
      </c>
      <c r="E491">
        <v>71173</v>
      </c>
      <c r="F491">
        <f>VLOOKUP(C491&amp;"|"&amp;B491,rate_tables!$A$3:$B$8,2,FALSE)</f>
        <v>95</v>
      </c>
      <c r="G491">
        <f>VLOOKUP(C491&amp;"|"&amp;B491,rate_tables!$A$12:$B$17,2,FALSE)</f>
        <v>40</v>
      </c>
      <c r="H491">
        <f>VLOOKUP(C491&amp;"|"&amp;D491,rate_tables!$A$21:$B$28,2,FALSE)</f>
        <v>1E-3</v>
      </c>
      <c r="I491">
        <f>VLOOKUP(C491&amp;"|"&amp;D491,rate_tables!$A$32:$B$39,2,FALSE)</f>
        <v>2E-3</v>
      </c>
      <c r="J491">
        <f t="shared" si="35"/>
        <v>95</v>
      </c>
      <c r="K491">
        <f t="shared" si="36"/>
        <v>40</v>
      </c>
      <c r="L491">
        <f t="shared" si="37"/>
        <v>5.9310833333333335</v>
      </c>
      <c r="M491">
        <f t="shared" si="38"/>
        <v>11.862166666666667</v>
      </c>
      <c r="N491">
        <f t="shared" si="39"/>
        <v>152.79325</v>
      </c>
    </row>
    <row r="492" spans="1:14" x14ac:dyDescent="0.45">
      <c r="A492">
        <v>491</v>
      </c>
      <c r="B492" t="s">
        <v>4</v>
      </c>
      <c r="C492" t="s">
        <v>8</v>
      </c>
      <c r="D492" t="s">
        <v>35</v>
      </c>
      <c r="E492">
        <v>95808</v>
      </c>
      <c r="F492">
        <f>VLOOKUP(C492&amp;"|"&amp;B492,rate_tables!$A$3:$B$8,2,FALSE)</f>
        <v>85</v>
      </c>
      <c r="G492">
        <f>VLOOKUP(C492&amp;"|"&amp;B492,rate_tables!$A$12:$B$17,2,FALSE)</f>
        <v>35</v>
      </c>
      <c r="H492">
        <f>VLOOKUP(C492&amp;"|"&amp;D492,rate_tables!$A$21:$B$28,2,FALSE)</f>
        <v>8.0000000000000004E-4</v>
      </c>
      <c r="I492">
        <f>VLOOKUP(C492&amp;"|"&amp;D492,rate_tables!$A$32:$B$39,2,FALSE)</f>
        <v>1.6000000000000001E-3</v>
      </c>
      <c r="J492">
        <f t="shared" si="35"/>
        <v>85</v>
      </c>
      <c r="K492">
        <f t="shared" si="36"/>
        <v>35</v>
      </c>
      <c r="L492">
        <f t="shared" si="37"/>
        <v>6.3872</v>
      </c>
      <c r="M492">
        <f t="shared" si="38"/>
        <v>12.7744</v>
      </c>
      <c r="N492">
        <f t="shared" si="39"/>
        <v>139.16160000000002</v>
      </c>
    </row>
    <row r="493" spans="1:14" x14ac:dyDescent="0.45">
      <c r="A493">
        <v>492</v>
      </c>
      <c r="B493" t="s">
        <v>5</v>
      </c>
      <c r="C493" t="s">
        <v>8</v>
      </c>
      <c r="D493" t="s">
        <v>37</v>
      </c>
      <c r="E493">
        <v>57544</v>
      </c>
      <c r="F493">
        <f>VLOOKUP(C493&amp;"|"&amp;B493,rate_tables!$A$3:$B$8,2,FALSE)</f>
        <v>90</v>
      </c>
      <c r="G493">
        <f>VLOOKUP(C493&amp;"|"&amp;B493,rate_tables!$A$12:$B$17,2,FALSE)</f>
        <v>37</v>
      </c>
      <c r="H493">
        <f>VLOOKUP(C493&amp;"|"&amp;D493,rate_tables!$A$21:$B$28,2,FALSE)</f>
        <v>1.4E-3</v>
      </c>
      <c r="I493">
        <f>VLOOKUP(C493&amp;"|"&amp;D493,rate_tables!$A$32:$B$39,2,FALSE)</f>
        <v>3.0000000000000001E-3</v>
      </c>
      <c r="J493">
        <f t="shared" si="35"/>
        <v>90</v>
      </c>
      <c r="K493">
        <f t="shared" si="36"/>
        <v>37</v>
      </c>
      <c r="L493">
        <f t="shared" si="37"/>
        <v>6.7134666666666662</v>
      </c>
      <c r="M493">
        <f t="shared" si="38"/>
        <v>14.386000000000001</v>
      </c>
      <c r="N493">
        <f t="shared" si="39"/>
        <v>148.09946666666667</v>
      </c>
    </row>
    <row r="494" spans="1:14" x14ac:dyDescent="0.45">
      <c r="A494">
        <v>493</v>
      </c>
      <c r="B494" t="s">
        <v>4</v>
      </c>
      <c r="C494" t="s">
        <v>8</v>
      </c>
      <c r="D494" t="s">
        <v>36</v>
      </c>
      <c r="E494">
        <v>96159</v>
      </c>
      <c r="F494">
        <f>VLOOKUP(C494&amp;"|"&amp;B494,rate_tables!$A$3:$B$8,2,FALSE)</f>
        <v>85</v>
      </c>
      <c r="G494">
        <f>VLOOKUP(C494&amp;"|"&amp;B494,rate_tables!$A$12:$B$17,2,FALSE)</f>
        <v>35</v>
      </c>
      <c r="H494">
        <f>VLOOKUP(C494&amp;"|"&amp;D494,rate_tables!$A$21:$B$28,2,FALSE)</f>
        <v>1E-3</v>
      </c>
      <c r="I494">
        <f>VLOOKUP(C494&amp;"|"&amp;D494,rate_tables!$A$32:$B$39,2,FALSE)</f>
        <v>2E-3</v>
      </c>
      <c r="J494">
        <f t="shared" si="35"/>
        <v>85</v>
      </c>
      <c r="K494">
        <f t="shared" si="36"/>
        <v>35</v>
      </c>
      <c r="L494">
        <f t="shared" si="37"/>
        <v>8.0132500000000011</v>
      </c>
      <c r="M494">
        <f t="shared" si="38"/>
        <v>16.026500000000002</v>
      </c>
      <c r="N494">
        <f t="shared" si="39"/>
        <v>144.03975</v>
      </c>
    </row>
    <row r="495" spans="1:14" x14ac:dyDescent="0.45">
      <c r="A495">
        <v>494</v>
      </c>
      <c r="B495" t="s">
        <v>6</v>
      </c>
      <c r="C495" t="s">
        <v>9</v>
      </c>
      <c r="D495" t="s">
        <v>36</v>
      </c>
      <c r="E495">
        <v>67637</v>
      </c>
      <c r="F495">
        <f>VLOOKUP(C495&amp;"|"&amp;B495,rate_tables!$A$3:$B$8,2,FALSE)</f>
        <v>98</v>
      </c>
      <c r="G495">
        <f>VLOOKUP(C495&amp;"|"&amp;B495,rate_tables!$A$12:$B$17,2,FALSE)</f>
        <v>41</v>
      </c>
      <c r="H495">
        <f>VLOOKUP(C495&amp;"|"&amp;D495,rate_tables!$A$21:$B$28,2,FALSE)</f>
        <v>1.2999999999999999E-3</v>
      </c>
      <c r="I495">
        <f>VLOOKUP(C495&amp;"|"&amp;D495,rate_tables!$A$32:$B$39,2,FALSE)</f>
        <v>2.5999999999999999E-3</v>
      </c>
      <c r="J495">
        <f t="shared" si="35"/>
        <v>98</v>
      </c>
      <c r="K495">
        <f t="shared" si="36"/>
        <v>41</v>
      </c>
      <c r="L495">
        <f t="shared" si="37"/>
        <v>7.3273416666666664</v>
      </c>
      <c r="M495">
        <f t="shared" si="38"/>
        <v>14.654683333333333</v>
      </c>
      <c r="N495">
        <f t="shared" si="39"/>
        <v>160.98202499999999</v>
      </c>
    </row>
    <row r="496" spans="1:14" x14ac:dyDescent="0.45">
      <c r="A496">
        <v>495</v>
      </c>
      <c r="B496" t="s">
        <v>4</v>
      </c>
      <c r="C496" t="s">
        <v>9</v>
      </c>
      <c r="D496" t="s">
        <v>37</v>
      </c>
      <c r="E496">
        <v>74831</v>
      </c>
      <c r="F496">
        <f>VLOOKUP(C496&amp;"|"&amp;B496,rate_tables!$A$3:$B$8,2,FALSE)</f>
        <v>95</v>
      </c>
      <c r="G496">
        <f>VLOOKUP(C496&amp;"|"&amp;B496,rate_tables!$A$12:$B$17,2,FALSE)</f>
        <v>40</v>
      </c>
      <c r="H496">
        <f>VLOOKUP(C496&amp;"|"&amp;D496,rate_tables!$A$21:$B$28,2,FALSE)</f>
        <v>1.8E-3</v>
      </c>
      <c r="I496">
        <f>VLOOKUP(C496&amp;"|"&amp;D496,rate_tables!$A$32:$B$39,2,FALSE)</f>
        <v>3.8E-3</v>
      </c>
      <c r="J496">
        <f t="shared" si="35"/>
        <v>95</v>
      </c>
      <c r="K496">
        <f t="shared" si="36"/>
        <v>40</v>
      </c>
      <c r="L496">
        <f t="shared" si="37"/>
        <v>11.224649999999999</v>
      </c>
      <c r="M496">
        <f t="shared" si="38"/>
        <v>23.696483333333333</v>
      </c>
      <c r="N496">
        <f t="shared" si="39"/>
        <v>169.92113333333333</v>
      </c>
    </row>
    <row r="497" spans="1:14" x14ac:dyDescent="0.45">
      <c r="A497">
        <v>496</v>
      </c>
      <c r="B497" t="s">
        <v>4</v>
      </c>
      <c r="C497" t="s">
        <v>9</v>
      </c>
      <c r="D497" t="s">
        <v>36</v>
      </c>
      <c r="E497">
        <v>47999</v>
      </c>
      <c r="F497">
        <f>VLOOKUP(C497&amp;"|"&amp;B497,rate_tables!$A$3:$B$8,2,FALSE)</f>
        <v>95</v>
      </c>
      <c r="G497">
        <f>VLOOKUP(C497&amp;"|"&amp;B497,rate_tables!$A$12:$B$17,2,FALSE)</f>
        <v>40</v>
      </c>
      <c r="H497">
        <f>VLOOKUP(C497&amp;"|"&amp;D497,rate_tables!$A$21:$B$28,2,FALSE)</f>
        <v>1.2999999999999999E-3</v>
      </c>
      <c r="I497">
        <f>VLOOKUP(C497&amp;"|"&amp;D497,rate_tables!$A$32:$B$39,2,FALSE)</f>
        <v>2.5999999999999999E-3</v>
      </c>
      <c r="J497">
        <f t="shared" si="35"/>
        <v>95</v>
      </c>
      <c r="K497">
        <f t="shared" si="36"/>
        <v>40</v>
      </c>
      <c r="L497">
        <f t="shared" si="37"/>
        <v>5.1998916666666668</v>
      </c>
      <c r="M497">
        <f t="shared" si="38"/>
        <v>10.399783333333334</v>
      </c>
      <c r="N497">
        <f t="shared" si="39"/>
        <v>150.59967500000002</v>
      </c>
    </row>
    <row r="498" spans="1:14" x14ac:dyDescent="0.45">
      <c r="A498">
        <v>497</v>
      </c>
      <c r="B498" t="s">
        <v>4</v>
      </c>
      <c r="C498" t="s">
        <v>8</v>
      </c>
      <c r="D498" t="s">
        <v>37</v>
      </c>
      <c r="E498">
        <v>70172</v>
      </c>
      <c r="F498">
        <f>VLOOKUP(C498&amp;"|"&amp;B498,rate_tables!$A$3:$B$8,2,FALSE)</f>
        <v>85</v>
      </c>
      <c r="G498">
        <f>VLOOKUP(C498&amp;"|"&amp;B498,rate_tables!$A$12:$B$17,2,FALSE)</f>
        <v>35</v>
      </c>
      <c r="H498">
        <f>VLOOKUP(C498&amp;"|"&amp;D498,rate_tables!$A$21:$B$28,2,FALSE)</f>
        <v>1.4E-3</v>
      </c>
      <c r="I498">
        <f>VLOOKUP(C498&amp;"|"&amp;D498,rate_tables!$A$32:$B$39,2,FALSE)</f>
        <v>3.0000000000000001E-3</v>
      </c>
      <c r="J498">
        <f t="shared" si="35"/>
        <v>85</v>
      </c>
      <c r="K498">
        <f t="shared" si="36"/>
        <v>35</v>
      </c>
      <c r="L498">
        <f t="shared" si="37"/>
        <v>8.1867333333333328</v>
      </c>
      <c r="M498">
        <f t="shared" si="38"/>
        <v>17.542999999999999</v>
      </c>
      <c r="N498">
        <f t="shared" si="39"/>
        <v>145.72973333333334</v>
      </c>
    </row>
    <row r="499" spans="1:14" x14ac:dyDescent="0.45">
      <c r="A499">
        <v>498</v>
      </c>
      <c r="B499" t="s">
        <v>5</v>
      </c>
      <c r="C499" t="s">
        <v>8</v>
      </c>
      <c r="D499" t="s">
        <v>37</v>
      </c>
      <c r="E499">
        <v>92058</v>
      </c>
      <c r="F499">
        <f>VLOOKUP(C499&amp;"|"&amp;B499,rate_tables!$A$3:$B$8,2,FALSE)</f>
        <v>90</v>
      </c>
      <c r="G499">
        <f>VLOOKUP(C499&amp;"|"&amp;B499,rate_tables!$A$12:$B$17,2,FALSE)</f>
        <v>37</v>
      </c>
      <c r="H499">
        <f>VLOOKUP(C499&amp;"|"&amp;D499,rate_tables!$A$21:$B$28,2,FALSE)</f>
        <v>1.4E-3</v>
      </c>
      <c r="I499">
        <f>VLOOKUP(C499&amp;"|"&amp;D499,rate_tables!$A$32:$B$39,2,FALSE)</f>
        <v>3.0000000000000001E-3</v>
      </c>
      <c r="J499">
        <f t="shared" si="35"/>
        <v>90</v>
      </c>
      <c r="K499">
        <f t="shared" si="36"/>
        <v>37</v>
      </c>
      <c r="L499">
        <f t="shared" si="37"/>
        <v>10.7401</v>
      </c>
      <c r="M499">
        <f t="shared" si="38"/>
        <v>23.014499999999998</v>
      </c>
      <c r="N499">
        <f t="shared" si="39"/>
        <v>160.75460000000001</v>
      </c>
    </row>
    <row r="500" spans="1:14" x14ac:dyDescent="0.45">
      <c r="A500">
        <v>499</v>
      </c>
      <c r="B500" t="s">
        <v>4</v>
      </c>
      <c r="C500" t="s">
        <v>9</v>
      </c>
      <c r="D500" t="s">
        <v>36</v>
      </c>
      <c r="E500">
        <v>70480</v>
      </c>
      <c r="F500">
        <f>VLOOKUP(C500&amp;"|"&amp;B500,rate_tables!$A$3:$B$8,2,FALSE)</f>
        <v>95</v>
      </c>
      <c r="G500">
        <f>VLOOKUP(C500&amp;"|"&amp;B500,rate_tables!$A$12:$B$17,2,FALSE)</f>
        <v>40</v>
      </c>
      <c r="H500">
        <f>VLOOKUP(C500&amp;"|"&amp;D500,rate_tables!$A$21:$B$28,2,FALSE)</f>
        <v>1.2999999999999999E-3</v>
      </c>
      <c r="I500">
        <f>VLOOKUP(C500&amp;"|"&amp;D500,rate_tables!$A$32:$B$39,2,FALSE)</f>
        <v>2.5999999999999999E-3</v>
      </c>
      <c r="J500">
        <f t="shared" si="35"/>
        <v>95</v>
      </c>
      <c r="K500">
        <f t="shared" si="36"/>
        <v>40</v>
      </c>
      <c r="L500">
        <f t="shared" si="37"/>
        <v>7.6353333333333326</v>
      </c>
      <c r="M500">
        <f t="shared" si="38"/>
        <v>15.270666666666665</v>
      </c>
      <c r="N500">
        <f t="shared" si="39"/>
        <v>157.90600000000001</v>
      </c>
    </row>
    <row r="501" spans="1:14" x14ac:dyDescent="0.45">
      <c r="A501">
        <v>500</v>
      </c>
      <c r="B501" t="s">
        <v>4</v>
      </c>
      <c r="C501" t="s">
        <v>8</v>
      </c>
      <c r="D501" t="s">
        <v>38</v>
      </c>
      <c r="E501">
        <v>87062</v>
      </c>
      <c r="F501">
        <f>VLOOKUP(C501&amp;"|"&amp;B501,rate_tables!$A$3:$B$8,2,FALSE)</f>
        <v>85</v>
      </c>
      <c r="G501">
        <f>VLOOKUP(C501&amp;"|"&amp;B501,rate_tables!$A$12:$B$17,2,FALSE)</f>
        <v>35</v>
      </c>
      <c r="H501">
        <f>VLOOKUP(C501&amp;"|"&amp;D501,rate_tables!$A$21:$B$28,2,FALSE)</f>
        <v>2E-3</v>
      </c>
      <c r="I501">
        <f>VLOOKUP(C501&amp;"|"&amp;D501,rate_tables!$A$32:$B$39,2,FALSE)</f>
        <v>4.4000000000000003E-3</v>
      </c>
      <c r="J501">
        <f t="shared" si="35"/>
        <v>85</v>
      </c>
      <c r="K501">
        <f t="shared" si="36"/>
        <v>35</v>
      </c>
      <c r="L501">
        <f t="shared" si="37"/>
        <v>14.510333333333334</v>
      </c>
      <c r="M501">
        <f t="shared" si="38"/>
        <v>31.922733333333337</v>
      </c>
      <c r="N501">
        <f t="shared" si="39"/>
        <v>166.43306666666666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E91F-D418-4BDF-AFDA-3937F7C7B61D}">
  <dimension ref="A1:F12"/>
  <sheetViews>
    <sheetView workbookViewId="0">
      <selection activeCell="A4" sqref="A4"/>
    </sheetView>
  </sheetViews>
  <sheetFormatPr defaultRowHeight="14.25" x14ac:dyDescent="0.45"/>
  <cols>
    <col min="3" max="3" width="11.6640625" customWidth="1"/>
  </cols>
  <sheetData>
    <row r="1" spans="1:6" x14ac:dyDescent="0.45">
      <c r="A1" s="3" t="s">
        <v>0</v>
      </c>
      <c r="B1" s="3" t="s">
        <v>1</v>
      </c>
      <c r="C1" s="3" t="s">
        <v>2</v>
      </c>
      <c r="D1" s="3" t="s">
        <v>16</v>
      </c>
      <c r="E1" s="3"/>
      <c r="F1" s="3"/>
    </row>
    <row r="2" spans="1:6" x14ac:dyDescent="0.45">
      <c r="A2" s="4" t="s">
        <v>3</v>
      </c>
      <c r="B2" s="4" t="s">
        <v>4</v>
      </c>
      <c r="C2" s="4">
        <v>0.55000000000000004</v>
      </c>
      <c r="D2" s="5">
        <f>SUM($C$2:C2)</f>
        <v>0.55000000000000004</v>
      </c>
    </row>
    <row r="3" spans="1:6" x14ac:dyDescent="0.45">
      <c r="A3" s="4" t="s">
        <v>3</v>
      </c>
      <c r="B3" s="4" t="s">
        <v>5</v>
      </c>
      <c r="C3" s="4">
        <v>0.2</v>
      </c>
      <c r="D3" s="5">
        <f>SUM($C$2:C3)</f>
        <v>0.75</v>
      </c>
    </row>
    <row r="4" spans="1:6" x14ac:dyDescent="0.45">
      <c r="A4" s="4" t="s">
        <v>3</v>
      </c>
      <c r="B4" s="4" t="s">
        <v>6</v>
      </c>
      <c r="C4" s="4">
        <v>0.25</v>
      </c>
      <c r="D4" s="5">
        <f>SUM($C$2:C4)</f>
        <v>1</v>
      </c>
    </row>
    <row r="5" spans="1:6" x14ac:dyDescent="0.45">
      <c r="A5" s="4" t="s">
        <v>7</v>
      </c>
      <c r="B5" s="4" t="s">
        <v>8</v>
      </c>
      <c r="C5" s="4">
        <v>0.65</v>
      </c>
      <c r="D5" s="5">
        <f>SUM($C$5:C5)</f>
        <v>0.65</v>
      </c>
    </row>
    <row r="6" spans="1:6" x14ac:dyDescent="0.45">
      <c r="A6" s="4" t="s">
        <v>7</v>
      </c>
      <c r="B6" s="4" t="s">
        <v>9</v>
      </c>
      <c r="C6" s="4">
        <v>0.35</v>
      </c>
      <c r="D6" s="5">
        <f>SUM($C$5:C6)</f>
        <v>1</v>
      </c>
    </row>
    <row r="7" spans="1:6" x14ac:dyDescent="0.45">
      <c r="A7" s="4" t="s">
        <v>10</v>
      </c>
      <c r="B7" s="4" t="s">
        <v>35</v>
      </c>
      <c r="C7" s="4">
        <v>0.25</v>
      </c>
      <c r="D7" s="5">
        <f>SUM($C$7:C7)</f>
        <v>0.25</v>
      </c>
    </row>
    <row r="8" spans="1:6" x14ac:dyDescent="0.45">
      <c r="A8" s="4" t="s">
        <v>10</v>
      </c>
      <c r="B8" s="4" t="s">
        <v>36</v>
      </c>
      <c r="C8" s="4">
        <v>0.35</v>
      </c>
      <c r="D8" s="5">
        <f>SUM($C$7:C8)</f>
        <v>0.6</v>
      </c>
    </row>
    <row r="9" spans="1:6" x14ac:dyDescent="0.45">
      <c r="A9" s="4" t="s">
        <v>10</v>
      </c>
      <c r="B9" s="4" t="s">
        <v>37</v>
      </c>
      <c r="C9" s="4">
        <v>0.25</v>
      </c>
      <c r="D9" s="5">
        <f>SUM($C$7:C9)</f>
        <v>0.85</v>
      </c>
    </row>
    <row r="10" spans="1:6" x14ac:dyDescent="0.45">
      <c r="A10" s="4" t="s">
        <v>10</v>
      </c>
      <c r="B10" s="4" t="s">
        <v>38</v>
      </c>
      <c r="C10" s="4">
        <v>0.15</v>
      </c>
      <c r="D10" s="5">
        <f>SUM($C$7:C10)</f>
        <v>1</v>
      </c>
    </row>
    <row r="11" spans="1:6" x14ac:dyDescent="0.45">
      <c r="A11" s="4" t="s">
        <v>11</v>
      </c>
      <c r="B11" s="4" t="s">
        <v>12</v>
      </c>
      <c r="C11" s="4">
        <v>0.85</v>
      </c>
      <c r="D11" s="5">
        <f>SUM($C$11:C11)</f>
        <v>0.85</v>
      </c>
    </row>
    <row r="12" spans="1:6" x14ac:dyDescent="0.45">
      <c r="A12" s="4" t="s">
        <v>11</v>
      </c>
      <c r="B12" s="4" t="s">
        <v>13</v>
      </c>
      <c r="C12" s="4">
        <v>0.15</v>
      </c>
      <c r="D12" s="5">
        <f>SUM($C$11:C12)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96BD-906D-4265-B356-75C0F47EDE60}">
  <dimension ref="A1:C5"/>
  <sheetViews>
    <sheetView topLeftCell="BI1" workbookViewId="0">
      <selection activeCell="D11" sqref="D11"/>
    </sheetView>
  </sheetViews>
  <sheetFormatPr defaultRowHeight="14.25" x14ac:dyDescent="0.45"/>
  <sheetData>
    <row r="1" spans="1:3" x14ac:dyDescent="0.45">
      <c r="A1" s="1" t="s">
        <v>10</v>
      </c>
      <c r="B1" s="1" t="s">
        <v>14</v>
      </c>
      <c r="C1" s="1" t="s">
        <v>15</v>
      </c>
    </row>
    <row r="2" spans="1:3" x14ac:dyDescent="0.45">
      <c r="A2" s="2" t="s">
        <v>35</v>
      </c>
      <c r="B2" s="2">
        <v>25</v>
      </c>
      <c r="C2" s="2">
        <v>34</v>
      </c>
    </row>
    <row r="3" spans="1:3" x14ac:dyDescent="0.45">
      <c r="A3" s="2" t="s">
        <v>36</v>
      </c>
      <c r="B3" s="2">
        <v>35</v>
      </c>
      <c r="C3" s="2">
        <v>44</v>
      </c>
    </row>
    <row r="4" spans="1:3" x14ac:dyDescent="0.45">
      <c r="A4" s="2" t="s">
        <v>37</v>
      </c>
      <c r="B4" s="2">
        <v>45</v>
      </c>
      <c r="C4" s="2">
        <v>54</v>
      </c>
    </row>
    <row r="5" spans="1:3" x14ac:dyDescent="0.45">
      <c r="A5" s="2" t="s">
        <v>38</v>
      </c>
      <c r="B5" s="2">
        <v>55</v>
      </c>
      <c r="C5" s="2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C887-2762-4A37-BE0E-ADC0AC756E7F}">
  <dimension ref="A1:B14"/>
  <sheetViews>
    <sheetView workbookViewId="0">
      <selection activeCell="B12" sqref="B12"/>
    </sheetView>
  </sheetViews>
  <sheetFormatPr defaultRowHeight="14.25" x14ac:dyDescent="0.45"/>
  <sheetData>
    <row r="1" spans="1:2" x14ac:dyDescent="0.45">
      <c r="A1" t="s">
        <v>88</v>
      </c>
    </row>
    <row r="2" spans="1:2" x14ac:dyDescent="0.45">
      <c r="A2" s="12" t="s">
        <v>71</v>
      </c>
      <c r="B2" s="12" t="s">
        <v>87</v>
      </c>
    </row>
    <row r="3" spans="1:2" x14ac:dyDescent="0.45">
      <c r="A3" t="s">
        <v>20</v>
      </c>
      <c r="B3" s="10">
        <v>0.15</v>
      </c>
    </row>
    <row r="4" spans="1:2" x14ac:dyDescent="0.45">
      <c r="A4" t="s">
        <v>23</v>
      </c>
      <c r="B4" s="10">
        <v>0.1</v>
      </c>
    </row>
    <row r="5" spans="1:2" x14ac:dyDescent="0.45">
      <c r="A5" t="s">
        <v>26</v>
      </c>
      <c r="B5" s="10">
        <v>0.01</v>
      </c>
    </row>
    <row r="6" spans="1:2" x14ac:dyDescent="0.45">
      <c r="A6" t="s">
        <v>24</v>
      </c>
      <c r="B6" s="11">
        <v>3.0000000000000001E-3</v>
      </c>
    </row>
    <row r="8" spans="1:2" x14ac:dyDescent="0.45">
      <c r="A8" t="s">
        <v>91</v>
      </c>
    </row>
    <row r="9" spans="1:2" x14ac:dyDescent="0.45">
      <c r="A9" t="s">
        <v>89</v>
      </c>
    </row>
    <row r="10" spans="1:2" x14ac:dyDescent="0.45">
      <c r="A10" s="1" t="s">
        <v>71</v>
      </c>
      <c r="B10" s="8" t="s">
        <v>90</v>
      </c>
    </row>
    <row r="11" spans="1:2" x14ac:dyDescent="0.45">
      <c r="A11" s="2" t="s">
        <v>20</v>
      </c>
      <c r="B11" s="7">
        <v>250</v>
      </c>
    </row>
    <row r="12" spans="1:2" x14ac:dyDescent="0.45">
      <c r="A12" s="2" t="s">
        <v>23</v>
      </c>
      <c r="B12" s="7">
        <v>180</v>
      </c>
    </row>
    <row r="13" spans="1:2" x14ac:dyDescent="0.45">
      <c r="A13" s="2" t="s">
        <v>26</v>
      </c>
      <c r="B13" s="7">
        <v>1200</v>
      </c>
    </row>
    <row r="14" spans="1:2" x14ac:dyDescent="0.45">
      <c r="A14" s="2" t="s">
        <v>24</v>
      </c>
      <c r="B14" s="7">
        <v>6000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0D3E-1937-401A-9BFB-19579C332C7F}">
  <dimension ref="A1:F33"/>
  <sheetViews>
    <sheetView workbookViewId="0">
      <selection activeCell="A35" sqref="A35"/>
    </sheetView>
  </sheetViews>
  <sheetFormatPr defaultRowHeight="14.25" x14ac:dyDescent="0.45"/>
  <cols>
    <col min="1" max="1" width="10.46484375" customWidth="1"/>
    <col min="6" max="6" width="10.9296875" customWidth="1"/>
  </cols>
  <sheetData>
    <row r="1" spans="1:6" x14ac:dyDescent="0.45">
      <c r="A1" t="s">
        <v>39</v>
      </c>
    </row>
    <row r="2" spans="1:6" x14ac:dyDescent="0.45">
      <c r="A2" s="1" t="s">
        <v>17</v>
      </c>
      <c r="B2" s="1" t="s">
        <v>18</v>
      </c>
      <c r="C2" s="1" t="s">
        <v>7</v>
      </c>
      <c r="D2" s="1" t="s">
        <v>3</v>
      </c>
      <c r="E2" s="1" t="s">
        <v>10</v>
      </c>
      <c r="F2" s="1" t="s">
        <v>19</v>
      </c>
    </row>
    <row r="3" spans="1:6" x14ac:dyDescent="0.45">
      <c r="A3" s="2" t="s">
        <v>20</v>
      </c>
      <c r="B3" s="2" t="s">
        <v>21</v>
      </c>
      <c r="C3" s="2" t="s">
        <v>8</v>
      </c>
      <c r="D3" s="2" t="s">
        <v>4</v>
      </c>
      <c r="E3" s="2" t="s">
        <v>22</v>
      </c>
      <c r="F3" s="2">
        <v>85</v>
      </c>
    </row>
    <row r="4" spans="1:6" x14ac:dyDescent="0.45">
      <c r="A4" s="2" t="s">
        <v>20</v>
      </c>
      <c r="B4" s="2" t="s">
        <v>21</v>
      </c>
      <c r="C4" s="2" t="s">
        <v>8</v>
      </c>
      <c r="D4" s="2" t="s">
        <v>5</v>
      </c>
      <c r="E4" s="2" t="s">
        <v>22</v>
      </c>
      <c r="F4" s="2">
        <v>90</v>
      </c>
    </row>
    <row r="5" spans="1:6" x14ac:dyDescent="0.45">
      <c r="A5" s="2" t="s">
        <v>20</v>
      </c>
      <c r="B5" s="2" t="s">
        <v>21</v>
      </c>
      <c r="C5" s="2" t="s">
        <v>8</v>
      </c>
      <c r="D5" s="2" t="s">
        <v>6</v>
      </c>
      <c r="E5" s="2" t="s">
        <v>22</v>
      </c>
      <c r="F5" s="2">
        <v>88</v>
      </c>
    </row>
    <row r="6" spans="1:6" x14ac:dyDescent="0.45">
      <c r="A6" s="2" t="s">
        <v>20</v>
      </c>
      <c r="B6" s="2" t="s">
        <v>21</v>
      </c>
      <c r="C6" s="2" t="s">
        <v>9</v>
      </c>
      <c r="D6" s="2" t="s">
        <v>4</v>
      </c>
      <c r="E6" s="2" t="s">
        <v>22</v>
      </c>
      <c r="F6" s="2">
        <v>95</v>
      </c>
    </row>
    <row r="7" spans="1:6" x14ac:dyDescent="0.45">
      <c r="A7" s="2" t="s">
        <v>20</v>
      </c>
      <c r="B7" s="2" t="s">
        <v>21</v>
      </c>
      <c r="C7" s="2" t="s">
        <v>9</v>
      </c>
      <c r="D7" s="2" t="s">
        <v>5</v>
      </c>
      <c r="E7" s="2" t="s">
        <v>22</v>
      </c>
      <c r="F7" s="2">
        <v>100</v>
      </c>
    </row>
    <row r="8" spans="1:6" x14ac:dyDescent="0.45">
      <c r="A8" s="2" t="s">
        <v>20</v>
      </c>
      <c r="B8" s="2" t="s">
        <v>21</v>
      </c>
      <c r="C8" s="2" t="s">
        <v>9</v>
      </c>
      <c r="D8" s="2" t="s">
        <v>6</v>
      </c>
      <c r="E8" s="2" t="s">
        <v>22</v>
      </c>
      <c r="F8" s="2">
        <v>98</v>
      </c>
    </row>
    <row r="9" spans="1:6" x14ac:dyDescent="0.45">
      <c r="A9" s="2" t="s">
        <v>23</v>
      </c>
      <c r="B9" s="2" t="s">
        <v>21</v>
      </c>
      <c r="C9" s="2" t="s">
        <v>8</v>
      </c>
      <c r="D9" s="2" t="s">
        <v>4</v>
      </c>
      <c r="E9" s="2" t="s">
        <v>22</v>
      </c>
      <c r="F9" s="2">
        <v>35</v>
      </c>
    </row>
    <row r="10" spans="1:6" x14ac:dyDescent="0.45">
      <c r="A10" s="2" t="s">
        <v>23</v>
      </c>
      <c r="B10" s="2" t="s">
        <v>21</v>
      </c>
      <c r="C10" s="2" t="s">
        <v>8</v>
      </c>
      <c r="D10" s="2" t="s">
        <v>5</v>
      </c>
      <c r="E10" s="2" t="s">
        <v>22</v>
      </c>
      <c r="F10" s="2">
        <v>37</v>
      </c>
    </row>
    <row r="11" spans="1:6" x14ac:dyDescent="0.45">
      <c r="A11" s="2" t="s">
        <v>23</v>
      </c>
      <c r="B11" s="2" t="s">
        <v>21</v>
      </c>
      <c r="C11" s="2" t="s">
        <v>8</v>
      </c>
      <c r="D11" s="2" t="s">
        <v>6</v>
      </c>
      <c r="E11" s="2" t="s">
        <v>22</v>
      </c>
      <c r="F11" s="2">
        <v>36</v>
      </c>
    </row>
    <row r="12" spans="1:6" x14ac:dyDescent="0.45">
      <c r="A12" s="2" t="s">
        <v>23</v>
      </c>
      <c r="B12" s="2" t="s">
        <v>21</v>
      </c>
      <c r="C12" s="2" t="s">
        <v>9</v>
      </c>
      <c r="D12" s="2" t="s">
        <v>4</v>
      </c>
      <c r="E12" s="2" t="s">
        <v>22</v>
      </c>
      <c r="F12" s="2">
        <v>40</v>
      </c>
    </row>
    <row r="13" spans="1:6" x14ac:dyDescent="0.45">
      <c r="A13" s="2" t="s">
        <v>23</v>
      </c>
      <c r="B13" s="2" t="s">
        <v>21</v>
      </c>
      <c r="C13" s="2" t="s">
        <v>9</v>
      </c>
      <c r="D13" s="2" t="s">
        <v>5</v>
      </c>
      <c r="E13" s="2" t="s">
        <v>22</v>
      </c>
      <c r="F13" s="2">
        <v>42</v>
      </c>
    </row>
    <row r="14" spans="1:6" x14ac:dyDescent="0.45">
      <c r="A14" s="2" t="s">
        <v>23</v>
      </c>
      <c r="B14" s="2" t="s">
        <v>21</v>
      </c>
      <c r="C14" s="2" t="s">
        <v>9</v>
      </c>
      <c r="D14" s="2" t="s">
        <v>6</v>
      </c>
      <c r="E14" s="2" t="s">
        <v>22</v>
      </c>
      <c r="F14" s="2">
        <v>41</v>
      </c>
    </row>
    <row r="15" spans="1:6" x14ac:dyDescent="0.45">
      <c r="A15" s="2"/>
      <c r="B15" s="2"/>
      <c r="C15" s="2"/>
      <c r="D15" s="2"/>
      <c r="E15" s="2"/>
      <c r="F15" s="2"/>
    </row>
    <row r="16" spans="1:6" x14ac:dyDescent="0.45">
      <c r="A16" s="2" t="s">
        <v>40</v>
      </c>
      <c r="B16" s="2"/>
      <c r="C16" s="2"/>
      <c r="D16" s="2"/>
      <c r="E16" s="2"/>
      <c r="F16" s="2"/>
    </row>
    <row r="17" spans="1:6" x14ac:dyDescent="0.45">
      <c r="A17" s="1" t="s">
        <v>17</v>
      </c>
      <c r="B17" s="1" t="s">
        <v>18</v>
      </c>
      <c r="C17" s="1" t="s">
        <v>7</v>
      </c>
      <c r="D17" s="1" t="s">
        <v>3</v>
      </c>
      <c r="E17" s="1" t="s">
        <v>10</v>
      </c>
      <c r="F17" s="1" t="s">
        <v>19</v>
      </c>
    </row>
    <row r="18" spans="1:6" x14ac:dyDescent="0.45">
      <c r="A18" s="2" t="s">
        <v>26</v>
      </c>
      <c r="B18" s="2" t="s">
        <v>25</v>
      </c>
      <c r="C18" s="2" t="s">
        <v>8</v>
      </c>
      <c r="D18" s="2" t="s">
        <v>22</v>
      </c>
      <c r="E18" s="2" t="s">
        <v>35</v>
      </c>
      <c r="F18" s="2">
        <v>8.0000000000000004E-4</v>
      </c>
    </row>
    <row r="19" spans="1:6" x14ac:dyDescent="0.45">
      <c r="A19" s="2" t="s">
        <v>26</v>
      </c>
      <c r="B19" s="2" t="s">
        <v>25</v>
      </c>
      <c r="C19" s="2" t="s">
        <v>8</v>
      </c>
      <c r="D19" s="2" t="s">
        <v>22</v>
      </c>
      <c r="E19" s="2" t="s">
        <v>36</v>
      </c>
      <c r="F19" s="2">
        <v>1E-3</v>
      </c>
    </row>
    <row r="20" spans="1:6" x14ac:dyDescent="0.45">
      <c r="A20" s="2" t="s">
        <v>26</v>
      </c>
      <c r="B20" s="2" t="s">
        <v>25</v>
      </c>
      <c r="C20" s="2" t="s">
        <v>8</v>
      </c>
      <c r="D20" s="2" t="s">
        <v>22</v>
      </c>
      <c r="E20" s="2" t="s">
        <v>37</v>
      </c>
      <c r="F20" s="2">
        <v>1.4E-3</v>
      </c>
    </row>
    <row r="21" spans="1:6" x14ac:dyDescent="0.45">
      <c r="A21" s="2" t="s">
        <v>26</v>
      </c>
      <c r="B21" s="2" t="s">
        <v>25</v>
      </c>
      <c r="C21" s="2" t="s">
        <v>8</v>
      </c>
      <c r="D21" s="2" t="s">
        <v>22</v>
      </c>
      <c r="E21" s="2" t="s">
        <v>38</v>
      </c>
      <c r="F21" s="2">
        <v>2E-3</v>
      </c>
    </row>
    <row r="22" spans="1:6" x14ac:dyDescent="0.45">
      <c r="A22" s="2" t="s">
        <v>26</v>
      </c>
      <c r="B22" s="2" t="s">
        <v>25</v>
      </c>
      <c r="C22" s="2" t="s">
        <v>9</v>
      </c>
      <c r="D22" s="2" t="s">
        <v>22</v>
      </c>
      <c r="E22" s="2" t="s">
        <v>35</v>
      </c>
      <c r="F22" s="2">
        <v>1E-3</v>
      </c>
    </row>
    <row r="23" spans="1:6" x14ac:dyDescent="0.45">
      <c r="A23" s="2" t="s">
        <v>26</v>
      </c>
      <c r="B23" s="2" t="s">
        <v>25</v>
      </c>
      <c r="C23" s="2" t="s">
        <v>9</v>
      </c>
      <c r="D23" s="2" t="s">
        <v>22</v>
      </c>
      <c r="E23" s="2" t="s">
        <v>36</v>
      </c>
      <c r="F23" s="2">
        <v>1.2999999999999999E-3</v>
      </c>
    </row>
    <row r="24" spans="1:6" x14ac:dyDescent="0.45">
      <c r="A24" s="2" t="s">
        <v>26</v>
      </c>
      <c r="B24" s="2" t="s">
        <v>25</v>
      </c>
      <c r="C24" s="2" t="s">
        <v>9</v>
      </c>
      <c r="D24" s="2" t="s">
        <v>22</v>
      </c>
      <c r="E24" s="2" t="s">
        <v>37</v>
      </c>
      <c r="F24" s="2">
        <v>1.8E-3</v>
      </c>
    </row>
    <row r="25" spans="1:6" x14ac:dyDescent="0.45">
      <c r="A25" s="2" t="s">
        <v>26</v>
      </c>
      <c r="B25" s="2" t="s">
        <v>25</v>
      </c>
      <c r="C25" s="2" t="s">
        <v>9</v>
      </c>
      <c r="D25" s="2" t="s">
        <v>22</v>
      </c>
      <c r="E25" s="2" t="s">
        <v>38</v>
      </c>
      <c r="F25" s="2">
        <v>2.5999999999999999E-3</v>
      </c>
    </row>
    <row r="26" spans="1:6" x14ac:dyDescent="0.45">
      <c r="A26" s="2" t="s">
        <v>24</v>
      </c>
      <c r="B26" s="2" t="s">
        <v>25</v>
      </c>
      <c r="C26" s="2" t="s">
        <v>8</v>
      </c>
      <c r="D26" s="2" t="s">
        <v>22</v>
      </c>
      <c r="E26" s="2" t="s">
        <v>35</v>
      </c>
      <c r="F26" s="2">
        <v>1.6000000000000001E-3</v>
      </c>
    </row>
    <row r="27" spans="1:6" x14ac:dyDescent="0.45">
      <c r="A27" s="2" t="s">
        <v>24</v>
      </c>
      <c r="B27" s="2" t="s">
        <v>25</v>
      </c>
      <c r="C27" s="2" t="s">
        <v>8</v>
      </c>
      <c r="D27" s="2" t="s">
        <v>22</v>
      </c>
      <c r="E27" s="2" t="s">
        <v>36</v>
      </c>
      <c r="F27" s="2">
        <v>2E-3</v>
      </c>
    </row>
    <row r="28" spans="1:6" x14ac:dyDescent="0.45">
      <c r="A28" s="2" t="s">
        <v>24</v>
      </c>
      <c r="B28" s="2" t="s">
        <v>25</v>
      </c>
      <c r="C28" s="2" t="s">
        <v>8</v>
      </c>
      <c r="D28" s="2" t="s">
        <v>22</v>
      </c>
      <c r="E28" s="2" t="s">
        <v>37</v>
      </c>
      <c r="F28" s="2">
        <v>3.0000000000000001E-3</v>
      </c>
    </row>
    <row r="29" spans="1:6" x14ac:dyDescent="0.45">
      <c r="A29" s="2" t="s">
        <v>24</v>
      </c>
      <c r="B29" s="2" t="s">
        <v>25</v>
      </c>
      <c r="C29" s="2" t="s">
        <v>8</v>
      </c>
      <c r="D29" s="2" t="s">
        <v>22</v>
      </c>
      <c r="E29" s="2" t="s">
        <v>38</v>
      </c>
      <c r="F29" s="2">
        <v>4.4000000000000003E-3</v>
      </c>
    </row>
    <row r="30" spans="1:6" x14ac:dyDescent="0.45">
      <c r="A30" s="2" t="s">
        <v>24</v>
      </c>
      <c r="B30" s="2" t="s">
        <v>25</v>
      </c>
      <c r="C30" s="2" t="s">
        <v>9</v>
      </c>
      <c r="D30" s="2" t="s">
        <v>22</v>
      </c>
      <c r="E30" s="2" t="s">
        <v>35</v>
      </c>
      <c r="F30" s="2">
        <v>2E-3</v>
      </c>
    </row>
    <row r="31" spans="1:6" x14ac:dyDescent="0.45">
      <c r="A31" s="2" t="s">
        <v>24</v>
      </c>
      <c r="B31" s="2" t="s">
        <v>25</v>
      </c>
      <c r="C31" s="2" t="s">
        <v>9</v>
      </c>
      <c r="D31" s="2" t="s">
        <v>22</v>
      </c>
      <c r="E31" s="2" t="s">
        <v>36</v>
      </c>
      <c r="F31" s="2">
        <v>2.5999999999999999E-3</v>
      </c>
    </row>
    <row r="32" spans="1:6" x14ac:dyDescent="0.45">
      <c r="A32" s="2" t="s">
        <v>24</v>
      </c>
      <c r="B32" s="2" t="s">
        <v>25</v>
      </c>
      <c r="C32" s="2" t="s">
        <v>9</v>
      </c>
      <c r="D32" s="2" t="s">
        <v>22</v>
      </c>
      <c r="E32" s="2" t="s">
        <v>37</v>
      </c>
      <c r="F32" s="2">
        <v>3.8E-3</v>
      </c>
    </row>
    <row r="33" spans="1:6" x14ac:dyDescent="0.45">
      <c r="A33" s="2" t="s">
        <v>24</v>
      </c>
      <c r="B33" s="2" t="s">
        <v>25</v>
      </c>
      <c r="C33" s="2" t="s">
        <v>9</v>
      </c>
      <c r="D33" s="2" t="s">
        <v>22</v>
      </c>
      <c r="E33" s="2" t="s">
        <v>38</v>
      </c>
      <c r="F33" s="2">
        <v>5.5999999999999999E-3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EB7F-E3C3-4C02-AEA7-89CA38A7A141}">
  <dimension ref="A1:E39"/>
  <sheetViews>
    <sheetView topLeftCell="A24" workbookViewId="0">
      <selection activeCell="E30" sqref="E30"/>
    </sheetView>
  </sheetViews>
  <sheetFormatPr defaultRowHeight="14.25" x14ac:dyDescent="0.45"/>
  <sheetData>
    <row r="1" spans="1:2" x14ac:dyDescent="0.45">
      <c r="A1" t="s">
        <v>41</v>
      </c>
    </row>
    <row r="2" spans="1:2" x14ac:dyDescent="0.45">
      <c r="A2" s="1" t="s">
        <v>42</v>
      </c>
      <c r="B2" s="1" t="s">
        <v>43</v>
      </c>
    </row>
    <row r="3" spans="1:2" x14ac:dyDescent="0.45">
      <c r="A3" s="2" t="s">
        <v>44</v>
      </c>
      <c r="B3" s="2">
        <v>85</v>
      </c>
    </row>
    <row r="4" spans="1:2" x14ac:dyDescent="0.45">
      <c r="A4" s="2" t="s">
        <v>45</v>
      </c>
      <c r="B4" s="2">
        <v>90</v>
      </c>
    </row>
    <row r="5" spans="1:2" x14ac:dyDescent="0.45">
      <c r="A5" s="2" t="s">
        <v>46</v>
      </c>
      <c r="B5" s="2">
        <v>88</v>
      </c>
    </row>
    <row r="6" spans="1:2" x14ac:dyDescent="0.45">
      <c r="A6" s="2" t="s">
        <v>47</v>
      </c>
      <c r="B6" s="2">
        <v>95</v>
      </c>
    </row>
    <row r="7" spans="1:2" x14ac:dyDescent="0.45">
      <c r="A7" s="2" t="s">
        <v>48</v>
      </c>
      <c r="B7" s="2">
        <v>100</v>
      </c>
    </row>
    <row r="8" spans="1:2" x14ac:dyDescent="0.45">
      <c r="A8" s="2" t="s">
        <v>49</v>
      </c>
      <c r="B8" s="2">
        <v>98</v>
      </c>
    </row>
    <row r="10" spans="1:2" x14ac:dyDescent="0.45">
      <c r="A10" t="s">
        <v>50</v>
      </c>
    </row>
    <row r="11" spans="1:2" x14ac:dyDescent="0.45">
      <c r="A11" s="1" t="s">
        <v>42</v>
      </c>
      <c r="B11" s="1" t="s">
        <v>43</v>
      </c>
    </row>
    <row r="12" spans="1:2" x14ac:dyDescent="0.45">
      <c r="A12" s="2" t="s">
        <v>44</v>
      </c>
      <c r="B12" s="2">
        <v>35</v>
      </c>
    </row>
    <row r="13" spans="1:2" x14ac:dyDescent="0.45">
      <c r="A13" s="2" t="s">
        <v>45</v>
      </c>
      <c r="B13" s="2">
        <v>37</v>
      </c>
    </row>
    <row r="14" spans="1:2" x14ac:dyDescent="0.45">
      <c r="A14" s="2" t="s">
        <v>46</v>
      </c>
      <c r="B14" s="2">
        <v>36</v>
      </c>
    </row>
    <row r="15" spans="1:2" x14ac:dyDescent="0.45">
      <c r="A15" s="2" t="s">
        <v>47</v>
      </c>
      <c r="B15" s="2">
        <v>40</v>
      </c>
    </row>
    <row r="16" spans="1:2" x14ac:dyDescent="0.45">
      <c r="A16" s="2" t="s">
        <v>48</v>
      </c>
      <c r="B16" s="2">
        <v>42</v>
      </c>
    </row>
    <row r="17" spans="1:5" x14ac:dyDescent="0.45">
      <c r="A17" s="2" t="s">
        <v>49</v>
      </c>
      <c r="B17" s="2">
        <v>41</v>
      </c>
    </row>
    <row r="19" spans="1:5" x14ac:dyDescent="0.45">
      <c r="A19" t="s">
        <v>51</v>
      </c>
    </row>
    <row r="20" spans="1:5" x14ac:dyDescent="0.45">
      <c r="A20" s="1" t="s">
        <v>42</v>
      </c>
      <c r="B20" s="8" t="s">
        <v>43</v>
      </c>
      <c r="D20" s="1" t="s">
        <v>42</v>
      </c>
      <c r="E20" s="8" t="s">
        <v>43</v>
      </c>
    </row>
    <row r="21" spans="1:5" x14ac:dyDescent="0.45">
      <c r="A21" s="2" t="s">
        <v>53</v>
      </c>
      <c r="B21" s="7">
        <v>8.0000000000000004E-4</v>
      </c>
      <c r="D21" s="2" t="s">
        <v>97</v>
      </c>
      <c r="E21" s="7">
        <v>1.2999999999999999E-3</v>
      </c>
    </row>
    <row r="22" spans="1:5" x14ac:dyDescent="0.45">
      <c r="A22" s="2" t="s">
        <v>54</v>
      </c>
      <c r="B22" s="7">
        <v>1E-3</v>
      </c>
      <c r="D22" s="2" t="s">
        <v>98</v>
      </c>
      <c r="E22" s="7">
        <v>1.6999999999999999E-3</v>
      </c>
    </row>
    <row r="23" spans="1:5" x14ac:dyDescent="0.45">
      <c r="A23" s="2" t="s">
        <v>55</v>
      </c>
      <c r="B23" s="7">
        <v>1.4E-3</v>
      </c>
    </row>
    <row r="24" spans="1:5" x14ac:dyDescent="0.45">
      <c r="A24" s="2" t="s">
        <v>56</v>
      </c>
      <c r="B24" s="7">
        <v>2E-3</v>
      </c>
    </row>
    <row r="25" spans="1:5" x14ac:dyDescent="0.45">
      <c r="A25" s="2" t="s">
        <v>57</v>
      </c>
      <c r="B25" s="7">
        <v>1E-3</v>
      </c>
    </row>
    <row r="26" spans="1:5" x14ac:dyDescent="0.45">
      <c r="A26" s="2" t="s">
        <v>58</v>
      </c>
      <c r="B26" s="7">
        <v>1.2999999999999999E-3</v>
      </c>
    </row>
    <row r="27" spans="1:5" x14ac:dyDescent="0.45">
      <c r="A27" s="2" t="s">
        <v>59</v>
      </c>
      <c r="B27" s="7">
        <v>1.8E-3</v>
      </c>
    </row>
    <row r="28" spans="1:5" x14ac:dyDescent="0.45">
      <c r="A28" s="2" t="s">
        <v>60</v>
      </c>
      <c r="B28" s="7">
        <v>2.5999999999999999E-3</v>
      </c>
    </row>
    <row r="30" spans="1:5" x14ac:dyDescent="0.45">
      <c r="A30" t="s">
        <v>52</v>
      </c>
    </row>
    <row r="31" spans="1:5" x14ac:dyDescent="0.45">
      <c r="A31" s="1" t="s">
        <v>42</v>
      </c>
      <c r="B31" s="8" t="s">
        <v>43</v>
      </c>
      <c r="D31" s="1" t="s">
        <v>42</v>
      </c>
      <c r="E31" s="8" t="s">
        <v>43</v>
      </c>
    </row>
    <row r="32" spans="1:5" x14ac:dyDescent="0.45">
      <c r="A32" s="2" t="s">
        <v>53</v>
      </c>
      <c r="B32" s="7">
        <v>1.6000000000000001E-3</v>
      </c>
      <c r="D32" s="2" t="s">
        <v>97</v>
      </c>
      <c r="E32" s="7">
        <v>2.8E-3</v>
      </c>
    </row>
    <row r="33" spans="1:5" x14ac:dyDescent="0.45">
      <c r="A33" s="2" t="s">
        <v>54</v>
      </c>
      <c r="B33" s="7">
        <v>2E-3</v>
      </c>
      <c r="D33" s="2" t="s">
        <v>98</v>
      </c>
      <c r="E33" s="7">
        <v>3.5999999999999999E-3</v>
      </c>
    </row>
    <row r="34" spans="1:5" x14ac:dyDescent="0.45">
      <c r="A34" s="2" t="s">
        <v>55</v>
      </c>
      <c r="B34" s="7">
        <v>3.0000000000000001E-3</v>
      </c>
    </row>
    <row r="35" spans="1:5" x14ac:dyDescent="0.45">
      <c r="A35" s="2" t="s">
        <v>56</v>
      </c>
      <c r="B35" s="7">
        <v>4.4000000000000003E-3</v>
      </c>
    </row>
    <row r="36" spans="1:5" x14ac:dyDescent="0.45">
      <c r="A36" s="2" t="s">
        <v>57</v>
      </c>
      <c r="B36" s="7">
        <v>2E-3</v>
      </c>
    </row>
    <row r="37" spans="1:5" x14ac:dyDescent="0.45">
      <c r="A37" s="2" t="s">
        <v>58</v>
      </c>
      <c r="B37" s="7">
        <v>2.5999999999999999E-3</v>
      </c>
    </row>
    <row r="38" spans="1:5" x14ac:dyDescent="0.45">
      <c r="A38" s="2" t="s">
        <v>59</v>
      </c>
      <c r="B38" s="7">
        <v>3.8E-3</v>
      </c>
    </row>
    <row r="39" spans="1:5" x14ac:dyDescent="0.45">
      <c r="A39" s="2" t="s">
        <v>60</v>
      </c>
      <c r="B39" s="7">
        <v>5.5999999999999999E-3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578D-D4F2-42DF-8A0F-2DE94B2CAE2B}">
  <dimension ref="A1:N501"/>
  <sheetViews>
    <sheetView topLeftCell="G492" workbookViewId="0">
      <selection sqref="A1:N501"/>
    </sheetView>
  </sheetViews>
  <sheetFormatPr defaultRowHeight="14.25" x14ac:dyDescent="0.45"/>
  <sheetData>
    <row r="1" spans="1:14" x14ac:dyDescent="0.45">
      <c r="A1" t="s">
        <v>27</v>
      </c>
      <c r="B1" t="s">
        <v>28</v>
      </c>
      <c r="C1" t="s">
        <v>3</v>
      </c>
      <c r="D1" t="s">
        <v>29</v>
      </c>
      <c r="E1" t="s">
        <v>7</v>
      </c>
      <c r="F1" t="s">
        <v>30</v>
      </c>
      <c r="G1" t="s">
        <v>10</v>
      </c>
      <c r="H1" t="s">
        <v>14</v>
      </c>
      <c r="I1" t="s">
        <v>15</v>
      </c>
      <c r="J1" t="s">
        <v>31</v>
      </c>
      <c r="K1" t="s">
        <v>32</v>
      </c>
      <c r="L1" t="s">
        <v>11</v>
      </c>
      <c r="M1" t="s">
        <v>33</v>
      </c>
      <c r="N1" t="s">
        <v>34</v>
      </c>
    </row>
    <row r="2" spans="1:14" x14ac:dyDescent="0.45">
      <c r="A2">
        <v>1</v>
      </c>
      <c r="B2">
        <f ca="1">RAND()</f>
        <v>0.80188738386823644</v>
      </c>
      <c r="C2" t="str">
        <f ca="1">IF(B2&lt;=distribution!$D$2,distribution!$B$2,IF(B2&lt;=distribution!$D$3,distribution!$B$3,distribution!$B$4))</f>
        <v>BC</v>
      </c>
      <c r="D2">
        <f ca="1">RAND()</f>
        <v>0.95525206277773755</v>
      </c>
      <c r="E2" t="str">
        <f ca="1">IF(D2&lt;=distribution!$D$5,distribution!$B$5,distribution!$B$6)</f>
        <v>B</v>
      </c>
      <c r="F2">
        <f ca="1">RAND()</f>
        <v>9.7956684017350693E-2</v>
      </c>
      <c r="G2" t="str">
        <f ca="1">IF(F2&lt;=distribution!$D$7,distribution!$B$7,IF(F2&lt;=distribution!$D$8,distribution!$B$8,IF(F2&lt;=distribution!$D$9,distribution!$B$9,distribution!$B$10)))</f>
        <v>25-34</v>
      </c>
      <c r="H2">
        <f ca="1">VLOOKUP(G2,age_band!$A$1:$C$5,2,FALSE)</f>
        <v>25</v>
      </c>
      <c r="I2">
        <f ca="1">VLOOKUP(G2,age_band!$A$2:$C$5,3,FALSE)</f>
        <v>34</v>
      </c>
      <c r="J2">
        <f ca="1">RANDBETWEEN(H2,I2)</f>
        <v>25</v>
      </c>
      <c r="K2">
        <f ca="1">RAND()</f>
        <v>0.52963366539643253</v>
      </c>
      <c r="L2" t="str">
        <f ca="1">IF(K2&lt;=distribution!$D$11,distribution!$B$11,distribution!$B$12)</f>
        <v>N</v>
      </c>
      <c r="M2">
        <f ca="1">IF(E2="A",RANDBETWEEN(50000,130000),RANDBETWEEN(45000,80000))</f>
        <v>63687</v>
      </c>
      <c r="N2">
        <f ca="1">MIN(M2*1,200000)</f>
        <v>63687</v>
      </c>
    </row>
    <row r="3" spans="1:14" x14ac:dyDescent="0.45">
      <c r="A3">
        <f>A2+1</f>
        <v>2</v>
      </c>
      <c r="B3">
        <f t="shared" ref="B3:B66" ca="1" si="0">RAND()</f>
        <v>0.38320187442604359</v>
      </c>
      <c r="C3" t="str">
        <f ca="1">IF(B3&lt;=distribution!$D$2,distribution!$B$2,IF(B3&lt;=distribution!$D$3,distribution!$B$3,distribution!$B$4))</f>
        <v>ON</v>
      </c>
      <c r="D3">
        <f t="shared" ref="D3:D66" ca="1" si="1">RAND()</f>
        <v>0.35092064603217199</v>
      </c>
      <c r="E3" t="str">
        <f ca="1">IF(D3&lt;=distribution!$D$5,distribution!$B$5,distribution!$B$6)</f>
        <v>A</v>
      </c>
      <c r="F3">
        <f t="shared" ref="F3:F66" ca="1" si="2">RAND()</f>
        <v>0.88827563227329931</v>
      </c>
      <c r="G3" t="str">
        <f ca="1">IF(F3&lt;=distribution!$D$7,distribution!$B$7,IF(F3&lt;=distribution!$D$8,distribution!$B$8,IF(F3&lt;=distribution!$D$9,distribution!$B$9,distribution!$B$10)))</f>
        <v>55-64</v>
      </c>
      <c r="H3">
        <f ca="1">VLOOKUP(G3,age_band!$A$1:$C$5,2,FALSE)</f>
        <v>55</v>
      </c>
      <c r="I3">
        <f ca="1">VLOOKUP(G3,age_band!$A$2:$C$5,3,FALSE)</f>
        <v>64</v>
      </c>
      <c r="J3">
        <f t="shared" ref="J3:J66" ca="1" si="3">RANDBETWEEN(H3,I3)</f>
        <v>59</v>
      </c>
      <c r="K3">
        <f t="shared" ref="K3:K66" ca="1" si="4">RAND()</f>
        <v>0.50079983331727229</v>
      </c>
      <c r="L3" t="str">
        <f ca="1">IF(K3&lt;=distribution!$D$11,distribution!$B$11,distribution!$B$12)</f>
        <v>N</v>
      </c>
      <c r="M3">
        <f t="shared" ref="M3:M66" ca="1" si="5">IF(E3="A",RANDBETWEEN(50000,130000),RANDBETWEEN(45000,80000))</f>
        <v>69826</v>
      </c>
      <c r="N3">
        <f t="shared" ref="N3:N66" ca="1" si="6">MIN(M3*1,200000)</f>
        <v>69826</v>
      </c>
    </row>
    <row r="4" spans="1:14" x14ac:dyDescent="0.45">
      <c r="A4">
        <f t="shared" ref="A4:A67" si="7">A3+1</f>
        <v>3</v>
      </c>
      <c r="B4">
        <f t="shared" ca="1" si="0"/>
        <v>0.45786662681121304</v>
      </c>
      <c r="C4" t="str">
        <f ca="1">IF(B4&lt;=distribution!$D$2,distribution!$B$2,IF(B4&lt;=distribution!$D$3,distribution!$B$3,distribution!$B$4))</f>
        <v>ON</v>
      </c>
      <c r="D4">
        <f t="shared" ca="1" si="1"/>
        <v>0.46767891972520015</v>
      </c>
      <c r="E4" t="str">
        <f ca="1">IF(D4&lt;=distribution!$D$5,distribution!$B$5,distribution!$B$6)</f>
        <v>A</v>
      </c>
      <c r="F4">
        <f t="shared" ca="1" si="2"/>
        <v>0.96992967809566655</v>
      </c>
      <c r="G4" t="str">
        <f ca="1">IF(F4&lt;=distribution!$D$7,distribution!$B$7,IF(F4&lt;=distribution!$D$8,distribution!$B$8,IF(F4&lt;=distribution!$D$9,distribution!$B$9,distribution!$B$10)))</f>
        <v>55-64</v>
      </c>
      <c r="H4">
        <f ca="1">VLOOKUP(G4,age_band!$A$1:$C$5,2,FALSE)</f>
        <v>55</v>
      </c>
      <c r="I4">
        <f ca="1">VLOOKUP(G4,age_band!$A$2:$C$5,3,FALSE)</f>
        <v>64</v>
      </c>
      <c r="J4">
        <f t="shared" ca="1" si="3"/>
        <v>62</v>
      </c>
      <c r="K4">
        <f t="shared" ca="1" si="4"/>
        <v>0.37926189255829756</v>
      </c>
      <c r="L4" t="str">
        <f ca="1">IF(K4&lt;=distribution!$D$11,distribution!$B$11,distribution!$B$12)</f>
        <v>N</v>
      </c>
      <c r="M4">
        <f t="shared" ca="1" si="5"/>
        <v>81885</v>
      </c>
      <c r="N4">
        <f t="shared" ca="1" si="6"/>
        <v>81885</v>
      </c>
    </row>
    <row r="5" spans="1:14" x14ac:dyDescent="0.45">
      <c r="A5">
        <f t="shared" si="7"/>
        <v>4</v>
      </c>
      <c r="B5">
        <f t="shared" ca="1" si="0"/>
        <v>0.71778284464289555</v>
      </c>
      <c r="C5" t="str">
        <f ca="1">IF(B5&lt;=distribution!$D$2,distribution!$B$2,IF(B5&lt;=distribution!$D$3,distribution!$B$3,distribution!$B$4))</f>
        <v>QC</v>
      </c>
      <c r="D5">
        <f t="shared" ca="1" si="1"/>
        <v>0.39025716486662942</v>
      </c>
      <c r="E5" t="str">
        <f ca="1">IF(D5&lt;=distribution!$D$5,distribution!$B$5,distribution!$B$6)</f>
        <v>A</v>
      </c>
      <c r="F5">
        <f t="shared" ca="1" si="2"/>
        <v>0.20138038052236296</v>
      </c>
      <c r="G5" t="str">
        <f ca="1">IF(F5&lt;=distribution!$D$7,distribution!$B$7,IF(F5&lt;=distribution!$D$8,distribution!$B$8,IF(F5&lt;=distribution!$D$9,distribution!$B$9,distribution!$B$10)))</f>
        <v>25-34</v>
      </c>
      <c r="H5">
        <f ca="1">VLOOKUP(G5,age_band!$A$1:$C$5,2,FALSE)</f>
        <v>25</v>
      </c>
      <c r="I5">
        <f ca="1">VLOOKUP(G5,age_band!$A$2:$C$5,3,FALSE)</f>
        <v>34</v>
      </c>
      <c r="J5">
        <f t="shared" ca="1" si="3"/>
        <v>30</v>
      </c>
      <c r="K5">
        <f t="shared" ca="1" si="4"/>
        <v>7.2512098776435607E-2</v>
      </c>
      <c r="L5" t="str">
        <f ca="1">IF(K5&lt;=distribution!$D$11,distribution!$B$11,distribution!$B$12)</f>
        <v>N</v>
      </c>
      <c r="M5">
        <f t="shared" ca="1" si="5"/>
        <v>110953</v>
      </c>
      <c r="N5">
        <f t="shared" ca="1" si="6"/>
        <v>110953</v>
      </c>
    </row>
    <row r="6" spans="1:14" x14ac:dyDescent="0.45">
      <c r="A6">
        <f t="shared" si="7"/>
        <v>5</v>
      </c>
      <c r="B6">
        <f t="shared" ca="1" si="0"/>
        <v>0.29852733029452794</v>
      </c>
      <c r="C6" t="str">
        <f ca="1">IF(B6&lt;=distribution!$D$2,distribution!$B$2,IF(B6&lt;=distribution!$D$3,distribution!$B$3,distribution!$B$4))</f>
        <v>ON</v>
      </c>
      <c r="D6">
        <f t="shared" ca="1" si="1"/>
        <v>0.9671167904088227</v>
      </c>
      <c r="E6" t="str">
        <f ca="1">IF(D6&lt;=distribution!$D$5,distribution!$B$5,distribution!$B$6)</f>
        <v>B</v>
      </c>
      <c r="F6">
        <f t="shared" ca="1" si="2"/>
        <v>0.42793914961004886</v>
      </c>
      <c r="G6" t="str">
        <f ca="1">IF(F6&lt;=distribution!$D$7,distribution!$B$7,IF(F6&lt;=distribution!$D$8,distribution!$B$8,IF(F6&lt;=distribution!$D$9,distribution!$B$9,distribution!$B$10)))</f>
        <v>35-44</v>
      </c>
      <c r="H6">
        <f ca="1">VLOOKUP(G6,age_band!$A$1:$C$5,2,FALSE)</f>
        <v>35</v>
      </c>
      <c r="I6">
        <f ca="1">VLOOKUP(G6,age_band!$A$2:$C$5,3,FALSE)</f>
        <v>44</v>
      </c>
      <c r="J6">
        <f t="shared" ca="1" si="3"/>
        <v>44</v>
      </c>
      <c r="K6">
        <f t="shared" ca="1" si="4"/>
        <v>0.24148390370436468</v>
      </c>
      <c r="L6" t="str">
        <f ca="1">IF(K6&lt;=distribution!$D$11,distribution!$B$11,distribution!$B$12)</f>
        <v>N</v>
      </c>
      <c r="M6">
        <f t="shared" ca="1" si="5"/>
        <v>68421</v>
      </c>
      <c r="N6">
        <f t="shared" ca="1" si="6"/>
        <v>68421</v>
      </c>
    </row>
    <row r="7" spans="1:14" x14ac:dyDescent="0.45">
      <c r="A7">
        <f t="shared" si="7"/>
        <v>6</v>
      </c>
      <c r="B7">
        <f t="shared" ca="1" si="0"/>
        <v>0.54951508000268423</v>
      </c>
      <c r="C7" t="str">
        <f ca="1">IF(B7&lt;=distribution!$D$2,distribution!$B$2,IF(B7&lt;=distribution!$D$3,distribution!$B$3,distribution!$B$4))</f>
        <v>ON</v>
      </c>
      <c r="D7">
        <f t="shared" ca="1" si="1"/>
        <v>0.63780907561068223</v>
      </c>
      <c r="E7" t="str">
        <f ca="1">IF(D7&lt;=distribution!$D$5,distribution!$B$5,distribution!$B$6)</f>
        <v>A</v>
      </c>
      <c r="F7">
        <f t="shared" ca="1" si="2"/>
        <v>0.23486195724700887</v>
      </c>
      <c r="G7" t="str">
        <f ca="1">IF(F7&lt;=distribution!$D$7,distribution!$B$7,IF(F7&lt;=distribution!$D$8,distribution!$B$8,IF(F7&lt;=distribution!$D$9,distribution!$B$9,distribution!$B$10)))</f>
        <v>25-34</v>
      </c>
      <c r="H7">
        <f ca="1">VLOOKUP(G7,age_band!$A$1:$C$5,2,FALSE)</f>
        <v>25</v>
      </c>
      <c r="I7">
        <f ca="1">VLOOKUP(G7,age_band!$A$2:$C$5,3,FALSE)</f>
        <v>34</v>
      </c>
      <c r="J7">
        <f t="shared" ca="1" si="3"/>
        <v>28</v>
      </c>
      <c r="K7">
        <f t="shared" ca="1" si="4"/>
        <v>0.24897015878952267</v>
      </c>
      <c r="L7" t="str">
        <f ca="1">IF(K7&lt;=distribution!$D$11,distribution!$B$11,distribution!$B$12)</f>
        <v>N</v>
      </c>
      <c r="M7">
        <f t="shared" ca="1" si="5"/>
        <v>104500</v>
      </c>
      <c r="N7">
        <f t="shared" ca="1" si="6"/>
        <v>104500</v>
      </c>
    </row>
    <row r="8" spans="1:14" x14ac:dyDescent="0.45">
      <c r="A8">
        <f t="shared" si="7"/>
        <v>7</v>
      </c>
      <c r="B8">
        <f t="shared" ca="1" si="0"/>
        <v>7.3107589048043153E-2</v>
      </c>
      <c r="C8" t="str">
        <f ca="1">IF(B8&lt;=distribution!$D$2,distribution!$B$2,IF(B8&lt;=distribution!$D$3,distribution!$B$3,distribution!$B$4))</f>
        <v>ON</v>
      </c>
      <c r="D8">
        <f t="shared" ca="1" si="1"/>
        <v>0.36568498690083973</v>
      </c>
      <c r="E8" t="str">
        <f ca="1">IF(D8&lt;=distribution!$D$5,distribution!$B$5,distribution!$B$6)</f>
        <v>A</v>
      </c>
      <c r="F8">
        <f t="shared" ca="1" si="2"/>
        <v>0.22674572785157665</v>
      </c>
      <c r="G8" t="str">
        <f ca="1">IF(F8&lt;=distribution!$D$7,distribution!$B$7,IF(F8&lt;=distribution!$D$8,distribution!$B$8,IF(F8&lt;=distribution!$D$9,distribution!$B$9,distribution!$B$10)))</f>
        <v>25-34</v>
      </c>
      <c r="H8">
        <f ca="1">VLOOKUP(G8,age_band!$A$1:$C$5,2,FALSE)</f>
        <v>25</v>
      </c>
      <c r="I8">
        <f ca="1">VLOOKUP(G8,age_band!$A$2:$C$5,3,FALSE)</f>
        <v>34</v>
      </c>
      <c r="J8">
        <f t="shared" ca="1" si="3"/>
        <v>25</v>
      </c>
      <c r="K8">
        <f t="shared" ca="1" si="4"/>
        <v>0.12366144260072653</v>
      </c>
      <c r="L8" t="str">
        <f ca="1">IF(K8&lt;=distribution!$D$11,distribution!$B$11,distribution!$B$12)</f>
        <v>N</v>
      </c>
      <c r="M8">
        <f t="shared" ca="1" si="5"/>
        <v>56467</v>
      </c>
      <c r="N8">
        <f t="shared" ca="1" si="6"/>
        <v>56467</v>
      </c>
    </row>
    <row r="9" spans="1:14" x14ac:dyDescent="0.45">
      <c r="A9">
        <f t="shared" si="7"/>
        <v>8</v>
      </c>
      <c r="B9">
        <f t="shared" ca="1" si="0"/>
        <v>8.2297571018664639E-3</v>
      </c>
      <c r="C9" t="str">
        <f ca="1">IF(B9&lt;=distribution!$D$2,distribution!$B$2,IF(B9&lt;=distribution!$D$3,distribution!$B$3,distribution!$B$4))</f>
        <v>ON</v>
      </c>
      <c r="D9">
        <f t="shared" ca="1" si="1"/>
        <v>0.54853041011164883</v>
      </c>
      <c r="E9" t="str">
        <f ca="1">IF(D9&lt;=distribution!$D$5,distribution!$B$5,distribution!$B$6)</f>
        <v>A</v>
      </c>
      <c r="F9">
        <f t="shared" ca="1" si="2"/>
        <v>0.85947879965980045</v>
      </c>
      <c r="G9" t="str">
        <f ca="1">IF(F9&lt;=distribution!$D$7,distribution!$B$7,IF(F9&lt;=distribution!$D$8,distribution!$B$8,IF(F9&lt;=distribution!$D$9,distribution!$B$9,distribution!$B$10)))</f>
        <v>55-64</v>
      </c>
      <c r="H9">
        <f ca="1">VLOOKUP(G9,age_band!$A$1:$C$5,2,FALSE)</f>
        <v>55</v>
      </c>
      <c r="I9">
        <f ca="1">VLOOKUP(G9,age_band!$A$2:$C$5,3,FALSE)</f>
        <v>64</v>
      </c>
      <c r="J9">
        <f t="shared" ca="1" si="3"/>
        <v>57</v>
      </c>
      <c r="K9">
        <f t="shared" ca="1" si="4"/>
        <v>0.72642989610458431</v>
      </c>
      <c r="L9" t="str">
        <f ca="1">IF(K9&lt;=distribution!$D$11,distribution!$B$11,distribution!$B$12)</f>
        <v>N</v>
      </c>
      <c r="M9">
        <f t="shared" ca="1" si="5"/>
        <v>70818</v>
      </c>
      <c r="N9">
        <f t="shared" ca="1" si="6"/>
        <v>70818</v>
      </c>
    </row>
    <row r="10" spans="1:14" x14ac:dyDescent="0.45">
      <c r="A10">
        <f t="shared" si="7"/>
        <v>9</v>
      </c>
      <c r="B10">
        <f t="shared" ca="1" si="0"/>
        <v>0.3853019770925401</v>
      </c>
      <c r="C10" t="str">
        <f ca="1">IF(B10&lt;=distribution!$D$2,distribution!$B$2,IF(B10&lt;=distribution!$D$3,distribution!$B$3,distribution!$B$4))</f>
        <v>ON</v>
      </c>
      <c r="D10">
        <f t="shared" ca="1" si="1"/>
        <v>0.26000348992910605</v>
      </c>
      <c r="E10" t="str">
        <f ca="1">IF(D10&lt;=distribution!$D$5,distribution!$B$5,distribution!$B$6)</f>
        <v>A</v>
      </c>
      <c r="F10">
        <f t="shared" ca="1" si="2"/>
        <v>0.30260210010294097</v>
      </c>
      <c r="G10" t="str">
        <f ca="1">IF(F10&lt;=distribution!$D$7,distribution!$B$7,IF(F10&lt;=distribution!$D$8,distribution!$B$8,IF(F10&lt;=distribution!$D$9,distribution!$B$9,distribution!$B$10)))</f>
        <v>35-44</v>
      </c>
      <c r="H10">
        <f ca="1">VLOOKUP(G10,age_band!$A$1:$C$5,2,FALSE)</f>
        <v>35</v>
      </c>
      <c r="I10">
        <f ca="1">VLOOKUP(G10,age_band!$A$2:$C$5,3,FALSE)</f>
        <v>44</v>
      </c>
      <c r="J10">
        <f t="shared" ca="1" si="3"/>
        <v>43</v>
      </c>
      <c r="K10">
        <f t="shared" ca="1" si="4"/>
        <v>0.92150908911993368</v>
      </c>
      <c r="L10" t="str">
        <f ca="1">IF(K10&lt;=distribution!$D$11,distribution!$B$11,distribution!$B$12)</f>
        <v>Y</v>
      </c>
      <c r="M10">
        <f t="shared" ca="1" si="5"/>
        <v>93597</v>
      </c>
      <c r="N10">
        <f t="shared" ca="1" si="6"/>
        <v>93597</v>
      </c>
    </row>
    <row r="11" spans="1:14" x14ac:dyDescent="0.45">
      <c r="A11">
        <f t="shared" si="7"/>
        <v>10</v>
      </c>
      <c r="B11">
        <f t="shared" ca="1" si="0"/>
        <v>0.93791697737864377</v>
      </c>
      <c r="C11" t="str">
        <f ca="1">IF(B11&lt;=distribution!$D$2,distribution!$B$2,IF(B11&lt;=distribution!$D$3,distribution!$B$3,distribution!$B$4))</f>
        <v>BC</v>
      </c>
      <c r="D11">
        <f t="shared" ca="1" si="1"/>
        <v>0.23633585006565183</v>
      </c>
      <c r="E11" t="str">
        <f ca="1">IF(D11&lt;=distribution!$D$5,distribution!$B$5,distribution!$B$6)</f>
        <v>A</v>
      </c>
      <c r="F11">
        <f t="shared" ca="1" si="2"/>
        <v>0.8324979110980838</v>
      </c>
      <c r="G11" t="str">
        <f ca="1">IF(F11&lt;=distribution!$D$7,distribution!$B$7,IF(F11&lt;=distribution!$D$8,distribution!$B$8,IF(F11&lt;=distribution!$D$9,distribution!$B$9,distribution!$B$10)))</f>
        <v>45-54</v>
      </c>
      <c r="H11">
        <f ca="1">VLOOKUP(G11,age_band!$A$1:$C$5,2,FALSE)</f>
        <v>45</v>
      </c>
      <c r="I11">
        <f ca="1">VLOOKUP(G11,age_band!$A$2:$C$5,3,FALSE)</f>
        <v>54</v>
      </c>
      <c r="J11">
        <f t="shared" ca="1" si="3"/>
        <v>51</v>
      </c>
      <c r="K11">
        <f t="shared" ca="1" si="4"/>
        <v>0.92537384324485983</v>
      </c>
      <c r="L11" t="str">
        <f ca="1">IF(K11&lt;=distribution!$D$11,distribution!$B$11,distribution!$B$12)</f>
        <v>Y</v>
      </c>
      <c r="M11">
        <f t="shared" ca="1" si="5"/>
        <v>54569</v>
      </c>
      <c r="N11">
        <f t="shared" ca="1" si="6"/>
        <v>54569</v>
      </c>
    </row>
    <row r="12" spans="1:14" x14ac:dyDescent="0.45">
      <c r="A12">
        <f t="shared" si="7"/>
        <v>11</v>
      </c>
      <c r="B12">
        <f t="shared" ca="1" si="0"/>
        <v>0.42470103309242557</v>
      </c>
      <c r="C12" t="str">
        <f ca="1">IF(B12&lt;=distribution!$D$2,distribution!$B$2,IF(B12&lt;=distribution!$D$3,distribution!$B$3,distribution!$B$4))</f>
        <v>ON</v>
      </c>
      <c r="D12">
        <f t="shared" ca="1" si="1"/>
        <v>0.66574884022693548</v>
      </c>
      <c r="E12" t="str">
        <f ca="1">IF(D12&lt;=distribution!$D$5,distribution!$B$5,distribution!$B$6)</f>
        <v>B</v>
      </c>
      <c r="F12">
        <f t="shared" ca="1" si="2"/>
        <v>0.12529854249382588</v>
      </c>
      <c r="G12" t="str">
        <f ca="1">IF(F12&lt;=distribution!$D$7,distribution!$B$7,IF(F12&lt;=distribution!$D$8,distribution!$B$8,IF(F12&lt;=distribution!$D$9,distribution!$B$9,distribution!$B$10)))</f>
        <v>25-34</v>
      </c>
      <c r="H12">
        <f ca="1">VLOOKUP(G12,age_band!$A$1:$C$5,2,FALSE)</f>
        <v>25</v>
      </c>
      <c r="I12">
        <f ca="1">VLOOKUP(G12,age_band!$A$2:$C$5,3,FALSE)</f>
        <v>34</v>
      </c>
      <c r="J12">
        <f t="shared" ca="1" si="3"/>
        <v>33</v>
      </c>
      <c r="K12">
        <f t="shared" ca="1" si="4"/>
        <v>0.97529508006769072</v>
      </c>
      <c r="L12" t="str">
        <f ca="1">IF(K12&lt;=distribution!$D$11,distribution!$B$11,distribution!$B$12)</f>
        <v>Y</v>
      </c>
      <c r="M12">
        <f t="shared" ca="1" si="5"/>
        <v>64176</v>
      </c>
      <c r="N12">
        <f t="shared" ca="1" si="6"/>
        <v>64176</v>
      </c>
    </row>
    <row r="13" spans="1:14" x14ac:dyDescent="0.45">
      <c r="A13">
        <f t="shared" si="7"/>
        <v>12</v>
      </c>
      <c r="B13">
        <f t="shared" ca="1" si="0"/>
        <v>1.9227124000814055E-2</v>
      </c>
      <c r="C13" t="str">
        <f ca="1">IF(B13&lt;=distribution!$D$2,distribution!$B$2,IF(B13&lt;=distribution!$D$3,distribution!$B$3,distribution!$B$4))</f>
        <v>ON</v>
      </c>
      <c r="D13">
        <f t="shared" ca="1" si="1"/>
        <v>0.25262790554891279</v>
      </c>
      <c r="E13" t="str">
        <f ca="1">IF(D13&lt;=distribution!$D$5,distribution!$B$5,distribution!$B$6)</f>
        <v>A</v>
      </c>
      <c r="F13">
        <f t="shared" ca="1" si="2"/>
        <v>0.77918142237726795</v>
      </c>
      <c r="G13" t="str">
        <f ca="1">IF(F13&lt;=distribution!$D$7,distribution!$B$7,IF(F13&lt;=distribution!$D$8,distribution!$B$8,IF(F13&lt;=distribution!$D$9,distribution!$B$9,distribution!$B$10)))</f>
        <v>45-54</v>
      </c>
      <c r="H13">
        <f ca="1">VLOOKUP(G13,age_band!$A$1:$C$5,2,FALSE)</f>
        <v>45</v>
      </c>
      <c r="I13">
        <f ca="1">VLOOKUP(G13,age_band!$A$2:$C$5,3,FALSE)</f>
        <v>54</v>
      </c>
      <c r="J13">
        <f t="shared" ca="1" si="3"/>
        <v>54</v>
      </c>
      <c r="K13">
        <f t="shared" ca="1" si="4"/>
        <v>0.78744169993696023</v>
      </c>
      <c r="L13" t="str">
        <f ca="1">IF(K13&lt;=distribution!$D$11,distribution!$B$11,distribution!$B$12)</f>
        <v>N</v>
      </c>
      <c r="M13">
        <f t="shared" ca="1" si="5"/>
        <v>97996</v>
      </c>
      <c r="N13">
        <f t="shared" ca="1" si="6"/>
        <v>97996</v>
      </c>
    </row>
    <row r="14" spans="1:14" x14ac:dyDescent="0.45">
      <c r="A14">
        <f t="shared" si="7"/>
        <v>13</v>
      </c>
      <c r="B14">
        <f t="shared" ca="1" si="0"/>
        <v>0.58057225215004438</v>
      </c>
      <c r="C14" t="str">
        <f ca="1">IF(B14&lt;=distribution!$D$2,distribution!$B$2,IF(B14&lt;=distribution!$D$3,distribution!$B$3,distribution!$B$4))</f>
        <v>QC</v>
      </c>
      <c r="D14">
        <f t="shared" ca="1" si="1"/>
        <v>0.26431373567128924</v>
      </c>
      <c r="E14" t="str">
        <f ca="1">IF(D14&lt;=distribution!$D$5,distribution!$B$5,distribution!$B$6)</f>
        <v>A</v>
      </c>
      <c r="F14">
        <f t="shared" ca="1" si="2"/>
        <v>0.13240524532354958</v>
      </c>
      <c r="G14" t="str">
        <f ca="1">IF(F14&lt;=distribution!$D$7,distribution!$B$7,IF(F14&lt;=distribution!$D$8,distribution!$B$8,IF(F14&lt;=distribution!$D$9,distribution!$B$9,distribution!$B$10)))</f>
        <v>25-34</v>
      </c>
      <c r="H14">
        <f ca="1">VLOOKUP(G14,age_band!$A$1:$C$5,2,FALSE)</f>
        <v>25</v>
      </c>
      <c r="I14">
        <f ca="1">VLOOKUP(G14,age_band!$A$2:$C$5,3,FALSE)</f>
        <v>34</v>
      </c>
      <c r="J14">
        <f t="shared" ca="1" si="3"/>
        <v>31</v>
      </c>
      <c r="K14">
        <f t="shared" ca="1" si="4"/>
        <v>0.16411762354094672</v>
      </c>
      <c r="L14" t="str">
        <f ca="1">IF(K14&lt;=distribution!$D$11,distribution!$B$11,distribution!$B$12)</f>
        <v>N</v>
      </c>
      <c r="M14">
        <f t="shared" ca="1" si="5"/>
        <v>92305</v>
      </c>
      <c r="N14">
        <f t="shared" ca="1" si="6"/>
        <v>92305</v>
      </c>
    </row>
    <row r="15" spans="1:14" x14ac:dyDescent="0.45">
      <c r="A15">
        <f t="shared" si="7"/>
        <v>14</v>
      </c>
      <c r="B15">
        <f t="shared" ca="1" si="0"/>
        <v>0.89007194117490007</v>
      </c>
      <c r="C15" t="str">
        <f ca="1">IF(B15&lt;=distribution!$D$2,distribution!$B$2,IF(B15&lt;=distribution!$D$3,distribution!$B$3,distribution!$B$4))</f>
        <v>BC</v>
      </c>
      <c r="D15">
        <f t="shared" ca="1" si="1"/>
        <v>0.7346757873970331</v>
      </c>
      <c r="E15" t="str">
        <f ca="1">IF(D15&lt;=distribution!$D$5,distribution!$B$5,distribution!$B$6)</f>
        <v>B</v>
      </c>
      <c r="F15">
        <f t="shared" ca="1" si="2"/>
        <v>0.60467303737925282</v>
      </c>
      <c r="G15" t="str">
        <f ca="1">IF(F15&lt;=distribution!$D$7,distribution!$B$7,IF(F15&lt;=distribution!$D$8,distribution!$B$8,IF(F15&lt;=distribution!$D$9,distribution!$B$9,distribution!$B$10)))</f>
        <v>45-54</v>
      </c>
      <c r="H15">
        <f ca="1">VLOOKUP(G15,age_band!$A$1:$C$5,2,FALSE)</f>
        <v>45</v>
      </c>
      <c r="I15">
        <f ca="1">VLOOKUP(G15,age_band!$A$2:$C$5,3,FALSE)</f>
        <v>54</v>
      </c>
      <c r="J15">
        <f t="shared" ca="1" si="3"/>
        <v>52</v>
      </c>
      <c r="K15">
        <f t="shared" ca="1" si="4"/>
        <v>0.91510167422372846</v>
      </c>
      <c r="L15" t="str">
        <f ca="1">IF(K15&lt;=distribution!$D$11,distribution!$B$11,distribution!$B$12)</f>
        <v>Y</v>
      </c>
      <c r="M15">
        <f t="shared" ca="1" si="5"/>
        <v>78670</v>
      </c>
      <c r="N15">
        <f t="shared" ca="1" si="6"/>
        <v>78670</v>
      </c>
    </row>
    <row r="16" spans="1:14" x14ac:dyDescent="0.45">
      <c r="A16">
        <f t="shared" si="7"/>
        <v>15</v>
      </c>
      <c r="B16">
        <f t="shared" ca="1" si="0"/>
        <v>0.97227587703195328</v>
      </c>
      <c r="C16" t="str">
        <f ca="1">IF(B16&lt;=distribution!$D$2,distribution!$B$2,IF(B16&lt;=distribution!$D$3,distribution!$B$3,distribution!$B$4))</f>
        <v>BC</v>
      </c>
      <c r="D16">
        <f t="shared" ca="1" si="1"/>
        <v>0.38829766770427965</v>
      </c>
      <c r="E16" t="str">
        <f ca="1">IF(D16&lt;=distribution!$D$5,distribution!$B$5,distribution!$B$6)</f>
        <v>A</v>
      </c>
      <c r="F16">
        <f t="shared" ca="1" si="2"/>
        <v>6.726495010714495E-2</v>
      </c>
      <c r="G16" t="str">
        <f ca="1">IF(F16&lt;=distribution!$D$7,distribution!$B$7,IF(F16&lt;=distribution!$D$8,distribution!$B$8,IF(F16&lt;=distribution!$D$9,distribution!$B$9,distribution!$B$10)))</f>
        <v>25-34</v>
      </c>
      <c r="H16">
        <f ca="1">VLOOKUP(G16,age_band!$A$1:$C$5,2,FALSE)</f>
        <v>25</v>
      </c>
      <c r="I16">
        <f ca="1">VLOOKUP(G16,age_band!$A$2:$C$5,3,FALSE)</f>
        <v>34</v>
      </c>
      <c r="J16">
        <f t="shared" ca="1" si="3"/>
        <v>32</v>
      </c>
      <c r="K16">
        <f t="shared" ca="1" si="4"/>
        <v>0.46927265271217911</v>
      </c>
      <c r="L16" t="str">
        <f ca="1">IF(K16&lt;=distribution!$D$11,distribution!$B$11,distribution!$B$12)</f>
        <v>N</v>
      </c>
      <c r="M16">
        <f t="shared" ca="1" si="5"/>
        <v>115749</v>
      </c>
      <c r="N16">
        <f t="shared" ca="1" si="6"/>
        <v>115749</v>
      </c>
    </row>
    <row r="17" spans="1:14" x14ac:dyDescent="0.45">
      <c r="A17">
        <f t="shared" si="7"/>
        <v>16</v>
      </c>
      <c r="B17">
        <f t="shared" ca="1" si="0"/>
        <v>0.23976774785079247</v>
      </c>
      <c r="C17" t="str">
        <f ca="1">IF(B17&lt;=distribution!$D$2,distribution!$B$2,IF(B17&lt;=distribution!$D$3,distribution!$B$3,distribution!$B$4))</f>
        <v>ON</v>
      </c>
      <c r="D17">
        <f t="shared" ca="1" si="1"/>
        <v>0.92753657430627789</v>
      </c>
      <c r="E17" t="str">
        <f ca="1">IF(D17&lt;=distribution!$D$5,distribution!$B$5,distribution!$B$6)</f>
        <v>B</v>
      </c>
      <c r="F17">
        <f t="shared" ca="1" si="2"/>
        <v>0.13492679890549109</v>
      </c>
      <c r="G17" t="str">
        <f ca="1">IF(F17&lt;=distribution!$D$7,distribution!$B$7,IF(F17&lt;=distribution!$D$8,distribution!$B$8,IF(F17&lt;=distribution!$D$9,distribution!$B$9,distribution!$B$10)))</f>
        <v>25-34</v>
      </c>
      <c r="H17">
        <f ca="1">VLOOKUP(G17,age_band!$A$1:$C$5,2,FALSE)</f>
        <v>25</v>
      </c>
      <c r="I17">
        <f ca="1">VLOOKUP(G17,age_band!$A$2:$C$5,3,FALSE)</f>
        <v>34</v>
      </c>
      <c r="J17">
        <f t="shared" ca="1" si="3"/>
        <v>33</v>
      </c>
      <c r="K17">
        <f t="shared" ca="1" si="4"/>
        <v>0.98003495508814265</v>
      </c>
      <c r="L17" t="str">
        <f ca="1">IF(K17&lt;=distribution!$D$11,distribution!$B$11,distribution!$B$12)</f>
        <v>Y</v>
      </c>
      <c r="M17">
        <f t="shared" ca="1" si="5"/>
        <v>69269</v>
      </c>
      <c r="N17">
        <f t="shared" ca="1" si="6"/>
        <v>69269</v>
      </c>
    </row>
    <row r="18" spans="1:14" x14ac:dyDescent="0.45">
      <c r="A18">
        <f t="shared" si="7"/>
        <v>17</v>
      </c>
      <c r="B18">
        <f t="shared" ca="1" si="0"/>
        <v>0.3863686173029115</v>
      </c>
      <c r="C18" t="str">
        <f ca="1">IF(B18&lt;=distribution!$D$2,distribution!$B$2,IF(B18&lt;=distribution!$D$3,distribution!$B$3,distribution!$B$4))</f>
        <v>ON</v>
      </c>
      <c r="D18">
        <f t="shared" ca="1" si="1"/>
        <v>0.84685711626313676</v>
      </c>
      <c r="E18" t="str">
        <f ca="1">IF(D18&lt;=distribution!$D$5,distribution!$B$5,distribution!$B$6)</f>
        <v>B</v>
      </c>
      <c r="F18">
        <f t="shared" ca="1" si="2"/>
        <v>6.7197546090106641E-2</v>
      </c>
      <c r="G18" t="str">
        <f ca="1">IF(F18&lt;=distribution!$D$7,distribution!$B$7,IF(F18&lt;=distribution!$D$8,distribution!$B$8,IF(F18&lt;=distribution!$D$9,distribution!$B$9,distribution!$B$10)))</f>
        <v>25-34</v>
      </c>
      <c r="H18">
        <f ca="1">VLOOKUP(G18,age_band!$A$1:$C$5,2,FALSE)</f>
        <v>25</v>
      </c>
      <c r="I18">
        <f ca="1">VLOOKUP(G18,age_band!$A$2:$C$5,3,FALSE)</f>
        <v>34</v>
      </c>
      <c r="J18">
        <f t="shared" ca="1" si="3"/>
        <v>30</v>
      </c>
      <c r="K18">
        <f t="shared" ca="1" si="4"/>
        <v>1.7653157754098148E-2</v>
      </c>
      <c r="L18" t="str">
        <f ca="1">IF(K18&lt;=distribution!$D$11,distribution!$B$11,distribution!$B$12)</f>
        <v>N</v>
      </c>
      <c r="M18">
        <f t="shared" ca="1" si="5"/>
        <v>49538</v>
      </c>
      <c r="N18">
        <f t="shared" ca="1" si="6"/>
        <v>49538</v>
      </c>
    </row>
    <row r="19" spans="1:14" x14ac:dyDescent="0.45">
      <c r="A19">
        <f t="shared" si="7"/>
        <v>18</v>
      </c>
      <c r="B19">
        <f t="shared" ca="1" si="0"/>
        <v>0.58520452748379348</v>
      </c>
      <c r="C19" t="str">
        <f ca="1">IF(B19&lt;=distribution!$D$2,distribution!$B$2,IF(B19&lt;=distribution!$D$3,distribution!$B$3,distribution!$B$4))</f>
        <v>QC</v>
      </c>
      <c r="D19">
        <f t="shared" ca="1" si="1"/>
        <v>0.28058314189263411</v>
      </c>
      <c r="E19" t="str">
        <f ca="1">IF(D19&lt;=distribution!$D$5,distribution!$B$5,distribution!$B$6)</f>
        <v>A</v>
      </c>
      <c r="F19">
        <f t="shared" ca="1" si="2"/>
        <v>0.5518192255786043</v>
      </c>
      <c r="G19" t="str">
        <f ca="1">IF(F19&lt;=distribution!$D$7,distribution!$B$7,IF(F19&lt;=distribution!$D$8,distribution!$B$8,IF(F19&lt;=distribution!$D$9,distribution!$B$9,distribution!$B$10)))</f>
        <v>35-44</v>
      </c>
      <c r="H19">
        <f ca="1">VLOOKUP(G19,age_band!$A$1:$C$5,2,FALSE)</f>
        <v>35</v>
      </c>
      <c r="I19">
        <f ca="1">VLOOKUP(G19,age_band!$A$2:$C$5,3,FALSE)</f>
        <v>44</v>
      </c>
      <c r="J19">
        <f t="shared" ca="1" si="3"/>
        <v>36</v>
      </c>
      <c r="K19">
        <f t="shared" ca="1" si="4"/>
        <v>6.7922300920150058E-2</v>
      </c>
      <c r="L19" t="str">
        <f ca="1">IF(K19&lt;=distribution!$D$11,distribution!$B$11,distribution!$B$12)</f>
        <v>N</v>
      </c>
      <c r="M19">
        <f t="shared" ca="1" si="5"/>
        <v>77214</v>
      </c>
      <c r="N19">
        <f t="shared" ca="1" si="6"/>
        <v>77214</v>
      </c>
    </row>
    <row r="20" spans="1:14" x14ac:dyDescent="0.45">
      <c r="A20">
        <f t="shared" si="7"/>
        <v>19</v>
      </c>
      <c r="B20">
        <f t="shared" ca="1" si="0"/>
        <v>0.56053686830317861</v>
      </c>
      <c r="C20" t="str">
        <f ca="1">IF(B20&lt;=distribution!$D$2,distribution!$B$2,IF(B20&lt;=distribution!$D$3,distribution!$B$3,distribution!$B$4))</f>
        <v>QC</v>
      </c>
      <c r="D20">
        <f t="shared" ca="1" si="1"/>
        <v>8.3074413458462337E-2</v>
      </c>
      <c r="E20" t="str">
        <f ca="1">IF(D20&lt;=distribution!$D$5,distribution!$B$5,distribution!$B$6)</f>
        <v>A</v>
      </c>
      <c r="F20">
        <f t="shared" ca="1" si="2"/>
        <v>0.69963452149996563</v>
      </c>
      <c r="G20" t="str">
        <f ca="1">IF(F20&lt;=distribution!$D$7,distribution!$B$7,IF(F20&lt;=distribution!$D$8,distribution!$B$8,IF(F20&lt;=distribution!$D$9,distribution!$B$9,distribution!$B$10)))</f>
        <v>45-54</v>
      </c>
      <c r="H20">
        <f ca="1">VLOOKUP(G20,age_band!$A$1:$C$5,2,FALSE)</f>
        <v>45</v>
      </c>
      <c r="I20">
        <f ca="1">VLOOKUP(G20,age_band!$A$2:$C$5,3,FALSE)</f>
        <v>54</v>
      </c>
      <c r="J20">
        <f t="shared" ca="1" si="3"/>
        <v>47</v>
      </c>
      <c r="K20">
        <f t="shared" ca="1" si="4"/>
        <v>0.36061038625438802</v>
      </c>
      <c r="L20" t="str">
        <f ca="1">IF(K20&lt;=distribution!$D$11,distribution!$B$11,distribution!$B$12)</f>
        <v>N</v>
      </c>
      <c r="M20">
        <f t="shared" ca="1" si="5"/>
        <v>59844</v>
      </c>
      <c r="N20">
        <f t="shared" ca="1" si="6"/>
        <v>59844</v>
      </c>
    </row>
    <row r="21" spans="1:14" x14ac:dyDescent="0.45">
      <c r="A21">
        <f t="shared" si="7"/>
        <v>20</v>
      </c>
      <c r="B21">
        <f t="shared" ca="1" si="0"/>
        <v>0.76060164317063439</v>
      </c>
      <c r="C21" t="str">
        <f ca="1">IF(B21&lt;=distribution!$D$2,distribution!$B$2,IF(B21&lt;=distribution!$D$3,distribution!$B$3,distribution!$B$4))</f>
        <v>BC</v>
      </c>
      <c r="D21">
        <f t="shared" ca="1" si="1"/>
        <v>0.31883373159852402</v>
      </c>
      <c r="E21" t="str">
        <f ca="1">IF(D21&lt;=distribution!$D$5,distribution!$B$5,distribution!$B$6)</f>
        <v>A</v>
      </c>
      <c r="F21">
        <f t="shared" ca="1" si="2"/>
        <v>0.24799198096012609</v>
      </c>
      <c r="G21" t="str">
        <f ca="1">IF(F21&lt;=distribution!$D$7,distribution!$B$7,IF(F21&lt;=distribution!$D$8,distribution!$B$8,IF(F21&lt;=distribution!$D$9,distribution!$B$9,distribution!$B$10)))</f>
        <v>25-34</v>
      </c>
      <c r="H21">
        <f ca="1">VLOOKUP(G21,age_band!$A$1:$C$5,2,FALSE)</f>
        <v>25</v>
      </c>
      <c r="I21">
        <f ca="1">VLOOKUP(G21,age_band!$A$2:$C$5,3,FALSE)</f>
        <v>34</v>
      </c>
      <c r="J21">
        <f t="shared" ca="1" si="3"/>
        <v>34</v>
      </c>
      <c r="K21">
        <f t="shared" ca="1" si="4"/>
        <v>0.95296778579647778</v>
      </c>
      <c r="L21" t="str">
        <f ca="1">IF(K21&lt;=distribution!$D$11,distribution!$B$11,distribution!$B$12)</f>
        <v>Y</v>
      </c>
      <c r="M21">
        <f t="shared" ca="1" si="5"/>
        <v>55048</v>
      </c>
      <c r="N21">
        <f t="shared" ca="1" si="6"/>
        <v>55048</v>
      </c>
    </row>
    <row r="22" spans="1:14" x14ac:dyDescent="0.45">
      <c r="A22">
        <f t="shared" si="7"/>
        <v>21</v>
      </c>
      <c r="B22">
        <f t="shared" ca="1" si="0"/>
        <v>0.61342179173050726</v>
      </c>
      <c r="C22" t="str">
        <f ca="1">IF(B22&lt;=distribution!$D$2,distribution!$B$2,IF(B22&lt;=distribution!$D$3,distribution!$B$3,distribution!$B$4))</f>
        <v>QC</v>
      </c>
      <c r="D22">
        <f t="shared" ca="1" si="1"/>
        <v>0.41411633320009056</v>
      </c>
      <c r="E22" t="str">
        <f ca="1">IF(D22&lt;=distribution!$D$5,distribution!$B$5,distribution!$B$6)</f>
        <v>A</v>
      </c>
      <c r="F22">
        <f t="shared" ca="1" si="2"/>
        <v>0.30816709749827786</v>
      </c>
      <c r="G22" t="str">
        <f ca="1">IF(F22&lt;=distribution!$D$7,distribution!$B$7,IF(F22&lt;=distribution!$D$8,distribution!$B$8,IF(F22&lt;=distribution!$D$9,distribution!$B$9,distribution!$B$10)))</f>
        <v>35-44</v>
      </c>
      <c r="H22">
        <f ca="1">VLOOKUP(G22,age_band!$A$1:$C$5,2,FALSE)</f>
        <v>35</v>
      </c>
      <c r="I22">
        <f ca="1">VLOOKUP(G22,age_band!$A$2:$C$5,3,FALSE)</f>
        <v>44</v>
      </c>
      <c r="J22">
        <f t="shared" ca="1" si="3"/>
        <v>42</v>
      </c>
      <c r="K22">
        <f t="shared" ca="1" si="4"/>
        <v>0.71734504125325593</v>
      </c>
      <c r="L22" t="str">
        <f ca="1">IF(K22&lt;=distribution!$D$11,distribution!$B$11,distribution!$B$12)</f>
        <v>N</v>
      </c>
      <c r="M22">
        <f t="shared" ca="1" si="5"/>
        <v>84297</v>
      </c>
      <c r="N22">
        <f t="shared" ca="1" si="6"/>
        <v>84297</v>
      </c>
    </row>
    <row r="23" spans="1:14" x14ac:dyDescent="0.45">
      <c r="A23">
        <f t="shared" si="7"/>
        <v>22</v>
      </c>
      <c r="B23">
        <f t="shared" ca="1" si="0"/>
        <v>0.25219943486303886</v>
      </c>
      <c r="C23" t="str">
        <f ca="1">IF(B23&lt;=distribution!$D$2,distribution!$B$2,IF(B23&lt;=distribution!$D$3,distribution!$B$3,distribution!$B$4))</f>
        <v>ON</v>
      </c>
      <c r="D23">
        <f t="shared" ca="1" si="1"/>
        <v>0.69766090186815066</v>
      </c>
      <c r="E23" t="str">
        <f ca="1">IF(D23&lt;=distribution!$D$5,distribution!$B$5,distribution!$B$6)</f>
        <v>B</v>
      </c>
      <c r="F23">
        <f t="shared" ca="1" si="2"/>
        <v>0.93583352850424373</v>
      </c>
      <c r="G23" t="str">
        <f ca="1">IF(F23&lt;=distribution!$D$7,distribution!$B$7,IF(F23&lt;=distribution!$D$8,distribution!$B$8,IF(F23&lt;=distribution!$D$9,distribution!$B$9,distribution!$B$10)))</f>
        <v>55-64</v>
      </c>
      <c r="H23">
        <f ca="1">VLOOKUP(G23,age_band!$A$1:$C$5,2,FALSE)</f>
        <v>55</v>
      </c>
      <c r="I23">
        <f ca="1">VLOOKUP(G23,age_band!$A$2:$C$5,3,FALSE)</f>
        <v>64</v>
      </c>
      <c r="J23">
        <f t="shared" ca="1" si="3"/>
        <v>63</v>
      </c>
      <c r="K23">
        <f t="shared" ca="1" si="4"/>
        <v>0.74042259439358815</v>
      </c>
      <c r="L23" t="str">
        <f ca="1">IF(K23&lt;=distribution!$D$11,distribution!$B$11,distribution!$B$12)</f>
        <v>N</v>
      </c>
      <c r="M23">
        <f t="shared" ca="1" si="5"/>
        <v>64094</v>
      </c>
      <c r="N23">
        <f t="shared" ca="1" si="6"/>
        <v>64094</v>
      </c>
    </row>
    <row r="24" spans="1:14" x14ac:dyDescent="0.45">
      <c r="A24">
        <f t="shared" si="7"/>
        <v>23</v>
      </c>
      <c r="B24">
        <f t="shared" ca="1" si="0"/>
        <v>0.89326721630690809</v>
      </c>
      <c r="C24" t="str">
        <f ca="1">IF(B24&lt;=distribution!$D$2,distribution!$B$2,IF(B24&lt;=distribution!$D$3,distribution!$B$3,distribution!$B$4))</f>
        <v>BC</v>
      </c>
      <c r="D24">
        <f t="shared" ca="1" si="1"/>
        <v>0.52423964026059788</v>
      </c>
      <c r="E24" t="str">
        <f ca="1">IF(D24&lt;=distribution!$D$5,distribution!$B$5,distribution!$B$6)</f>
        <v>A</v>
      </c>
      <c r="F24">
        <f t="shared" ca="1" si="2"/>
        <v>0.78560110243086168</v>
      </c>
      <c r="G24" t="str">
        <f ca="1">IF(F24&lt;=distribution!$D$7,distribution!$B$7,IF(F24&lt;=distribution!$D$8,distribution!$B$8,IF(F24&lt;=distribution!$D$9,distribution!$B$9,distribution!$B$10)))</f>
        <v>45-54</v>
      </c>
      <c r="H24">
        <f ca="1">VLOOKUP(G24,age_band!$A$1:$C$5,2,FALSE)</f>
        <v>45</v>
      </c>
      <c r="I24">
        <f ca="1">VLOOKUP(G24,age_band!$A$2:$C$5,3,FALSE)</f>
        <v>54</v>
      </c>
      <c r="J24">
        <f t="shared" ca="1" si="3"/>
        <v>47</v>
      </c>
      <c r="K24">
        <f t="shared" ca="1" si="4"/>
        <v>0.92564782154875369</v>
      </c>
      <c r="L24" t="str">
        <f ca="1">IF(K24&lt;=distribution!$D$11,distribution!$B$11,distribution!$B$12)</f>
        <v>Y</v>
      </c>
      <c r="M24">
        <f t="shared" ca="1" si="5"/>
        <v>70027</v>
      </c>
      <c r="N24">
        <f t="shared" ca="1" si="6"/>
        <v>70027</v>
      </c>
    </row>
    <row r="25" spans="1:14" x14ac:dyDescent="0.45">
      <c r="A25">
        <f t="shared" si="7"/>
        <v>24</v>
      </c>
      <c r="B25">
        <f t="shared" ca="1" si="0"/>
        <v>0.45142204100460703</v>
      </c>
      <c r="C25" t="str">
        <f ca="1">IF(B25&lt;=distribution!$D$2,distribution!$B$2,IF(B25&lt;=distribution!$D$3,distribution!$B$3,distribution!$B$4))</f>
        <v>ON</v>
      </c>
      <c r="D25">
        <f t="shared" ca="1" si="1"/>
        <v>0.33657758774287339</v>
      </c>
      <c r="E25" t="str">
        <f ca="1">IF(D25&lt;=distribution!$D$5,distribution!$B$5,distribution!$B$6)</f>
        <v>A</v>
      </c>
      <c r="F25">
        <f t="shared" ca="1" si="2"/>
        <v>0.14997328909464891</v>
      </c>
      <c r="G25" t="str">
        <f ca="1">IF(F25&lt;=distribution!$D$7,distribution!$B$7,IF(F25&lt;=distribution!$D$8,distribution!$B$8,IF(F25&lt;=distribution!$D$9,distribution!$B$9,distribution!$B$10)))</f>
        <v>25-34</v>
      </c>
      <c r="H25">
        <f ca="1">VLOOKUP(G25,age_band!$A$1:$C$5,2,FALSE)</f>
        <v>25</v>
      </c>
      <c r="I25">
        <f ca="1">VLOOKUP(G25,age_band!$A$2:$C$5,3,FALSE)</f>
        <v>34</v>
      </c>
      <c r="J25">
        <f t="shared" ca="1" si="3"/>
        <v>26</v>
      </c>
      <c r="K25">
        <f t="shared" ca="1" si="4"/>
        <v>0.83257132005015955</v>
      </c>
      <c r="L25" t="str">
        <f ca="1">IF(K25&lt;=distribution!$D$11,distribution!$B$11,distribution!$B$12)</f>
        <v>N</v>
      </c>
      <c r="M25">
        <f t="shared" ca="1" si="5"/>
        <v>85249</v>
      </c>
      <c r="N25">
        <f t="shared" ca="1" si="6"/>
        <v>85249</v>
      </c>
    </row>
    <row r="26" spans="1:14" x14ac:dyDescent="0.45">
      <c r="A26">
        <f t="shared" si="7"/>
        <v>25</v>
      </c>
      <c r="B26">
        <f t="shared" ca="1" si="0"/>
        <v>0.77953593115953468</v>
      </c>
      <c r="C26" t="str">
        <f ca="1">IF(B26&lt;=distribution!$D$2,distribution!$B$2,IF(B26&lt;=distribution!$D$3,distribution!$B$3,distribution!$B$4))</f>
        <v>BC</v>
      </c>
      <c r="D26">
        <f t="shared" ca="1" si="1"/>
        <v>0.72970135879625875</v>
      </c>
      <c r="E26" t="str">
        <f ca="1">IF(D26&lt;=distribution!$D$5,distribution!$B$5,distribution!$B$6)</f>
        <v>B</v>
      </c>
      <c r="F26">
        <f t="shared" ca="1" si="2"/>
        <v>0.67216727591464109</v>
      </c>
      <c r="G26" t="str">
        <f ca="1">IF(F26&lt;=distribution!$D$7,distribution!$B$7,IF(F26&lt;=distribution!$D$8,distribution!$B$8,IF(F26&lt;=distribution!$D$9,distribution!$B$9,distribution!$B$10)))</f>
        <v>45-54</v>
      </c>
      <c r="H26">
        <f ca="1">VLOOKUP(G26,age_band!$A$1:$C$5,2,FALSE)</f>
        <v>45</v>
      </c>
      <c r="I26">
        <f ca="1">VLOOKUP(G26,age_band!$A$2:$C$5,3,FALSE)</f>
        <v>54</v>
      </c>
      <c r="J26">
        <f t="shared" ca="1" si="3"/>
        <v>45</v>
      </c>
      <c r="K26">
        <f t="shared" ca="1" si="4"/>
        <v>0.41572393112961015</v>
      </c>
      <c r="L26" t="str">
        <f ca="1">IF(K26&lt;=distribution!$D$11,distribution!$B$11,distribution!$B$12)</f>
        <v>N</v>
      </c>
      <c r="M26">
        <f t="shared" ca="1" si="5"/>
        <v>55669</v>
      </c>
      <c r="N26">
        <f t="shared" ca="1" si="6"/>
        <v>55669</v>
      </c>
    </row>
    <row r="27" spans="1:14" x14ac:dyDescent="0.45">
      <c r="A27">
        <f t="shared" si="7"/>
        <v>26</v>
      </c>
      <c r="B27">
        <f t="shared" ca="1" si="0"/>
        <v>0.98625400086621295</v>
      </c>
      <c r="C27" t="str">
        <f ca="1">IF(B27&lt;=distribution!$D$2,distribution!$B$2,IF(B27&lt;=distribution!$D$3,distribution!$B$3,distribution!$B$4))</f>
        <v>BC</v>
      </c>
      <c r="D27">
        <f t="shared" ca="1" si="1"/>
        <v>0.98847082685818133</v>
      </c>
      <c r="E27" t="str">
        <f ca="1">IF(D27&lt;=distribution!$D$5,distribution!$B$5,distribution!$B$6)</f>
        <v>B</v>
      </c>
      <c r="F27">
        <f t="shared" ca="1" si="2"/>
        <v>1.0217321342180341E-2</v>
      </c>
      <c r="G27" t="str">
        <f ca="1">IF(F27&lt;=distribution!$D$7,distribution!$B$7,IF(F27&lt;=distribution!$D$8,distribution!$B$8,IF(F27&lt;=distribution!$D$9,distribution!$B$9,distribution!$B$10)))</f>
        <v>25-34</v>
      </c>
      <c r="H27">
        <f ca="1">VLOOKUP(G27,age_band!$A$1:$C$5,2,FALSE)</f>
        <v>25</v>
      </c>
      <c r="I27">
        <f ca="1">VLOOKUP(G27,age_band!$A$2:$C$5,3,FALSE)</f>
        <v>34</v>
      </c>
      <c r="J27">
        <f t="shared" ca="1" si="3"/>
        <v>26</v>
      </c>
      <c r="K27">
        <f t="shared" ca="1" si="4"/>
        <v>0.32607853418091359</v>
      </c>
      <c r="L27" t="str">
        <f ca="1">IF(K27&lt;=distribution!$D$11,distribution!$B$11,distribution!$B$12)</f>
        <v>N</v>
      </c>
      <c r="M27">
        <f t="shared" ca="1" si="5"/>
        <v>74283</v>
      </c>
      <c r="N27">
        <f t="shared" ca="1" si="6"/>
        <v>74283</v>
      </c>
    </row>
    <row r="28" spans="1:14" x14ac:dyDescent="0.45">
      <c r="A28">
        <f t="shared" si="7"/>
        <v>27</v>
      </c>
      <c r="B28">
        <f t="shared" ca="1" si="0"/>
        <v>0.57715287605493282</v>
      </c>
      <c r="C28" t="str">
        <f ca="1">IF(B28&lt;=distribution!$D$2,distribution!$B$2,IF(B28&lt;=distribution!$D$3,distribution!$B$3,distribution!$B$4))</f>
        <v>QC</v>
      </c>
      <c r="D28">
        <f t="shared" ca="1" si="1"/>
        <v>0.77576895245053934</v>
      </c>
      <c r="E28" t="str">
        <f ca="1">IF(D28&lt;=distribution!$D$5,distribution!$B$5,distribution!$B$6)</f>
        <v>B</v>
      </c>
      <c r="F28">
        <f t="shared" ca="1" si="2"/>
        <v>0.78513112515672434</v>
      </c>
      <c r="G28" t="str">
        <f ca="1">IF(F28&lt;=distribution!$D$7,distribution!$B$7,IF(F28&lt;=distribution!$D$8,distribution!$B$8,IF(F28&lt;=distribution!$D$9,distribution!$B$9,distribution!$B$10)))</f>
        <v>45-54</v>
      </c>
      <c r="H28">
        <f ca="1">VLOOKUP(G28,age_band!$A$1:$C$5,2,FALSE)</f>
        <v>45</v>
      </c>
      <c r="I28">
        <f ca="1">VLOOKUP(G28,age_band!$A$2:$C$5,3,FALSE)</f>
        <v>54</v>
      </c>
      <c r="J28">
        <f t="shared" ca="1" si="3"/>
        <v>52</v>
      </c>
      <c r="K28">
        <f t="shared" ca="1" si="4"/>
        <v>0.88976767349838548</v>
      </c>
      <c r="L28" t="str">
        <f ca="1">IF(K28&lt;=distribution!$D$11,distribution!$B$11,distribution!$B$12)</f>
        <v>Y</v>
      </c>
      <c r="M28">
        <f t="shared" ca="1" si="5"/>
        <v>51178</v>
      </c>
      <c r="N28">
        <f t="shared" ca="1" si="6"/>
        <v>51178</v>
      </c>
    </row>
    <row r="29" spans="1:14" x14ac:dyDescent="0.45">
      <c r="A29">
        <f t="shared" si="7"/>
        <v>28</v>
      </c>
      <c r="B29">
        <f t="shared" ca="1" si="0"/>
        <v>0.82423823964723886</v>
      </c>
      <c r="C29" t="str">
        <f ca="1">IF(B29&lt;=distribution!$D$2,distribution!$B$2,IF(B29&lt;=distribution!$D$3,distribution!$B$3,distribution!$B$4))</f>
        <v>BC</v>
      </c>
      <c r="D29">
        <f t="shared" ca="1" si="1"/>
        <v>0.83110704571658134</v>
      </c>
      <c r="E29" t="str">
        <f ca="1">IF(D29&lt;=distribution!$D$5,distribution!$B$5,distribution!$B$6)</f>
        <v>B</v>
      </c>
      <c r="F29">
        <f t="shared" ca="1" si="2"/>
        <v>0.34182681519265468</v>
      </c>
      <c r="G29" t="str">
        <f ca="1">IF(F29&lt;=distribution!$D$7,distribution!$B$7,IF(F29&lt;=distribution!$D$8,distribution!$B$8,IF(F29&lt;=distribution!$D$9,distribution!$B$9,distribution!$B$10)))</f>
        <v>35-44</v>
      </c>
      <c r="H29">
        <f ca="1">VLOOKUP(G29,age_band!$A$1:$C$5,2,FALSE)</f>
        <v>35</v>
      </c>
      <c r="I29">
        <f ca="1">VLOOKUP(G29,age_band!$A$2:$C$5,3,FALSE)</f>
        <v>44</v>
      </c>
      <c r="J29">
        <f t="shared" ca="1" si="3"/>
        <v>41</v>
      </c>
      <c r="K29">
        <f t="shared" ca="1" si="4"/>
        <v>0.56376959042109509</v>
      </c>
      <c r="L29" t="str">
        <f ca="1">IF(K29&lt;=distribution!$D$11,distribution!$B$11,distribution!$B$12)</f>
        <v>N</v>
      </c>
      <c r="M29">
        <f t="shared" ca="1" si="5"/>
        <v>52217</v>
      </c>
      <c r="N29">
        <f t="shared" ca="1" si="6"/>
        <v>52217</v>
      </c>
    </row>
    <row r="30" spans="1:14" x14ac:dyDescent="0.45">
      <c r="A30">
        <f t="shared" si="7"/>
        <v>29</v>
      </c>
      <c r="B30">
        <f t="shared" ca="1" si="0"/>
        <v>0.13162916416035864</v>
      </c>
      <c r="C30" t="str">
        <f ca="1">IF(B30&lt;=distribution!$D$2,distribution!$B$2,IF(B30&lt;=distribution!$D$3,distribution!$B$3,distribution!$B$4))</f>
        <v>ON</v>
      </c>
      <c r="D30">
        <f t="shared" ca="1" si="1"/>
        <v>0.25837585643630645</v>
      </c>
      <c r="E30" t="str">
        <f ca="1">IF(D30&lt;=distribution!$D$5,distribution!$B$5,distribution!$B$6)</f>
        <v>A</v>
      </c>
      <c r="F30">
        <f t="shared" ca="1" si="2"/>
        <v>0.84323136709243651</v>
      </c>
      <c r="G30" t="str">
        <f ca="1">IF(F30&lt;=distribution!$D$7,distribution!$B$7,IF(F30&lt;=distribution!$D$8,distribution!$B$8,IF(F30&lt;=distribution!$D$9,distribution!$B$9,distribution!$B$10)))</f>
        <v>45-54</v>
      </c>
      <c r="H30">
        <f ca="1">VLOOKUP(G30,age_band!$A$1:$C$5,2,FALSE)</f>
        <v>45</v>
      </c>
      <c r="I30">
        <f ca="1">VLOOKUP(G30,age_band!$A$2:$C$5,3,FALSE)</f>
        <v>54</v>
      </c>
      <c r="J30">
        <f t="shared" ca="1" si="3"/>
        <v>52</v>
      </c>
      <c r="K30">
        <f t="shared" ca="1" si="4"/>
        <v>0.79401937055921468</v>
      </c>
      <c r="L30" t="str">
        <f ca="1">IF(K30&lt;=distribution!$D$11,distribution!$B$11,distribution!$B$12)</f>
        <v>N</v>
      </c>
      <c r="M30">
        <f t="shared" ca="1" si="5"/>
        <v>74973</v>
      </c>
      <c r="N30">
        <f t="shared" ca="1" si="6"/>
        <v>74973</v>
      </c>
    </row>
    <row r="31" spans="1:14" x14ac:dyDescent="0.45">
      <c r="A31">
        <f t="shared" si="7"/>
        <v>30</v>
      </c>
      <c r="B31">
        <f t="shared" ca="1" si="0"/>
        <v>0.2687414018938139</v>
      </c>
      <c r="C31" t="str">
        <f ca="1">IF(B31&lt;=distribution!$D$2,distribution!$B$2,IF(B31&lt;=distribution!$D$3,distribution!$B$3,distribution!$B$4))</f>
        <v>ON</v>
      </c>
      <c r="D31">
        <f t="shared" ca="1" si="1"/>
        <v>0.26865566876716496</v>
      </c>
      <c r="E31" t="str">
        <f ca="1">IF(D31&lt;=distribution!$D$5,distribution!$B$5,distribution!$B$6)</f>
        <v>A</v>
      </c>
      <c r="F31">
        <f t="shared" ca="1" si="2"/>
        <v>0.11258566299838146</v>
      </c>
      <c r="G31" t="str">
        <f ca="1">IF(F31&lt;=distribution!$D$7,distribution!$B$7,IF(F31&lt;=distribution!$D$8,distribution!$B$8,IF(F31&lt;=distribution!$D$9,distribution!$B$9,distribution!$B$10)))</f>
        <v>25-34</v>
      </c>
      <c r="H31">
        <f ca="1">VLOOKUP(G31,age_band!$A$1:$C$5,2,FALSE)</f>
        <v>25</v>
      </c>
      <c r="I31">
        <f ca="1">VLOOKUP(G31,age_band!$A$2:$C$5,3,FALSE)</f>
        <v>34</v>
      </c>
      <c r="J31">
        <f t="shared" ca="1" si="3"/>
        <v>26</v>
      </c>
      <c r="K31">
        <f t="shared" ca="1" si="4"/>
        <v>0.16548911719773785</v>
      </c>
      <c r="L31" t="str">
        <f ca="1">IF(K31&lt;=distribution!$D$11,distribution!$B$11,distribution!$B$12)</f>
        <v>N</v>
      </c>
      <c r="M31">
        <f t="shared" ca="1" si="5"/>
        <v>105588</v>
      </c>
      <c r="N31">
        <f t="shared" ca="1" si="6"/>
        <v>105588</v>
      </c>
    </row>
    <row r="32" spans="1:14" x14ac:dyDescent="0.45">
      <c r="A32">
        <f t="shared" si="7"/>
        <v>31</v>
      </c>
      <c r="B32">
        <f t="shared" ca="1" si="0"/>
        <v>0.49376741969942661</v>
      </c>
      <c r="C32" t="str">
        <f ca="1">IF(B32&lt;=distribution!$D$2,distribution!$B$2,IF(B32&lt;=distribution!$D$3,distribution!$B$3,distribution!$B$4))</f>
        <v>ON</v>
      </c>
      <c r="D32">
        <f t="shared" ca="1" si="1"/>
        <v>0.93873203351331813</v>
      </c>
      <c r="E32" t="str">
        <f ca="1">IF(D32&lt;=distribution!$D$5,distribution!$B$5,distribution!$B$6)</f>
        <v>B</v>
      </c>
      <c r="F32">
        <f t="shared" ca="1" si="2"/>
        <v>0.72406445831317812</v>
      </c>
      <c r="G32" t="str">
        <f ca="1">IF(F32&lt;=distribution!$D$7,distribution!$B$7,IF(F32&lt;=distribution!$D$8,distribution!$B$8,IF(F32&lt;=distribution!$D$9,distribution!$B$9,distribution!$B$10)))</f>
        <v>45-54</v>
      </c>
      <c r="H32">
        <f ca="1">VLOOKUP(G32,age_band!$A$1:$C$5,2,FALSE)</f>
        <v>45</v>
      </c>
      <c r="I32">
        <f ca="1">VLOOKUP(G32,age_band!$A$2:$C$5,3,FALSE)</f>
        <v>54</v>
      </c>
      <c r="J32">
        <f t="shared" ca="1" si="3"/>
        <v>48</v>
      </c>
      <c r="K32">
        <f t="shared" ca="1" si="4"/>
        <v>0.64150938137532987</v>
      </c>
      <c r="L32" t="str">
        <f ca="1">IF(K32&lt;=distribution!$D$11,distribution!$B$11,distribution!$B$12)</f>
        <v>N</v>
      </c>
      <c r="M32">
        <f t="shared" ca="1" si="5"/>
        <v>77246</v>
      </c>
      <c r="N32">
        <f t="shared" ca="1" si="6"/>
        <v>77246</v>
      </c>
    </row>
    <row r="33" spans="1:14" x14ac:dyDescent="0.45">
      <c r="A33">
        <f t="shared" si="7"/>
        <v>32</v>
      </c>
      <c r="B33">
        <f t="shared" ca="1" si="0"/>
        <v>0.44262030391273266</v>
      </c>
      <c r="C33" t="str">
        <f ca="1">IF(B33&lt;=distribution!$D$2,distribution!$B$2,IF(B33&lt;=distribution!$D$3,distribution!$B$3,distribution!$B$4))</f>
        <v>ON</v>
      </c>
      <c r="D33">
        <f t="shared" ca="1" si="1"/>
        <v>0.93171531887940717</v>
      </c>
      <c r="E33" t="str">
        <f ca="1">IF(D33&lt;=distribution!$D$5,distribution!$B$5,distribution!$B$6)</f>
        <v>B</v>
      </c>
      <c r="F33">
        <f t="shared" ca="1" si="2"/>
        <v>0.80632150193492746</v>
      </c>
      <c r="G33" t="str">
        <f ca="1">IF(F33&lt;=distribution!$D$7,distribution!$B$7,IF(F33&lt;=distribution!$D$8,distribution!$B$8,IF(F33&lt;=distribution!$D$9,distribution!$B$9,distribution!$B$10)))</f>
        <v>45-54</v>
      </c>
      <c r="H33">
        <f ca="1">VLOOKUP(G33,age_band!$A$1:$C$5,2,FALSE)</f>
        <v>45</v>
      </c>
      <c r="I33">
        <f ca="1">VLOOKUP(G33,age_band!$A$2:$C$5,3,FALSE)</f>
        <v>54</v>
      </c>
      <c r="J33">
        <f t="shared" ca="1" si="3"/>
        <v>45</v>
      </c>
      <c r="K33">
        <f t="shared" ca="1" si="4"/>
        <v>0.86971596072622237</v>
      </c>
      <c r="L33" t="str">
        <f ca="1">IF(K33&lt;=distribution!$D$11,distribution!$B$11,distribution!$B$12)</f>
        <v>Y</v>
      </c>
      <c r="M33">
        <f t="shared" ca="1" si="5"/>
        <v>75192</v>
      </c>
      <c r="N33">
        <f t="shared" ca="1" si="6"/>
        <v>75192</v>
      </c>
    </row>
    <row r="34" spans="1:14" x14ac:dyDescent="0.45">
      <c r="A34">
        <f t="shared" si="7"/>
        <v>33</v>
      </c>
      <c r="B34">
        <f t="shared" ca="1" si="0"/>
        <v>9.8620203005492013E-2</v>
      </c>
      <c r="C34" t="str">
        <f ca="1">IF(B34&lt;=distribution!$D$2,distribution!$B$2,IF(B34&lt;=distribution!$D$3,distribution!$B$3,distribution!$B$4))</f>
        <v>ON</v>
      </c>
      <c r="D34">
        <f t="shared" ca="1" si="1"/>
        <v>0.67523379526668947</v>
      </c>
      <c r="E34" t="str">
        <f ca="1">IF(D34&lt;=distribution!$D$5,distribution!$B$5,distribution!$B$6)</f>
        <v>B</v>
      </c>
      <c r="F34">
        <f t="shared" ca="1" si="2"/>
        <v>0.23859249021457896</v>
      </c>
      <c r="G34" t="str">
        <f ca="1">IF(F34&lt;=distribution!$D$7,distribution!$B$7,IF(F34&lt;=distribution!$D$8,distribution!$B$8,IF(F34&lt;=distribution!$D$9,distribution!$B$9,distribution!$B$10)))</f>
        <v>25-34</v>
      </c>
      <c r="H34">
        <f ca="1">VLOOKUP(G34,age_band!$A$1:$C$5,2,FALSE)</f>
        <v>25</v>
      </c>
      <c r="I34">
        <f ca="1">VLOOKUP(G34,age_band!$A$2:$C$5,3,FALSE)</f>
        <v>34</v>
      </c>
      <c r="J34">
        <f t="shared" ca="1" si="3"/>
        <v>25</v>
      </c>
      <c r="K34">
        <f t="shared" ca="1" si="4"/>
        <v>0.72505611306338669</v>
      </c>
      <c r="L34" t="str">
        <f ca="1">IF(K34&lt;=distribution!$D$11,distribution!$B$11,distribution!$B$12)</f>
        <v>N</v>
      </c>
      <c r="M34">
        <f t="shared" ca="1" si="5"/>
        <v>65202</v>
      </c>
      <c r="N34">
        <f t="shared" ca="1" si="6"/>
        <v>65202</v>
      </c>
    </row>
    <row r="35" spans="1:14" x14ac:dyDescent="0.45">
      <c r="A35">
        <f t="shared" si="7"/>
        <v>34</v>
      </c>
      <c r="B35">
        <f t="shared" ca="1" si="0"/>
        <v>0.5741932930454221</v>
      </c>
      <c r="C35" t="str">
        <f ca="1">IF(B35&lt;=distribution!$D$2,distribution!$B$2,IF(B35&lt;=distribution!$D$3,distribution!$B$3,distribution!$B$4))</f>
        <v>QC</v>
      </c>
      <c r="D35">
        <f t="shared" ca="1" si="1"/>
        <v>0.36837374972545867</v>
      </c>
      <c r="E35" t="str">
        <f ca="1">IF(D35&lt;=distribution!$D$5,distribution!$B$5,distribution!$B$6)</f>
        <v>A</v>
      </c>
      <c r="F35">
        <f t="shared" ca="1" si="2"/>
        <v>0.9181307369347359</v>
      </c>
      <c r="G35" t="str">
        <f ca="1">IF(F35&lt;=distribution!$D$7,distribution!$B$7,IF(F35&lt;=distribution!$D$8,distribution!$B$8,IF(F35&lt;=distribution!$D$9,distribution!$B$9,distribution!$B$10)))</f>
        <v>55-64</v>
      </c>
      <c r="H35">
        <f ca="1">VLOOKUP(G35,age_band!$A$1:$C$5,2,FALSE)</f>
        <v>55</v>
      </c>
      <c r="I35">
        <f ca="1">VLOOKUP(G35,age_band!$A$2:$C$5,3,FALSE)</f>
        <v>64</v>
      </c>
      <c r="J35">
        <f t="shared" ca="1" si="3"/>
        <v>57</v>
      </c>
      <c r="K35">
        <f t="shared" ca="1" si="4"/>
        <v>0.77524383009164932</v>
      </c>
      <c r="L35" t="str">
        <f ca="1">IF(K35&lt;=distribution!$D$11,distribution!$B$11,distribution!$B$12)</f>
        <v>N</v>
      </c>
      <c r="M35">
        <f t="shared" ca="1" si="5"/>
        <v>104469</v>
      </c>
      <c r="N35">
        <f t="shared" ca="1" si="6"/>
        <v>104469</v>
      </c>
    </row>
    <row r="36" spans="1:14" x14ac:dyDescent="0.45">
      <c r="A36">
        <f t="shared" si="7"/>
        <v>35</v>
      </c>
      <c r="B36">
        <f t="shared" ca="1" si="0"/>
        <v>0.12990626139820649</v>
      </c>
      <c r="C36" t="str">
        <f ca="1">IF(B36&lt;=distribution!$D$2,distribution!$B$2,IF(B36&lt;=distribution!$D$3,distribution!$B$3,distribution!$B$4))</f>
        <v>ON</v>
      </c>
      <c r="D36">
        <f t="shared" ca="1" si="1"/>
        <v>0.2977957513163012</v>
      </c>
      <c r="E36" t="str">
        <f ca="1">IF(D36&lt;=distribution!$D$5,distribution!$B$5,distribution!$B$6)</f>
        <v>A</v>
      </c>
      <c r="F36">
        <f t="shared" ca="1" si="2"/>
        <v>0.40511527378542167</v>
      </c>
      <c r="G36" t="str">
        <f ca="1">IF(F36&lt;=distribution!$D$7,distribution!$B$7,IF(F36&lt;=distribution!$D$8,distribution!$B$8,IF(F36&lt;=distribution!$D$9,distribution!$B$9,distribution!$B$10)))</f>
        <v>35-44</v>
      </c>
      <c r="H36">
        <f ca="1">VLOOKUP(G36,age_band!$A$1:$C$5,2,FALSE)</f>
        <v>35</v>
      </c>
      <c r="I36">
        <f ca="1">VLOOKUP(G36,age_band!$A$2:$C$5,3,FALSE)</f>
        <v>44</v>
      </c>
      <c r="J36">
        <f t="shared" ca="1" si="3"/>
        <v>42</v>
      </c>
      <c r="K36">
        <f t="shared" ca="1" si="4"/>
        <v>0.68700969831456993</v>
      </c>
      <c r="L36" t="str">
        <f ca="1">IF(K36&lt;=distribution!$D$11,distribution!$B$11,distribution!$B$12)</f>
        <v>N</v>
      </c>
      <c r="M36">
        <f t="shared" ca="1" si="5"/>
        <v>99838</v>
      </c>
      <c r="N36">
        <f t="shared" ca="1" si="6"/>
        <v>99838</v>
      </c>
    </row>
    <row r="37" spans="1:14" x14ac:dyDescent="0.45">
      <c r="A37">
        <f t="shared" si="7"/>
        <v>36</v>
      </c>
      <c r="B37">
        <f t="shared" ca="1" si="0"/>
        <v>0.14028384680343309</v>
      </c>
      <c r="C37" t="str">
        <f ca="1">IF(B37&lt;=distribution!$D$2,distribution!$B$2,IF(B37&lt;=distribution!$D$3,distribution!$B$3,distribution!$B$4))</f>
        <v>ON</v>
      </c>
      <c r="D37">
        <f t="shared" ca="1" si="1"/>
        <v>0.8935221099594165</v>
      </c>
      <c r="E37" t="str">
        <f ca="1">IF(D37&lt;=distribution!$D$5,distribution!$B$5,distribution!$B$6)</f>
        <v>B</v>
      </c>
      <c r="F37">
        <f t="shared" ca="1" si="2"/>
        <v>0.33123156441015444</v>
      </c>
      <c r="G37" t="str">
        <f ca="1">IF(F37&lt;=distribution!$D$7,distribution!$B$7,IF(F37&lt;=distribution!$D$8,distribution!$B$8,IF(F37&lt;=distribution!$D$9,distribution!$B$9,distribution!$B$10)))</f>
        <v>35-44</v>
      </c>
      <c r="H37">
        <f ca="1">VLOOKUP(G37,age_band!$A$1:$C$5,2,FALSE)</f>
        <v>35</v>
      </c>
      <c r="I37">
        <f ca="1">VLOOKUP(G37,age_band!$A$2:$C$5,3,FALSE)</f>
        <v>44</v>
      </c>
      <c r="J37">
        <f t="shared" ca="1" si="3"/>
        <v>43</v>
      </c>
      <c r="K37">
        <f t="shared" ca="1" si="4"/>
        <v>0.86593639225063068</v>
      </c>
      <c r="L37" t="str">
        <f ca="1">IF(K37&lt;=distribution!$D$11,distribution!$B$11,distribution!$B$12)</f>
        <v>Y</v>
      </c>
      <c r="M37">
        <f t="shared" ca="1" si="5"/>
        <v>48916</v>
      </c>
      <c r="N37">
        <f t="shared" ca="1" si="6"/>
        <v>48916</v>
      </c>
    </row>
    <row r="38" spans="1:14" x14ac:dyDescent="0.45">
      <c r="A38">
        <f t="shared" si="7"/>
        <v>37</v>
      </c>
      <c r="B38">
        <f t="shared" ca="1" si="0"/>
        <v>0.14833125591685081</v>
      </c>
      <c r="C38" t="str">
        <f ca="1">IF(B38&lt;=distribution!$D$2,distribution!$B$2,IF(B38&lt;=distribution!$D$3,distribution!$B$3,distribution!$B$4))</f>
        <v>ON</v>
      </c>
      <c r="D38">
        <f t="shared" ca="1" si="1"/>
        <v>0.59156377516043845</v>
      </c>
      <c r="E38" t="str">
        <f ca="1">IF(D38&lt;=distribution!$D$5,distribution!$B$5,distribution!$B$6)</f>
        <v>A</v>
      </c>
      <c r="F38">
        <f t="shared" ca="1" si="2"/>
        <v>0.83691433007603511</v>
      </c>
      <c r="G38" t="str">
        <f ca="1">IF(F38&lt;=distribution!$D$7,distribution!$B$7,IF(F38&lt;=distribution!$D$8,distribution!$B$8,IF(F38&lt;=distribution!$D$9,distribution!$B$9,distribution!$B$10)))</f>
        <v>45-54</v>
      </c>
      <c r="H38">
        <f ca="1">VLOOKUP(G38,age_band!$A$1:$C$5,2,FALSE)</f>
        <v>45</v>
      </c>
      <c r="I38">
        <f ca="1">VLOOKUP(G38,age_band!$A$2:$C$5,3,FALSE)</f>
        <v>54</v>
      </c>
      <c r="J38">
        <f t="shared" ca="1" si="3"/>
        <v>53</v>
      </c>
      <c r="K38">
        <f t="shared" ca="1" si="4"/>
        <v>0.40869861005310293</v>
      </c>
      <c r="L38" t="str">
        <f ca="1">IF(K38&lt;=distribution!$D$11,distribution!$B$11,distribution!$B$12)</f>
        <v>N</v>
      </c>
      <c r="M38">
        <f t="shared" ca="1" si="5"/>
        <v>122745</v>
      </c>
      <c r="N38">
        <f t="shared" ca="1" si="6"/>
        <v>122745</v>
      </c>
    </row>
    <row r="39" spans="1:14" x14ac:dyDescent="0.45">
      <c r="A39">
        <f t="shared" si="7"/>
        <v>38</v>
      </c>
      <c r="B39">
        <f t="shared" ca="1" si="0"/>
        <v>0.59494797113027442</v>
      </c>
      <c r="C39" t="str">
        <f ca="1">IF(B39&lt;=distribution!$D$2,distribution!$B$2,IF(B39&lt;=distribution!$D$3,distribution!$B$3,distribution!$B$4))</f>
        <v>QC</v>
      </c>
      <c r="D39">
        <f t="shared" ca="1" si="1"/>
        <v>0.24802437247452969</v>
      </c>
      <c r="E39" t="str">
        <f ca="1">IF(D39&lt;=distribution!$D$5,distribution!$B$5,distribution!$B$6)</f>
        <v>A</v>
      </c>
      <c r="F39">
        <f t="shared" ca="1" si="2"/>
        <v>0.66913619493302201</v>
      </c>
      <c r="G39" t="str">
        <f ca="1">IF(F39&lt;=distribution!$D$7,distribution!$B$7,IF(F39&lt;=distribution!$D$8,distribution!$B$8,IF(F39&lt;=distribution!$D$9,distribution!$B$9,distribution!$B$10)))</f>
        <v>45-54</v>
      </c>
      <c r="H39">
        <f ca="1">VLOOKUP(G39,age_band!$A$1:$C$5,2,FALSE)</f>
        <v>45</v>
      </c>
      <c r="I39">
        <f ca="1">VLOOKUP(G39,age_band!$A$2:$C$5,3,FALSE)</f>
        <v>54</v>
      </c>
      <c r="J39">
        <f t="shared" ca="1" si="3"/>
        <v>49</v>
      </c>
      <c r="K39">
        <f t="shared" ca="1" si="4"/>
        <v>0.5259968277877658</v>
      </c>
      <c r="L39" t="str">
        <f ca="1">IF(K39&lt;=distribution!$D$11,distribution!$B$11,distribution!$B$12)</f>
        <v>N</v>
      </c>
      <c r="M39">
        <f t="shared" ca="1" si="5"/>
        <v>86341</v>
      </c>
      <c r="N39">
        <f t="shared" ca="1" si="6"/>
        <v>86341</v>
      </c>
    </row>
    <row r="40" spans="1:14" x14ac:dyDescent="0.45">
      <c r="A40">
        <f t="shared" si="7"/>
        <v>39</v>
      </c>
      <c r="B40">
        <f t="shared" ca="1" si="0"/>
        <v>0.97804474816080278</v>
      </c>
      <c r="C40" t="str">
        <f ca="1">IF(B40&lt;=distribution!$D$2,distribution!$B$2,IF(B40&lt;=distribution!$D$3,distribution!$B$3,distribution!$B$4))</f>
        <v>BC</v>
      </c>
      <c r="D40">
        <f t="shared" ca="1" si="1"/>
        <v>0.89330020972961255</v>
      </c>
      <c r="E40" t="str">
        <f ca="1">IF(D40&lt;=distribution!$D$5,distribution!$B$5,distribution!$B$6)</f>
        <v>B</v>
      </c>
      <c r="F40">
        <f t="shared" ca="1" si="2"/>
        <v>0.838541069362575</v>
      </c>
      <c r="G40" t="str">
        <f ca="1">IF(F40&lt;=distribution!$D$7,distribution!$B$7,IF(F40&lt;=distribution!$D$8,distribution!$B$8,IF(F40&lt;=distribution!$D$9,distribution!$B$9,distribution!$B$10)))</f>
        <v>45-54</v>
      </c>
      <c r="H40">
        <f ca="1">VLOOKUP(G40,age_band!$A$1:$C$5,2,FALSE)</f>
        <v>45</v>
      </c>
      <c r="I40">
        <f ca="1">VLOOKUP(G40,age_band!$A$2:$C$5,3,FALSE)</f>
        <v>54</v>
      </c>
      <c r="J40">
        <f t="shared" ca="1" si="3"/>
        <v>52</v>
      </c>
      <c r="K40">
        <f t="shared" ca="1" si="4"/>
        <v>0.30144013451279628</v>
      </c>
      <c r="L40" t="str">
        <f ca="1">IF(K40&lt;=distribution!$D$11,distribution!$B$11,distribution!$B$12)</f>
        <v>N</v>
      </c>
      <c r="M40">
        <f t="shared" ca="1" si="5"/>
        <v>78533</v>
      </c>
      <c r="N40">
        <f t="shared" ca="1" si="6"/>
        <v>78533</v>
      </c>
    </row>
    <row r="41" spans="1:14" x14ac:dyDescent="0.45">
      <c r="A41">
        <f t="shared" si="7"/>
        <v>40</v>
      </c>
      <c r="B41">
        <f t="shared" ca="1" si="0"/>
        <v>0.65003417965419652</v>
      </c>
      <c r="C41" t="str">
        <f ca="1">IF(B41&lt;=distribution!$D$2,distribution!$B$2,IF(B41&lt;=distribution!$D$3,distribution!$B$3,distribution!$B$4))</f>
        <v>QC</v>
      </c>
      <c r="D41">
        <f t="shared" ca="1" si="1"/>
        <v>0.23115182706662096</v>
      </c>
      <c r="E41" t="str">
        <f ca="1">IF(D41&lt;=distribution!$D$5,distribution!$B$5,distribution!$B$6)</f>
        <v>A</v>
      </c>
      <c r="F41">
        <f t="shared" ca="1" si="2"/>
        <v>0.94964362313277451</v>
      </c>
      <c r="G41" t="str">
        <f ca="1">IF(F41&lt;=distribution!$D$7,distribution!$B$7,IF(F41&lt;=distribution!$D$8,distribution!$B$8,IF(F41&lt;=distribution!$D$9,distribution!$B$9,distribution!$B$10)))</f>
        <v>55-64</v>
      </c>
      <c r="H41">
        <f ca="1">VLOOKUP(G41,age_band!$A$1:$C$5,2,FALSE)</f>
        <v>55</v>
      </c>
      <c r="I41">
        <f ca="1">VLOOKUP(G41,age_band!$A$2:$C$5,3,FALSE)</f>
        <v>64</v>
      </c>
      <c r="J41">
        <f t="shared" ca="1" si="3"/>
        <v>60</v>
      </c>
      <c r="K41">
        <f t="shared" ca="1" si="4"/>
        <v>0.25097630269663507</v>
      </c>
      <c r="L41" t="str">
        <f ca="1">IF(K41&lt;=distribution!$D$11,distribution!$B$11,distribution!$B$12)</f>
        <v>N</v>
      </c>
      <c r="M41">
        <f t="shared" ca="1" si="5"/>
        <v>103921</v>
      </c>
      <c r="N41">
        <f t="shared" ca="1" si="6"/>
        <v>103921</v>
      </c>
    </row>
    <row r="42" spans="1:14" x14ac:dyDescent="0.45">
      <c r="A42">
        <f t="shared" si="7"/>
        <v>41</v>
      </c>
      <c r="B42">
        <f t="shared" ca="1" si="0"/>
        <v>0.46945509814560937</v>
      </c>
      <c r="C42" t="str">
        <f ca="1">IF(B42&lt;=distribution!$D$2,distribution!$B$2,IF(B42&lt;=distribution!$D$3,distribution!$B$3,distribution!$B$4))</f>
        <v>ON</v>
      </c>
      <c r="D42">
        <f t="shared" ca="1" si="1"/>
        <v>6.3286911280888258E-2</v>
      </c>
      <c r="E42" t="str">
        <f ca="1">IF(D42&lt;=distribution!$D$5,distribution!$B$5,distribution!$B$6)</f>
        <v>A</v>
      </c>
      <c r="F42">
        <f t="shared" ca="1" si="2"/>
        <v>0.74301514275526248</v>
      </c>
      <c r="G42" t="str">
        <f ca="1">IF(F42&lt;=distribution!$D$7,distribution!$B$7,IF(F42&lt;=distribution!$D$8,distribution!$B$8,IF(F42&lt;=distribution!$D$9,distribution!$B$9,distribution!$B$10)))</f>
        <v>45-54</v>
      </c>
      <c r="H42">
        <f ca="1">VLOOKUP(G42,age_band!$A$1:$C$5,2,FALSE)</f>
        <v>45</v>
      </c>
      <c r="I42">
        <f ca="1">VLOOKUP(G42,age_band!$A$2:$C$5,3,FALSE)</f>
        <v>54</v>
      </c>
      <c r="J42">
        <f t="shared" ca="1" si="3"/>
        <v>51</v>
      </c>
      <c r="K42">
        <f t="shared" ca="1" si="4"/>
        <v>0.4499982831922088</v>
      </c>
      <c r="L42" t="str">
        <f ca="1">IF(K42&lt;=distribution!$D$11,distribution!$B$11,distribution!$B$12)</f>
        <v>N</v>
      </c>
      <c r="M42">
        <f t="shared" ca="1" si="5"/>
        <v>59737</v>
      </c>
      <c r="N42">
        <f t="shared" ca="1" si="6"/>
        <v>59737</v>
      </c>
    </row>
    <row r="43" spans="1:14" x14ac:dyDescent="0.45">
      <c r="A43">
        <f t="shared" si="7"/>
        <v>42</v>
      </c>
      <c r="B43">
        <f t="shared" ca="1" si="0"/>
        <v>0.42785123833714267</v>
      </c>
      <c r="C43" t="str">
        <f ca="1">IF(B43&lt;=distribution!$D$2,distribution!$B$2,IF(B43&lt;=distribution!$D$3,distribution!$B$3,distribution!$B$4))</f>
        <v>ON</v>
      </c>
      <c r="D43">
        <f t="shared" ca="1" si="1"/>
        <v>0.50354108215885907</v>
      </c>
      <c r="E43" t="str">
        <f ca="1">IF(D43&lt;=distribution!$D$5,distribution!$B$5,distribution!$B$6)</f>
        <v>A</v>
      </c>
      <c r="F43">
        <f t="shared" ca="1" si="2"/>
        <v>0.61436062048536955</v>
      </c>
      <c r="G43" t="str">
        <f ca="1">IF(F43&lt;=distribution!$D$7,distribution!$B$7,IF(F43&lt;=distribution!$D$8,distribution!$B$8,IF(F43&lt;=distribution!$D$9,distribution!$B$9,distribution!$B$10)))</f>
        <v>45-54</v>
      </c>
      <c r="H43">
        <f ca="1">VLOOKUP(G43,age_band!$A$1:$C$5,2,FALSE)</f>
        <v>45</v>
      </c>
      <c r="I43">
        <f ca="1">VLOOKUP(G43,age_band!$A$2:$C$5,3,FALSE)</f>
        <v>54</v>
      </c>
      <c r="J43">
        <f t="shared" ca="1" si="3"/>
        <v>46</v>
      </c>
      <c r="K43">
        <f t="shared" ca="1" si="4"/>
        <v>0.6056496675054106</v>
      </c>
      <c r="L43" t="str">
        <f ca="1">IF(K43&lt;=distribution!$D$11,distribution!$B$11,distribution!$B$12)</f>
        <v>N</v>
      </c>
      <c r="M43">
        <f t="shared" ca="1" si="5"/>
        <v>54789</v>
      </c>
      <c r="N43">
        <f t="shared" ca="1" si="6"/>
        <v>54789</v>
      </c>
    </row>
    <row r="44" spans="1:14" x14ac:dyDescent="0.45">
      <c r="A44">
        <f t="shared" si="7"/>
        <v>43</v>
      </c>
      <c r="B44">
        <f t="shared" ca="1" si="0"/>
        <v>0.85306796286177611</v>
      </c>
      <c r="C44" t="str">
        <f ca="1">IF(B44&lt;=distribution!$D$2,distribution!$B$2,IF(B44&lt;=distribution!$D$3,distribution!$B$3,distribution!$B$4))</f>
        <v>BC</v>
      </c>
      <c r="D44">
        <f t="shared" ca="1" si="1"/>
        <v>0.56416032897872537</v>
      </c>
      <c r="E44" t="str">
        <f ca="1">IF(D44&lt;=distribution!$D$5,distribution!$B$5,distribution!$B$6)</f>
        <v>A</v>
      </c>
      <c r="F44">
        <f t="shared" ca="1" si="2"/>
        <v>0.72933902337959</v>
      </c>
      <c r="G44" t="str">
        <f ca="1">IF(F44&lt;=distribution!$D$7,distribution!$B$7,IF(F44&lt;=distribution!$D$8,distribution!$B$8,IF(F44&lt;=distribution!$D$9,distribution!$B$9,distribution!$B$10)))</f>
        <v>45-54</v>
      </c>
      <c r="H44">
        <f ca="1">VLOOKUP(G44,age_band!$A$1:$C$5,2,FALSE)</f>
        <v>45</v>
      </c>
      <c r="I44">
        <f ca="1">VLOOKUP(G44,age_band!$A$2:$C$5,3,FALSE)</f>
        <v>54</v>
      </c>
      <c r="J44">
        <f t="shared" ca="1" si="3"/>
        <v>50</v>
      </c>
      <c r="K44">
        <f t="shared" ca="1" si="4"/>
        <v>0.72948467846217346</v>
      </c>
      <c r="L44" t="str">
        <f ca="1">IF(K44&lt;=distribution!$D$11,distribution!$B$11,distribution!$B$12)</f>
        <v>N</v>
      </c>
      <c r="M44">
        <f t="shared" ca="1" si="5"/>
        <v>98055</v>
      </c>
      <c r="N44">
        <f t="shared" ca="1" si="6"/>
        <v>98055</v>
      </c>
    </row>
    <row r="45" spans="1:14" x14ac:dyDescent="0.45">
      <c r="A45">
        <f t="shared" si="7"/>
        <v>44</v>
      </c>
      <c r="B45">
        <f t="shared" ca="1" si="0"/>
        <v>0.21656072523478587</v>
      </c>
      <c r="C45" t="str">
        <f ca="1">IF(B45&lt;=distribution!$D$2,distribution!$B$2,IF(B45&lt;=distribution!$D$3,distribution!$B$3,distribution!$B$4))</f>
        <v>ON</v>
      </c>
      <c r="D45">
        <f t="shared" ca="1" si="1"/>
        <v>0.78733980533037873</v>
      </c>
      <c r="E45" t="str">
        <f ca="1">IF(D45&lt;=distribution!$D$5,distribution!$B$5,distribution!$B$6)</f>
        <v>B</v>
      </c>
      <c r="F45">
        <f t="shared" ca="1" si="2"/>
        <v>4.5574533060428912E-2</v>
      </c>
      <c r="G45" t="str">
        <f ca="1">IF(F45&lt;=distribution!$D$7,distribution!$B$7,IF(F45&lt;=distribution!$D$8,distribution!$B$8,IF(F45&lt;=distribution!$D$9,distribution!$B$9,distribution!$B$10)))</f>
        <v>25-34</v>
      </c>
      <c r="H45">
        <f ca="1">VLOOKUP(G45,age_band!$A$1:$C$5,2,FALSE)</f>
        <v>25</v>
      </c>
      <c r="I45">
        <f ca="1">VLOOKUP(G45,age_band!$A$2:$C$5,3,FALSE)</f>
        <v>34</v>
      </c>
      <c r="J45">
        <f t="shared" ca="1" si="3"/>
        <v>31</v>
      </c>
      <c r="K45">
        <f t="shared" ca="1" si="4"/>
        <v>0.36917270989048567</v>
      </c>
      <c r="L45" t="str">
        <f ca="1">IF(K45&lt;=distribution!$D$11,distribution!$B$11,distribution!$B$12)</f>
        <v>N</v>
      </c>
      <c r="M45">
        <f t="shared" ca="1" si="5"/>
        <v>55940</v>
      </c>
      <c r="N45">
        <f t="shared" ca="1" si="6"/>
        <v>55940</v>
      </c>
    </row>
    <row r="46" spans="1:14" x14ac:dyDescent="0.45">
      <c r="A46">
        <f t="shared" si="7"/>
        <v>45</v>
      </c>
      <c r="B46">
        <f t="shared" ca="1" si="0"/>
        <v>0.85208183052840714</v>
      </c>
      <c r="C46" t="str">
        <f ca="1">IF(B46&lt;=distribution!$D$2,distribution!$B$2,IF(B46&lt;=distribution!$D$3,distribution!$B$3,distribution!$B$4))</f>
        <v>BC</v>
      </c>
      <c r="D46">
        <f t="shared" ca="1" si="1"/>
        <v>0.96212520428202342</v>
      </c>
      <c r="E46" t="str">
        <f ca="1">IF(D46&lt;=distribution!$D$5,distribution!$B$5,distribution!$B$6)</f>
        <v>B</v>
      </c>
      <c r="F46">
        <f t="shared" ca="1" si="2"/>
        <v>0.73551400316109261</v>
      </c>
      <c r="G46" t="str">
        <f ca="1">IF(F46&lt;=distribution!$D$7,distribution!$B$7,IF(F46&lt;=distribution!$D$8,distribution!$B$8,IF(F46&lt;=distribution!$D$9,distribution!$B$9,distribution!$B$10)))</f>
        <v>45-54</v>
      </c>
      <c r="H46">
        <f ca="1">VLOOKUP(G46,age_band!$A$1:$C$5,2,FALSE)</f>
        <v>45</v>
      </c>
      <c r="I46">
        <f ca="1">VLOOKUP(G46,age_band!$A$2:$C$5,3,FALSE)</f>
        <v>54</v>
      </c>
      <c r="J46">
        <f t="shared" ca="1" si="3"/>
        <v>52</v>
      </c>
      <c r="K46">
        <f t="shared" ca="1" si="4"/>
        <v>0.78915893741214005</v>
      </c>
      <c r="L46" t="str">
        <f ca="1">IF(K46&lt;=distribution!$D$11,distribution!$B$11,distribution!$B$12)</f>
        <v>N</v>
      </c>
      <c r="M46">
        <f t="shared" ca="1" si="5"/>
        <v>67303</v>
      </c>
      <c r="N46">
        <f t="shared" ca="1" si="6"/>
        <v>67303</v>
      </c>
    </row>
    <row r="47" spans="1:14" x14ac:dyDescent="0.45">
      <c r="A47">
        <f t="shared" si="7"/>
        <v>46</v>
      </c>
      <c r="B47">
        <f t="shared" ca="1" si="0"/>
        <v>9.4721577194525675E-2</v>
      </c>
      <c r="C47" t="str">
        <f ca="1">IF(B47&lt;=distribution!$D$2,distribution!$B$2,IF(B47&lt;=distribution!$D$3,distribution!$B$3,distribution!$B$4))</f>
        <v>ON</v>
      </c>
      <c r="D47">
        <f t="shared" ca="1" si="1"/>
        <v>0.52230557902876207</v>
      </c>
      <c r="E47" t="str">
        <f ca="1">IF(D47&lt;=distribution!$D$5,distribution!$B$5,distribution!$B$6)</f>
        <v>A</v>
      </c>
      <c r="F47">
        <f t="shared" ca="1" si="2"/>
        <v>0.5609562011250705</v>
      </c>
      <c r="G47" t="str">
        <f ca="1">IF(F47&lt;=distribution!$D$7,distribution!$B$7,IF(F47&lt;=distribution!$D$8,distribution!$B$8,IF(F47&lt;=distribution!$D$9,distribution!$B$9,distribution!$B$10)))</f>
        <v>35-44</v>
      </c>
      <c r="H47">
        <f ca="1">VLOOKUP(G47,age_band!$A$1:$C$5,2,FALSE)</f>
        <v>35</v>
      </c>
      <c r="I47">
        <f ca="1">VLOOKUP(G47,age_band!$A$2:$C$5,3,FALSE)</f>
        <v>44</v>
      </c>
      <c r="J47">
        <f t="shared" ca="1" si="3"/>
        <v>43</v>
      </c>
      <c r="K47">
        <f t="shared" ca="1" si="4"/>
        <v>0.96133132635918794</v>
      </c>
      <c r="L47" t="str">
        <f ca="1">IF(K47&lt;=distribution!$D$11,distribution!$B$11,distribution!$B$12)</f>
        <v>Y</v>
      </c>
      <c r="M47">
        <f t="shared" ca="1" si="5"/>
        <v>53483</v>
      </c>
      <c r="N47">
        <f t="shared" ca="1" si="6"/>
        <v>53483</v>
      </c>
    </row>
    <row r="48" spans="1:14" x14ac:dyDescent="0.45">
      <c r="A48">
        <f t="shared" si="7"/>
        <v>47</v>
      </c>
      <c r="B48">
        <f t="shared" ca="1" si="0"/>
        <v>0.49832990163366964</v>
      </c>
      <c r="C48" t="str">
        <f ca="1">IF(B48&lt;=distribution!$D$2,distribution!$B$2,IF(B48&lt;=distribution!$D$3,distribution!$B$3,distribution!$B$4))</f>
        <v>ON</v>
      </c>
      <c r="D48">
        <f t="shared" ca="1" si="1"/>
        <v>0.94973081228838918</v>
      </c>
      <c r="E48" t="str">
        <f ca="1">IF(D48&lt;=distribution!$D$5,distribution!$B$5,distribution!$B$6)</f>
        <v>B</v>
      </c>
      <c r="F48">
        <f t="shared" ca="1" si="2"/>
        <v>0.21560308066748002</v>
      </c>
      <c r="G48" t="str">
        <f ca="1">IF(F48&lt;=distribution!$D$7,distribution!$B$7,IF(F48&lt;=distribution!$D$8,distribution!$B$8,IF(F48&lt;=distribution!$D$9,distribution!$B$9,distribution!$B$10)))</f>
        <v>25-34</v>
      </c>
      <c r="H48">
        <f ca="1">VLOOKUP(G48,age_band!$A$1:$C$5,2,FALSE)</f>
        <v>25</v>
      </c>
      <c r="I48">
        <f ca="1">VLOOKUP(G48,age_band!$A$2:$C$5,3,FALSE)</f>
        <v>34</v>
      </c>
      <c r="J48">
        <f t="shared" ca="1" si="3"/>
        <v>29</v>
      </c>
      <c r="K48">
        <f t="shared" ca="1" si="4"/>
        <v>0.26253634120586378</v>
      </c>
      <c r="L48" t="str">
        <f ca="1">IF(K48&lt;=distribution!$D$11,distribution!$B$11,distribution!$B$12)</f>
        <v>N</v>
      </c>
      <c r="M48">
        <f t="shared" ca="1" si="5"/>
        <v>45051</v>
      </c>
      <c r="N48">
        <f t="shared" ca="1" si="6"/>
        <v>45051</v>
      </c>
    </row>
    <row r="49" spans="1:14" x14ac:dyDescent="0.45">
      <c r="A49">
        <f t="shared" si="7"/>
        <v>48</v>
      </c>
      <c r="B49">
        <f t="shared" ca="1" si="0"/>
        <v>0.10569285202426504</v>
      </c>
      <c r="C49" t="str">
        <f ca="1">IF(B49&lt;=distribution!$D$2,distribution!$B$2,IF(B49&lt;=distribution!$D$3,distribution!$B$3,distribution!$B$4))</f>
        <v>ON</v>
      </c>
      <c r="D49">
        <f t="shared" ca="1" si="1"/>
        <v>0.99134018515903755</v>
      </c>
      <c r="E49" t="str">
        <f ca="1">IF(D49&lt;=distribution!$D$5,distribution!$B$5,distribution!$B$6)</f>
        <v>B</v>
      </c>
      <c r="F49">
        <f t="shared" ca="1" si="2"/>
        <v>0.50301620786271317</v>
      </c>
      <c r="G49" t="str">
        <f ca="1">IF(F49&lt;=distribution!$D$7,distribution!$B$7,IF(F49&lt;=distribution!$D$8,distribution!$B$8,IF(F49&lt;=distribution!$D$9,distribution!$B$9,distribution!$B$10)))</f>
        <v>35-44</v>
      </c>
      <c r="H49">
        <f ca="1">VLOOKUP(G49,age_band!$A$1:$C$5,2,FALSE)</f>
        <v>35</v>
      </c>
      <c r="I49">
        <f ca="1">VLOOKUP(G49,age_band!$A$2:$C$5,3,FALSE)</f>
        <v>44</v>
      </c>
      <c r="J49">
        <f t="shared" ca="1" si="3"/>
        <v>42</v>
      </c>
      <c r="K49">
        <f t="shared" ca="1" si="4"/>
        <v>0.56873988176351209</v>
      </c>
      <c r="L49" t="str">
        <f ca="1">IF(K49&lt;=distribution!$D$11,distribution!$B$11,distribution!$B$12)</f>
        <v>N</v>
      </c>
      <c r="M49">
        <f t="shared" ca="1" si="5"/>
        <v>62597</v>
      </c>
      <c r="N49">
        <f t="shared" ca="1" si="6"/>
        <v>62597</v>
      </c>
    </row>
    <row r="50" spans="1:14" x14ac:dyDescent="0.45">
      <c r="A50">
        <f t="shared" si="7"/>
        <v>49</v>
      </c>
      <c r="B50">
        <f t="shared" ca="1" si="0"/>
        <v>0.96744527372097466</v>
      </c>
      <c r="C50" t="str">
        <f ca="1">IF(B50&lt;=distribution!$D$2,distribution!$B$2,IF(B50&lt;=distribution!$D$3,distribution!$B$3,distribution!$B$4))</f>
        <v>BC</v>
      </c>
      <c r="D50">
        <f t="shared" ca="1" si="1"/>
        <v>0.29572924919955856</v>
      </c>
      <c r="E50" t="str">
        <f ca="1">IF(D50&lt;=distribution!$D$5,distribution!$B$5,distribution!$B$6)</f>
        <v>A</v>
      </c>
      <c r="F50">
        <f t="shared" ca="1" si="2"/>
        <v>0.23074579542338336</v>
      </c>
      <c r="G50" t="str">
        <f ca="1">IF(F50&lt;=distribution!$D$7,distribution!$B$7,IF(F50&lt;=distribution!$D$8,distribution!$B$8,IF(F50&lt;=distribution!$D$9,distribution!$B$9,distribution!$B$10)))</f>
        <v>25-34</v>
      </c>
      <c r="H50">
        <f ca="1">VLOOKUP(G50,age_band!$A$1:$C$5,2,FALSE)</f>
        <v>25</v>
      </c>
      <c r="I50">
        <f ca="1">VLOOKUP(G50,age_band!$A$2:$C$5,3,FALSE)</f>
        <v>34</v>
      </c>
      <c r="J50">
        <f t="shared" ca="1" si="3"/>
        <v>31</v>
      </c>
      <c r="K50">
        <f t="shared" ca="1" si="4"/>
        <v>0.93989947838821475</v>
      </c>
      <c r="L50" t="str">
        <f ca="1">IF(K50&lt;=distribution!$D$11,distribution!$B$11,distribution!$B$12)</f>
        <v>Y</v>
      </c>
      <c r="M50">
        <f t="shared" ca="1" si="5"/>
        <v>115401</v>
      </c>
      <c r="N50">
        <f t="shared" ca="1" si="6"/>
        <v>115401</v>
      </c>
    </row>
    <row r="51" spans="1:14" x14ac:dyDescent="0.45">
      <c r="A51">
        <f t="shared" si="7"/>
        <v>50</v>
      </c>
      <c r="B51">
        <f t="shared" ca="1" si="0"/>
        <v>0.53410091903886248</v>
      </c>
      <c r="C51" t="str">
        <f ca="1">IF(B51&lt;=distribution!$D$2,distribution!$B$2,IF(B51&lt;=distribution!$D$3,distribution!$B$3,distribution!$B$4))</f>
        <v>ON</v>
      </c>
      <c r="D51">
        <f t="shared" ca="1" si="1"/>
        <v>0.52229562733902624</v>
      </c>
      <c r="E51" t="str">
        <f ca="1">IF(D51&lt;=distribution!$D$5,distribution!$B$5,distribution!$B$6)</f>
        <v>A</v>
      </c>
      <c r="F51">
        <f t="shared" ca="1" si="2"/>
        <v>0.4793109280768304</v>
      </c>
      <c r="G51" t="str">
        <f ca="1">IF(F51&lt;=distribution!$D$7,distribution!$B$7,IF(F51&lt;=distribution!$D$8,distribution!$B$8,IF(F51&lt;=distribution!$D$9,distribution!$B$9,distribution!$B$10)))</f>
        <v>35-44</v>
      </c>
      <c r="H51">
        <f ca="1">VLOOKUP(G51,age_band!$A$1:$C$5,2,FALSE)</f>
        <v>35</v>
      </c>
      <c r="I51">
        <f ca="1">VLOOKUP(G51,age_band!$A$2:$C$5,3,FALSE)</f>
        <v>44</v>
      </c>
      <c r="J51">
        <f t="shared" ca="1" si="3"/>
        <v>39</v>
      </c>
      <c r="K51">
        <f t="shared" ca="1" si="4"/>
        <v>0.88622060236309752</v>
      </c>
      <c r="L51" t="str">
        <f ca="1">IF(K51&lt;=distribution!$D$11,distribution!$B$11,distribution!$B$12)</f>
        <v>Y</v>
      </c>
      <c r="M51">
        <f t="shared" ca="1" si="5"/>
        <v>63722</v>
      </c>
      <c r="N51">
        <f t="shared" ca="1" si="6"/>
        <v>63722</v>
      </c>
    </row>
    <row r="52" spans="1:14" x14ac:dyDescent="0.45">
      <c r="A52">
        <f t="shared" si="7"/>
        <v>51</v>
      </c>
      <c r="B52">
        <f t="shared" ca="1" si="0"/>
        <v>5.427794386809226E-2</v>
      </c>
      <c r="C52" t="str">
        <f ca="1">IF(B52&lt;=distribution!$D$2,distribution!$B$2,IF(B52&lt;=distribution!$D$3,distribution!$B$3,distribution!$B$4))</f>
        <v>ON</v>
      </c>
      <c r="D52">
        <f t="shared" ca="1" si="1"/>
        <v>0.9602357934735406</v>
      </c>
      <c r="E52" t="str">
        <f ca="1">IF(D52&lt;=distribution!$D$5,distribution!$B$5,distribution!$B$6)</f>
        <v>B</v>
      </c>
      <c r="F52">
        <f t="shared" ca="1" si="2"/>
        <v>0.97828937620521206</v>
      </c>
      <c r="G52" t="str">
        <f ca="1">IF(F52&lt;=distribution!$D$7,distribution!$B$7,IF(F52&lt;=distribution!$D$8,distribution!$B$8,IF(F52&lt;=distribution!$D$9,distribution!$B$9,distribution!$B$10)))</f>
        <v>55-64</v>
      </c>
      <c r="H52">
        <f ca="1">VLOOKUP(G52,age_band!$A$1:$C$5,2,FALSE)</f>
        <v>55</v>
      </c>
      <c r="I52">
        <f ca="1">VLOOKUP(G52,age_band!$A$2:$C$5,3,FALSE)</f>
        <v>64</v>
      </c>
      <c r="J52">
        <f t="shared" ca="1" si="3"/>
        <v>63</v>
      </c>
      <c r="K52">
        <f t="shared" ca="1" si="4"/>
        <v>6.5568460879020019E-2</v>
      </c>
      <c r="L52" t="str">
        <f ca="1">IF(K52&lt;=distribution!$D$11,distribution!$B$11,distribution!$B$12)</f>
        <v>N</v>
      </c>
      <c r="M52">
        <f t="shared" ca="1" si="5"/>
        <v>46764</v>
      </c>
      <c r="N52">
        <f t="shared" ca="1" si="6"/>
        <v>46764</v>
      </c>
    </row>
    <row r="53" spans="1:14" x14ac:dyDescent="0.45">
      <c r="A53">
        <f t="shared" si="7"/>
        <v>52</v>
      </c>
      <c r="B53">
        <f t="shared" ca="1" si="0"/>
        <v>0.73574278638124224</v>
      </c>
      <c r="C53" t="str">
        <f ca="1">IF(B53&lt;=distribution!$D$2,distribution!$B$2,IF(B53&lt;=distribution!$D$3,distribution!$B$3,distribution!$B$4))</f>
        <v>QC</v>
      </c>
      <c r="D53">
        <f t="shared" ca="1" si="1"/>
        <v>3.9755796656113507E-3</v>
      </c>
      <c r="E53" t="str">
        <f ca="1">IF(D53&lt;=distribution!$D$5,distribution!$B$5,distribution!$B$6)</f>
        <v>A</v>
      </c>
      <c r="F53">
        <f t="shared" ca="1" si="2"/>
        <v>0.53840453043332226</v>
      </c>
      <c r="G53" t="str">
        <f ca="1">IF(F53&lt;=distribution!$D$7,distribution!$B$7,IF(F53&lt;=distribution!$D$8,distribution!$B$8,IF(F53&lt;=distribution!$D$9,distribution!$B$9,distribution!$B$10)))</f>
        <v>35-44</v>
      </c>
      <c r="H53">
        <f ca="1">VLOOKUP(G53,age_band!$A$1:$C$5,2,FALSE)</f>
        <v>35</v>
      </c>
      <c r="I53">
        <f ca="1">VLOOKUP(G53,age_band!$A$2:$C$5,3,FALSE)</f>
        <v>44</v>
      </c>
      <c r="J53">
        <f t="shared" ca="1" si="3"/>
        <v>36</v>
      </c>
      <c r="K53">
        <f t="shared" ca="1" si="4"/>
        <v>0.54044708752554826</v>
      </c>
      <c r="L53" t="str">
        <f ca="1">IF(K53&lt;=distribution!$D$11,distribution!$B$11,distribution!$B$12)</f>
        <v>N</v>
      </c>
      <c r="M53">
        <f t="shared" ca="1" si="5"/>
        <v>123457</v>
      </c>
      <c r="N53">
        <f t="shared" ca="1" si="6"/>
        <v>123457</v>
      </c>
    </row>
    <row r="54" spans="1:14" x14ac:dyDescent="0.45">
      <c r="A54">
        <f t="shared" si="7"/>
        <v>53</v>
      </c>
      <c r="B54">
        <f t="shared" ca="1" si="0"/>
        <v>0.37025490601427302</v>
      </c>
      <c r="C54" t="str">
        <f ca="1">IF(B54&lt;=distribution!$D$2,distribution!$B$2,IF(B54&lt;=distribution!$D$3,distribution!$B$3,distribution!$B$4))</f>
        <v>ON</v>
      </c>
      <c r="D54">
        <f t="shared" ca="1" si="1"/>
        <v>0.18718818308117124</v>
      </c>
      <c r="E54" t="str">
        <f ca="1">IF(D54&lt;=distribution!$D$5,distribution!$B$5,distribution!$B$6)</f>
        <v>A</v>
      </c>
      <c r="F54">
        <f t="shared" ca="1" si="2"/>
        <v>0.86603969458764196</v>
      </c>
      <c r="G54" t="str">
        <f ca="1">IF(F54&lt;=distribution!$D$7,distribution!$B$7,IF(F54&lt;=distribution!$D$8,distribution!$B$8,IF(F54&lt;=distribution!$D$9,distribution!$B$9,distribution!$B$10)))</f>
        <v>55-64</v>
      </c>
      <c r="H54">
        <f ca="1">VLOOKUP(G54,age_band!$A$1:$C$5,2,FALSE)</f>
        <v>55</v>
      </c>
      <c r="I54">
        <f ca="1">VLOOKUP(G54,age_band!$A$2:$C$5,3,FALSE)</f>
        <v>64</v>
      </c>
      <c r="J54">
        <f t="shared" ca="1" si="3"/>
        <v>55</v>
      </c>
      <c r="K54">
        <f t="shared" ca="1" si="4"/>
        <v>0.98925394503990316</v>
      </c>
      <c r="L54" t="str">
        <f ca="1">IF(K54&lt;=distribution!$D$11,distribution!$B$11,distribution!$B$12)</f>
        <v>Y</v>
      </c>
      <c r="M54">
        <f t="shared" ca="1" si="5"/>
        <v>65708</v>
      </c>
      <c r="N54">
        <f t="shared" ca="1" si="6"/>
        <v>65708</v>
      </c>
    </row>
    <row r="55" spans="1:14" x14ac:dyDescent="0.45">
      <c r="A55">
        <f t="shared" si="7"/>
        <v>54</v>
      </c>
      <c r="B55">
        <f t="shared" ca="1" si="0"/>
        <v>0.50214672439392938</v>
      </c>
      <c r="C55" t="str">
        <f ca="1">IF(B55&lt;=distribution!$D$2,distribution!$B$2,IF(B55&lt;=distribution!$D$3,distribution!$B$3,distribution!$B$4))</f>
        <v>ON</v>
      </c>
      <c r="D55">
        <f t="shared" ca="1" si="1"/>
        <v>0.4823434057855932</v>
      </c>
      <c r="E55" t="str">
        <f ca="1">IF(D55&lt;=distribution!$D$5,distribution!$B$5,distribution!$B$6)</f>
        <v>A</v>
      </c>
      <c r="F55">
        <f t="shared" ca="1" si="2"/>
        <v>0.21939300325474187</v>
      </c>
      <c r="G55" t="str">
        <f ca="1">IF(F55&lt;=distribution!$D$7,distribution!$B$7,IF(F55&lt;=distribution!$D$8,distribution!$B$8,IF(F55&lt;=distribution!$D$9,distribution!$B$9,distribution!$B$10)))</f>
        <v>25-34</v>
      </c>
      <c r="H55">
        <f ca="1">VLOOKUP(G55,age_band!$A$1:$C$5,2,FALSE)</f>
        <v>25</v>
      </c>
      <c r="I55">
        <f ca="1">VLOOKUP(G55,age_band!$A$2:$C$5,3,FALSE)</f>
        <v>34</v>
      </c>
      <c r="J55">
        <f t="shared" ca="1" si="3"/>
        <v>29</v>
      </c>
      <c r="K55">
        <f t="shared" ca="1" si="4"/>
        <v>0.78631904771305927</v>
      </c>
      <c r="L55" t="str">
        <f ca="1">IF(K55&lt;=distribution!$D$11,distribution!$B$11,distribution!$B$12)</f>
        <v>N</v>
      </c>
      <c r="M55">
        <f t="shared" ca="1" si="5"/>
        <v>117143</v>
      </c>
      <c r="N55">
        <f t="shared" ca="1" si="6"/>
        <v>117143</v>
      </c>
    </row>
    <row r="56" spans="1:14" x14ac:dyDescent="0.45">
      <c r="A56">
        <f t="shared" si="7"/>
        <v>55</v>
      </c>
      <c r="B56">
        <f t="shared" ca="1" si="0"/>
        <v>0.88050908357284019</v>
      </c>
      <c r="C56" t="str">
        <f ca="1">IF(B56&lt;=distribution!$D$2,distribution!$B$2,IF(B56&lt;=distribution!$D$3,distribution!$B$3,distribution!$B$4))</f>
        <v>BC</v>
      </c>
      <c r="D56">
        <f t="shared" ca="1" si="1"/>
        <v>0.50494788884394581</v>
      </c>
      <c r="E56" t="str">
        <f ca="1">IF(D56&lt;=distribution!$D$5,distribution!$B$5,distribution!$B$6)</f>
        <v>A</v>
      </c>
      <c r="F56">
        <f t="shared" ca="1" si="2"/>
        <v>0.19655256139242117</v>
      </c>
      <c r="G56" t="str">
        <f ca="1">IF(F56&lt;=distribution!$D$7,distribution!$B$7,IF(F56&lt;=distribution!$D$8,distribution!$B$8,IF(F56&lt;=distribution!$D$9,distribution!$B$9,distribution!$B$10)))</f>
        <v>25-34</v>
      </c>
      <c r="H56">
        <f ca="1">VLOOKUP(G56,age_band!$A$1:$C$5,2,FALSE)</f>
        <v>25</v>
      </c>
      <c r="I56">
        <f ca="1">VLOOKUP(G56,age_band!$A$2:$C$5,3,FALSE)</f>
        <v>34</v>
      </c>
      <c r="J56">
        <f t="shared" ca="1" si="3"/>
        <v>28</v>
      </c>
      <c r="K56">
        <f t="shared" ca="1" si="4"/>
        <v>0.26932707541932743</v>
      </c>
      <c r="L56" t="str">
        <f ca="1">IF(K56&lt;=distribution!$D$11,distribution!$B$11,distribution!$B$12)</f>
        <v>N</v>
      </c>
      <c r="M56">
        <f t="shared" ca="1" si="5"/>
        <v>58840</v>
      </c>
      <c r="N56">
        <f t="shared" ca="1" si="6"/>
        <v>58840</v>
      </c>
    </row>
    <row r="57" spans="1:14" x14ac:dyDescent="0.45">
      <c r="A57">
        <f t="shared" si="7"/>
        <v>56</v>
      </c>
      <c r="B57">
        <f t="shared" ca="1" si="0"/>
        <v>0.36741484736283037</v>
      </c>
      <c r="C57" t="str">
        <f ca="1">IF(B57&lt;=distribution!$D$2,distribution!$B$2,IF(B57&lt;=distribution!$D$3,distribution!$B$3,distribution!$B$4))</f>
        <v>ON</v>
      </c>
      <c r="D57">
        <f t="shared" ca="1" si="1"/>
        <v>0.4003853652023337</v>
      </c>
      <c r="E57" t="str">
        <f ca="1">IF(D57&lt;=distribution!$D$5,distribution!$B$5,distribution!$B$6)</f>
        <v>A</v>
      </c>
      <c r="F57">
        <f t="shared" ca="1" si="2"/>
        <v>0.14258999490355995</v>
      </c>
      <c r="G57" t="str">
        <f ca="1">IF(F57&lt;=distribution!$D$7,distribution!$B$7,IF(F57&lt;=distribution!$D$8,distribution!$B$8,IF(F57&lt;=distribution!$D$9,distribution!$B$9,distribution!$B$10)))</f>
        <v>25-34</v>
      </c>
      <c r="H57">
        <f ca="1">VLOOKUP(G57,age_band!$A$1:$C$5,2,FALSE)</f>
        <v>25</v>
      </c>
      <c r="I57">
        <f ca="1">VLOOKUP(G57,age_band!$A$2:$C$5,3,FALSE)</f>
        <v>34</v>
      </c>
      <c r="J57">
        <f t="shared" ca="1" si="3"/>
        <v>28</v>
      </c>
      <c r="K57">
        <f t="shared" ca="1" si="4"/>
        <v>0.88160714759749914</v>
      </c>
      <c r="L57" t="str">
        <f ca="1">IF(K57&lt;=distribution!$D$11,distribution!$B$11,distribution!$B$12)</f>
        <v>Y</v>
      </c>
      <c r="M57">
        <f t="shared" ca="1" si="5"/>
        <v>96152</v>
      </c>
      <c r="N57">
        <f t="shared" ca="1" si="6"/>
        <v>96152</v>
      </c>
    </row>
    <row r="58" spans="1:14" x14ac:dyDescent="0.45">
      <c r="A58">
        <f t="shared" si="7"/>
        <v>57</v>
      </c>
      <c r="B58">
        <f t="shared" ca="1" si="0"/>
        <v>0.72208035158644301</v>
      </c>
      <c r="C58" t="str">
        <f ca="1">IF(B58&lt;=distribution!$D$2,distribution!$B$2,IF(B58&lt;=distribution!$D$3,distribution!$B$3,distribution!$B$4))</f>
        <v>QC</v>
      </c>
      <c r="D58">
        <f t="shared" ca="1" si="1"/>
        <v>0.25474080287856837</v>
      </c>
      <c r="E58" t="str">
        <f ca="1">IF(D58&lt;=distribution!$D$5,distribution!$B$5,distribution!$B$6)</f>
        <v>A</v>
      </c>
      <c r="F58">
        <f t="shared" ca="1" si="2"/>
        <v>0.65969714764728993</v>
      </c>
      <c r="G58" t="str">
        <f ca="1">IF(F58&lt;=distribution!$D$7,distribution!$B$7,IF(F58&lt;=distribution!$D$8,distribution!$B$8,IF(F58&lt;=distribution!$D$9,distribution!$B$9,distribution!$B$10)))</f>
        <v>45-54</v>
      </c>
      <c r="H58">
        <f ca="1">VLOOKUP(G58,age_band!$A$1:$C$5,2,FALSE)</f>
        <v>45</v>
      </c>
      <c r="I58">
        <f ca="1">VLOOKUP(G58,age_band!$A$2:$C$5,3,FALSE)</f>
        <v>54</v>
      </c>
      <c r="J58">
        <f t="shared" ca="1" si="3"/>
        <v>47</v>
      </c>
      <c r="K58">
        <f t="shared" ca="1" si="4"/>
        <v>0.38319615961105058</v>
      </c>
      <c r="L58" t="str">
        <f ca="1">IF(K58&lt;=distribution!$D$11,distribution!$B$11,distribution!$B$12)</f>
        <v>N</v>
      </c>
      <c r="M58">
        <f t="shared" ca="1" si="5"/>
        <v>51908</v>
      </c>
      <c r="N58">
        <f t="shared" ca="1" si="6"/>
        <v>51908</v>
      </c>
    </row>
    <row r="59" spans="1:14" x14ac:dyDescent="0.45">
      <c r="A59">
        <f t="shared" si="7"/>
        <v>58</v>
      </c>
      <c r="B59">
        <f t="shared" ca="1" si="0"/>
        <v>0.38811342776573721</v>
      </c>
      <c r="C59" t="str">
        <f ca="1">IF(B59&lt;=distribution!$D$2,distribution!$B$2,IF(B59&lt;=distribution!$D$3,distribution!$B$3,distribution!$B$4))</f>
        <v>ON</v>
      </c>
      <c r="D59">
        <f t="shared" ca="1" si="1"/>
        <v>0.88530991547801097</v>
      </c>
      <c r="E59" t="str">
        <f ca="1">IF(D59&lt;=distribution!$D$5,distribution!$B$5,distribution!$B$6)</f>
        <v>B</v>
      </c>
      <c r="F59">
        <f t="shared" ca="1" si="2"/>
        <v>0.93681597155480234</v>
      </c>
      <c r="G59" t="str">
        <f ca="1">IF(F59&lt;=distribution!$D$7,distribution!$B$7,IF(F59&lt;=distribution!$D$8,distribution!$B$8,IF(F59&lt;=distribution!$D$9,distribution!$B$9,distribution!$B$10)))</f>
        <v>55-64</v>
      </c>
      <c r="H59">
        <f ca="1">VLOOKUP(G59,age_band!$A$1:$C$5,2,FALSE)</f>
        <v>55</v>
      </c>
      <c r="I59">
        <f ca="1">VLOOKUP(G59,age_band!$A$2:$C$5,3,FALSE)</f>
        <v>64</v>
      </c>
      <c r="J59">
        <f t="shared" ca="1" si="3"/>
        <v>61</v>
      </c>
      <c r="K59">
        <f t="shared" ca="1" si="4"/>
        <v>0.3424634489376629</v>
      </c>
      <c r="L59" t="str">
        <f ca="1">IF(K59&lt;=distribution!$D$11,distribution!$B$11,distribution!$B$12)</f>
        <v>N</v>
      </c>
      <c r="M59">
        <f t="shared" ca="1" si="5"/>
        <v>68277</v>
      </c>
      <c r="N59">
        <f t="shared" ca="1" si="6"/>
        <v>68277</v>
      </c>
    </row>
    <row r="60" spans="1:14" x14ac:dyDescent="0.45">
      <c r="A60">
        <f t="shared" si="7"/>
        <v>59</v>
      </c>
      <c r="B60">
        <f t="shared" ca="1" si="0"/>
        <v>0.36832168915513763</v>
      </c>
      <c r="C60" t="str">
        <f ca="1">IF(B60&lt;=distribution!$D$2,distribution!$B$2,IF(B60&lt;=distribution!$D$3,distribution!$B$3,distribution!$B$4))</f>
        <v>ON</v>
      </c>
      <c r="D60">
        <f t="shared" ca="1" si="1"/>
        <v>0.30473341058789727</v>
      </c>
      <c r="E60" t="str">
        <f ca="1">IF(D60&lt;=distribution!$D$5,distribution!$B$5,distribution!$B$6)</f>
        <v>A</v>
      </c>
      <c r="F60">
        <f t="shared" ca="1" si="2"/>
        <v>0.20537987059112961</v>
      </c>
      <c r="G60" t="str">
        <f ca="1">IF(F60&lt;=distribution!$D$7,distribution!$B$7,IF(F60&lt;=distribution!$D$8,distribution!$B$8,IF(F60&lt;=distribution!$D$9,distribution!$B$9,distribution!$B$10)))</f>
        <v>25-34</v>
      </c>
      <c r="H60">
        <f ca="1">VLOOKUP(G60,age_band!$A$1:$C$5,2,FALSE)</f>
        <v>25</v>
      </c>
      <c r="I60">
        <f ca="1">VLOOKUP(G60,age_band!$A$2:$C$5,3,FALSE)</f>
        <v>34</v>
      </c>
      <c r="J60">
        <f t="shared" ca="1" si="3"/>
        <v>25</v>
      </c>
      <c r="K60">
        <f t="shared" ca="1" si="4"/>
        <v>0.29743119154563102</v>
      </c>
      <c r="L60" t="str">
        <f ca="1">IF(K60&lt;=distribution!$D$11,distribution!$B$11,distribution!$B$12)</f>
        <v>N</v>
      </c>
      <c r="M60">
        <f t="shared" ca="1" si="5"/>
        <v>121670</v>
      </c>
      <c r="N60">
        <f t="shared" ca="1" si="6"/>
        <v>121670</v>
      </c>
    </row>
    <row r="61" spans="1:14" x14ac:dyDescent="0.45">
      <c r="A61">
        <f t="shared" si="7"/>
        <v>60</v>
      </c>
      <c r="B61">
        <f t="shared" ca="1" si="0"/>
        <v>3.8451477289757952E-2</v>
      </c>
      <c r="C61" t="str">
        <f ca="1">IF(B61&lt;=distribution!$D$2,distribution!$B$2,IF(B61&lt;=distribution!$D$3,distribution!$B$3,distribution!$B$4))</f>
        <v>ON</v>
      </c>
      <c r="D61">
        <f t="shared" ca="1" si="1"/>
        <v>0.21026099815298882</v>
      </c>
      <c r="E61" t="str">
        <f ca="1">IF(D61&lt;=distribution!$D$5,distribution!$B$5,distribution!$B$6)</f>
        <v>A</v>
      </c>
      <c r="F61">
        <f t="shared" ca="1" si="2"/>
        <v>0.1274231876755898</v>
      </c>
      <c r="G61" t="str">
        <f ca="1">IF(F61&lt;=distribution!$D$7,distribution!$B$7,IF(F61&lt;=distribution!$D$8,distribution!$B$8,IF(F61&lt;=distribution!$D$9,distribution!$B$9,distribution!$B$10)))</f>
        <v>25-34</v>
      </c>
      <c r="H61">
        <f ca="1">VLOOKUP(G61,age_band!$A$1:$C$5,2,FALSE)</f>
        <v>25</v>
      </c>
      <c r="I61">
        <f ca="1">VLOOKUP(G61,age_band!$A$2:$C$5,3,FALSE)</f>
        <v>34</v>
      </c>
      <c r="J61">
        <f t="shared" ca="1" si="3"/>
        <v>33</v>
      </c>
      <c r="K61">
        <f t="shared" ca="1" si="4"/>
        <v>0.80561784731499975</v>
      </c>
      <c r="L61" t="str">
        <f ca="1">IF(K61&lt;=distribution!$D$11,distribution!$B$11,distribution!$B$12)</f>
        <v>N</v>
      </c>
      <c r="M61">
        <f t="shared" ca="1" si="5"/>
        <v>87145</v>
      </c>
      <c r="N61">
        <f t="shared" ca="1" si="6"/>
        <v>87145</v>
      </c>
    </row>
    <row r="62" spans="1:14" x14ac:dyDescent="0.45">
      <c r="A62">
        <f t="shared" si="7"/>
        <v>61</v>
      </c>
      <c r="B62">
        <f t="shared" ca="1" si="0"/>
        <v>0.86878456681178473</v>
      </c>
      <c r="C62" t="str">
        <f ca="1">IF(B62&lt;=distribution!$D$2,distribution!$B$2,IF(B62&lt;=distribution!$D$3,distribution!$B$3,distribution!$B$4))</f>
        <v>BC</v>
      </c>
      <c r="D62">
        <f t="shared" ca="1" si="1"/>
        <v>0.88030703386804543</v>
      </c>
      <c r="E62" t="str">
        <f ca="1">IF(D62&lt;=distribution!$D$5,distribution!$B$5,distribution!$B$6)</f>
        <v>B</v>
      </c>
      <c r="F62">
        <f t="shared" ca="1" si="2"/>
        <v>0.53127390613459202</v>
      </c>
      <c r="G62" t="str">
        <f ca="1">IF(F62&lt;=distribution!$D$7,distribution!$B$7,IF(F62&lt;=distribution!$D$8,distribution!$B$8,IF(F62&lt;=distribution!$D$9,distribution!$B$9,distribution!$B$10)))</f>
        <v>35-44</v>
      </c>
      <c r="H62">
        <f ca="1">VLOOKUP(G62,age_band!$A$1:$C$5,2,FALSE)</f>
        <v>35</v>
      </c>
      <c r="I62">
        <f ca="1">VLOOKUP(G62,age_band!$A$2:$C$5,3,FALSE)</f>
        <v>44</v>
      </c>
      <c r="J62">
        <f t="shared" ca="1" si="3"/>
        <v>38</v>
      </c>
      <c r="K62">
        <f t="shared" ca="1" si="4"/>
        <v>0.49031392636353288</v>
      </c>
      <c r="L62" t="str">
        <f ca="1">IF(K62&lt;=distribution!$D$11,distribution!$B$11,distribution!$B$12)</f>
        <v>N</v>
      </c>
      <c r="M62">
        <f t="shared" ca="1" si="5"/>
        <v>68613</v>
      </c>
      <c r="N62">
        <f t="shared" ca="1" si="6"/>
        <v>68613</v>
      </c>
    </row>
    <row r="63" spans="1:14" x14ac:dyDescent="0.45">
      <c r="A63">
        <f t="shared" si="7"/>
        <v>62</v>
      </c>
      <c r="B63">
        <f t="shared" ca="1" si="0"/>
        <v>0.11206434670633902</v>
      </c>
      <c r="C63" t="str">
        <f ca="1">IF(B63&lt;=distribution!$D$2,distribution!$B$2,IF(B63&lt;=distribution!$D$3,distribution!$B$3,distribution!$B$4))</f>
        <v>ON</v>
      </c>
      <c r="D63">
        <f t="shared" ca="1" si="1"/>
        <v>0.15137297817073514</v>
      </c>
      <c r="E63" t="str">
        <f ca="1">IF(D63&lt;=distribution!$D$5,distribution!$B$5,distribution!$B$6)</f>
        <v>A</v>
      </c>
      <c r="F63">
        <f t="shared" ca="1" si="2"/>
        <v>0.52683434523301564</v>
      </c>
      <c r="G63" t="str">
        <f ca="1">IF(F63&lt;=distribution!$D$7,distribution!$B$7,IF(F63&lt;=distribution!$D$8,distribution!$B$8,IF(F63&lt;=distribution!$D$9,distribution!$B$9,distribution!$B$10)))</f>
        <v>35-44</v>
      </c>
      <c r="H63">
        <f ca="1">VLOOKUP(G63,age_band!$A$1:$C$5,2,FALSE)</f>
        <v>35</v>
      </c>
      <c r="I63">
        <f ca="1">VLOOKUP(G63,age_band!$A$2:$C$5,3,FALSE)</f>
        <v>44</v>
      </c>
      <c r="J63">
        <f t="shared" ca="1" si="3"/>
        <v>40</v>
      </c>
      <c r="K63">
        <f t="shared" ca="1" si="4"/>
        <v>0.22119884404821311</v>
      </c>
      <c r="L63" t="str">
        <f ca="1">IF(K63&lt;=distribution!$D$11,distribution!$B$11,distribution!$B$12)</f>
        <v>N</v>
      </c>
      <c r="M63">
        <f t="shared" ca="1" si="5"/>
        <v>95746</v>
      </c>
      <c r="N63">
        <f t="shared" ca="1" si="6"/>
        <v>95746</v>
      </c>
    </row>
    <row r="64" spans="1:14" x14ac:dyDescent="0.45">
      <c r="A64">
        <f t="shared" si="7"/>
        <v>63</v>
      </c>
      <c r="B64">
        <f t="shared" ca="1" si="0"/>
        <v>0.64108740484907689</v>
      </c>
      <c r="C64" t="str">
        <f ca="1">IF(B64&lt;=distribution!$D$2,distribution!$B$2,IF(B64&lt;=distribution!$D$3,distribution!$B$3,distribution!$B$4))</f>
        <v>QC</v>
      </c>
      <c r="D64">
        <f t="shared" ca="1" si="1"/>
        <v>0.38565084660610993</v>
      </c>
      <c r="E64" t="str">
        <f ca="1">IF(D64&lt;=distribution!$D$5,distribution!$B$5,distribution!$B$6)</f>
        <v>A</v>
      </c>
      <c r="F64">
        <f t="shared" ca="1" si="2"/>
        <v>4.0982805053745741E-2</v>
      </c>
      <c r="G64" t="str">
        <f ca="1">IF(F64&lt;=distribution!$D$7,distribution!$B$7,IF(F64&lt;=distribution!$D$8,distribution!$B$8,IF(F64&lt;=distribution!$D$9,distribution!$B$9,distribution!$B$10)))</f>
        <v>25-34</v>
      </c>
      <c r="H64">
        <f ca="1">VLOOKUP(G64,age_band!$A$1:$C$5,2,FALSE)</f>
        <v>25</v>
      </c>
      <c r="I64">
        <f ca="1">VLOOKUP(G64,age_band!$A$2:$C$5,3,FALSE)</f>
        <v>34</v>
      </c>
      <c r="J64">
        <f t="shared" ca="1" si="3"/>
        <v>30</v>
      </c>
      <c r="K64">
        <f t="shared" ca="1" si="4"/>
        <v>3.7830968787925912E-2</v>
      </c>
      <c r="L64" t="str">
        <f ca="1">IF(K64&lt;=distribution!$D$11,distribution!$B$11,distribution!$B$12)</f>
        <v>N</v>
      </c>
      <c r="M64">
        <f t="shared" ca="1" si="5"/>
        <v>100604</v>
      </c>
      <c r="N64">
        <f t="shared" ca="1" si="6"/>
        <v>100604</v>
      </c>
    </row>
    <row r="65" spans="1:14" x14ac:dyDescent="0.45">
      <c r="A65">
        <f t="shared" si="7"/>
        <v>64</v>
      </c>
      <c r="B65">
        <f t="shared" ca="1" si="0"/>
        <v>0.6601071516728293</v>
      </c>
      <c r="C65" t="str">
        <f ca="1">IF(B65&lt;=distribution!$D$2,distribution!$B$2,IF(B65&lt;=distribution!$D$3,distribution!$B$3,distribution!$B$4))</f>
        <v>QC</v>
      </c>
      <c r="D65">
        <f t="shared" ca="1" si="1"/>
        <v>0.44034297468379491</v>
      </c>
      <c r="E65" t="str">
        <f ca="1">IF(D65&lt;=distribution!$D$5,distribution!$B$5,distribution!$B$6)</f>
        <v>A</v>
      </c>
      <c r="F65">
        <f t="shared" ca="1" si="2"/>
        <v>0.7738102562104423</v>
      </c>
      <c r="G65" t="str">
        <f ca="1">IF(F65&lt;=distribution!$D$7,distribution!$B$7,IF(F65&lt;=distribution!$D$8,distribution!$B$8,IF(F65&lt;=distribution!$D$9,distribution!$B$9,distribution!$B$10)))</f>
        <v>45-54</v>
      </c>
      <c r="H65">
        <f ca="1">VLOOKUP(G65,age_band!$A$1:$C$5,2,FALSE)</f>
        <v>45</v>
      </c>
      <c r="I65">
        <f ca="1">VLOOKUP(G65,age_band!$A$2:$C$5,3,FALSE)</f>
        <v>54</v>
      </c>
      <c r="J65">
        <f t="shared" ca="1" si="3"/>
        <v>47</v>
      </c>
      <c r="K65">
        <f t="shared" ca="1" si="4"/>
        <v>0.8416110884588428</v>
      </c>
      <c r="L65" t="str">
        <f ca="1">IF(K65&lt;=distribution!$D$11,distribution!$B$11,distribution!$B$12)</f>
        <v>N</v>
      </c>
      <c r="M65">
        <f t="shared" ca="1" si="5"/>
        <v>117044</v>
      </c>
      <c r="N65">
        <f t="shared" ca="1" si="6"/>
        <v>117044</v>
      </c>
    </row>
    <row r="66" spans="1:14" x14ac:dyDescent="0.45">
      <c r="A66">
        <f t="shared" si="7"/>
        <v>65</v>
      </c>
      <c r="B66">
        <f t="shared" ca="1" si="0"/>
        <v>0.64904406430110084</v>
      </c>
      <c r="C66" t="str">
        <f ca="1">IF(B66&lt;=distribution!$D$2,distribution!$B$2,IF(B66&lt;=distribution!$D$3,distribution!$B$3,distribution!$B$4))</f>
        <v>QC</v>
      </c>
      <c r="D66">
        <f t="shared" ca="1" si="1"/>
        <v>0.58046274453294644</v>
      </c>
      <c r="E66" t="str">
        <f ca="1">IF(D66&lt;=distribution!$D$5,distribution!$B$5,distribution!$B$6)</f>
        <v>A</v>
      </c>
      <c r="F66">
        <f t="shared" ca="1" si="2"/>
        <v>0.44452424096299648</v>
      </c>
      <c r="G66" t="str">
        <f ca="1">IF(F66&lt;=distribution!$D$7,distribution!$B$7,IF(F66&lt;=distribution!$D$8,distribution!$B$8,IF(F66&lt;=distribution!$D$9,distribution!$B$9,distribution!$B$10)))</f>
        <v>35-44</v>
      </c>
      <c r="H66">
        <f ca="1">VLOOKUP(G66,age_band!$A$1:$C$5,2,FALSE)</f>
        <v>35</v>
      </c>
      <c r="I66">
        <f ca="1">VLOOKUP(G66,age_band!$A$2:$C$5,3,FALSE)</f>
        <v>44</v>
      </c>
      <c r="J66">
        <f t="shared" ca="1" si="3"/>
        <v>38</v>
      </c>
      <c r="K66">
        <f t="shared" ca="1" si="4"/>
        <v>0.34127266526997946</v>
      </c>
      <c r="L66" t="str">
        <f ca="1">IF(K66&lt;=distribution!$D$11,distribution!$B$11,distribution!$B$12)</f>
        <v>N</v>
      </c>
      <c r="M66">
        <f t="shared" ca="1" si="5"/>
        <v>52798</v>
      </c>
      <c r="N66">
        <f t="shared" ca="1" si="6"/>
        <v>52798</v>
      </c>
    </row>
    <row r="67" spans="1:14" x14ac:dyDescent="0.45">
      <c r="A67">
        <f t="shared" si="7"/>
        <v>66</v>
      </c>
      <c r="B67">
        <f t="shared" ref="B67:B130" ca="1" si="8">RAND()</f>
        <v>0.60168665191388659</v>
      </c>
      <c r="C67" t="str">
        <f ca="1">IF(B67&lt;=distribution!$D$2,distribution!$B$2,IF(B67&lt;=distribution!$D$3,distribution!$B$3,distribution!$B$4))</f>
        <v>QC</v>
      </c>
      <c r="D67">
        <f t="shared" ref="D67:D130" ca="1" si="9">RAND()</f>
        <v>0.9826962101997172</v>
      </c>
      <c r="E67" t="str">
        <f ca="1">IF(D67&lt;=distribution!$D$5,distribution!$B$5,distribution!$B$6)</f>
        <v>B</v>
      </c>
      <c r="F67">
        <f t="shared" ref="F67:F130" ca="1" si="10">RAND()</f>
        <v>0.10003856549442203</v>
      </c>
      <c r="G67" t="str">
        <f ca="1">IF(F67&lt;=distribution!$D$7,distribution!$B$7,IF(F67&lt;=distribution!$D$8,distribution!$B$8,IF(F67&lt;=distribution!$D$9,distribution!$B$9,distribution!$B$10)))</f>
        <v>25-34</v>
      </c>
      <c r="H67">
        <f ca="1">VLOOKUP(G67,age_band!$A$1:$C$5,2,FALSE)</f>
        <v>25</v>
      </c>
      <c r="I67">
        <f ca="1">VLOOKUP(G67,age_band!$A$2:$C$5,3,FALSE)</f>
        <v>34</v>
      </c>
      <c r="J67">
        <f t="shared" ref="J67:J130" ca="1" si="11">RANDBETWEEN(H67,I67)</f>
        <v>31</v>
      </c>
      <c r="K67">
        <f t="shared" ref="K67:K130" ca="1" si="12">RAND()</f>
        <v>4.6814699745016952E-2</v>
      </c>
      <c r="L67" t="str">
        <f ca="1">IF(K67&lt;=distribution!$D$11,distribution!$B$11,distribution!$B$12)</f>
        <v>N</v>
      </c>
      <c r="M67">
        <f t="shared" ref="M67:M130" ca="1" si="13">IF(E67="A",RANDBETWEEN(50000,130000),RANDBETWEEN(45000,80000))</f>
        <v>79637</v>
      </c>
      <c r="N67">
        <f t="shared" ref="N67:N130" ca="1" si="14">MIN(M67*1,200000)</f>
        <v>79637</v>
      </c>
    </row>
    <row r="68" spans="1:14" x14ac:dyDescent="0.45">
      <c r="A68">
        <f t="shared" ref="A68:A131" si="15">A67+1</f>
        <v>67</v>
      </c>
      <c r="B68">
        <f t="shared" ca="1" si="8"/>
        <v>3.5296958008585899E-2</v>
      </c>
      <c r="C68" t="str">
        <f ca="1">IF(B68&lt;=distribution!$D$2,distribution!$B$2,IF(B68&lt;=distribution!$D$3,distribution!$B$3,distribution!$B$4))</f>
        <v>ON</v>
      </c>
      <c r="D68">
        <f t="shared" ca="1" si="9"/>
        <v>0.55420524655014547</v>
      </c>
      <c r="E68" t="str">
        <f ca="1">IF(D68&lt;=distribution!$D$5,distribution!$B$5,distribution!$B$6)</f>
        <v>A</v>
      </c>
      <c r="F68">
        <f t="shared" ca="1" si="10"/>
        <v>0.96359340480936395</v>
      </c>
      <c r="G68" t="str">
        <f ca="1">IF(F68&lt;=distribution!$D$7,distribution!$B$7,IF(F68&lt;=distribution!$D$8,distribution!$B$8,IF(F68&lt;=distribution!$D$9,distribution!$B$9,distribution!$B$10)))</f>
        <v>55-64</v>
      </c>
      <c r="H68">
        <f ca="1">VLOOKUP(G68,age_band!$A$1:$C$5,2,FALSE)</f>
        <v>55</v>
      </c>
      <c r="I68">
        <f ca="1">VLOOKUP(G68,age_band!$A$2:$C$5,3,FALSE)</f>
        <v>64</v>
      </c>
      <c r="J68">
        <f t="shared" ca="1" si="11"/>
        <v>60</v>
      </c>
      <c r="K68">
        <f t="shared" ca="1" si="12"/>
        <v>0.84787189237915661</v>
      </c>
      <c r="L68" t="str">
        <f ca="1">IF(K68&lt;=distribution!$D$11,distribution!$B$11,distribution!$B$12)</f>
        <v>N</v>
      </c>
      <c r="M68">
        <f t="shared" ca="1" si="13"/>
        <v>107192</v>
      </c>
      <c r="N68">
        <f t="shared" ca="1" si="14"/>
        <v>107192</v>
      </c>
    </row>
    <row r="69" spans="1:14" x14ac:dyDescent="0.45">
      <c r="A69">
        <f t="shared" si="15"/>
        <v>68</v>
      </c>
      <c r="B69">
        <f t="shared" ca="1" si="8"/>
        <v>0.60712975613067133</v>
      </c>
      <c r="C69" t="str">
        <f ca="1">IF(B69&lt;=distribution!$D$2,distribution!$B$2,IF(B69&lt;=distribution!$D$3,distribution!$B$3,distribution!$B$4))</f>
        <v>QC</v>
      </c>
      <c r="D69">
        <f t="shared" ca="1" si="9"/>
        <v>0.66780258640807566</v>
      </c>
      <c r="E69" t="str">
        <f ca="1">IF(D69&lt;=distribution!$D$5,distribution!$B$5,distribution!$B$6)</f>
        <v>B</v>
      </c>
      <c r="F69">
        <f t="shared" ca="1" si="10"/>
        <v>8.329971983240303E-2</v>
      </c>
      <c r="G69" t="str">
        <f ca="1">IF(F69&lt;=distribution!$D$7,distribution!$B$7,IF(F69&lt;=distribution!$D$8,distribution!$B$8,IF(F69&lt;=distribution!$D$9,distribution!$B$9,distribution!$B$10)))</f>
        <v>25-34</v>
      </c>
      <c r="H69">
        <f ca="1">VLOOKUP(G69,age_band!$A$1:$C$5,2,FALSE)</f>
        <v>25</v>
      </c>
      <c r="I69">
        <f ca="1">VLOOKUP(G69,age_band!$A$2:$C$5,3,FALSE)</f>
        <v>34</v>
      </c>
      <c r="J69">
        <f t="shared" ca="1" si="11"/>
        <v>27</v>
      </c>
      <c r="K69">
        <f t="shared" ca="1" si="12"/>
        <v>0.67884204120272018</v>
      </c>
      <c r="L69" t="str">
        <f ca="1">IF(K69&lt;=distribution!$D$11,distribution!$B$11,distribution!$B$12)</f>
        <v>N</v>
      </c>
      <c r="M69">
        <f t="shared" ca="1" si="13"/>
        <v>72463</v>
      </c>
      <c r="N69">
        <f t="shared" ca="1" si="14"/>
        <v>72463</v>
      </c>
    </row>
    <row r="70" spans="1:14" x14ac:dyDescent="0.45">
      <c r="A70">
        <f t="shared" si="15"/>
        <v>69</v>
      </c>
      <c r="B70">
        <f t="shared" ca="1" si="8"/>
        <v>0.38449436807694948</v>
      </c>
      <c r="C70" t="str">
        <f ca="1">IF(B70&lt;=distribution!$D$2,distribution!$B$2,IF(B70&lt;=distribution!$D$3,distribution!$B$3,distribution!$B$4))</f>
        <v>ON</v>
      </c>
      <c r="D70">
        <f t="shared" ca="1" si="9"/>
        <v>0.5955131786746285</v>
      </c>
      <c r="E70" t="str">
        <f ca="1">IF(D70&lt;=distribution!$D$5,distribution!$B$5,distribution!$B$6)</f>
        <v>A</v>
      </c>
      <c r="F70">
        <f t="shared" ca="1" si="10"/>
        <v>5.2281261005273638E-3</v>
      </c>
      <c r="G70" t="str">
        <f ca="1">IF(F70&lt;=distribution!$D$7,distribution!$B$7,IF(F70&lt;=distribution!$D$8,distribution!$B$8,IF(F70&lt;=distribution!$D$9,distribution!$B$9,distribution!$B$10)))</f>
        <v>25-34</v>
      </c>
      <c r="H70">
        <f ca="1">VLOOKUP(G70,age_band!$A$1:$C$5,2,FALSE)</f>
        <v>25</v>
      </c>
      <c r="I70">
        <f ca="1">VLOOKUP(G70,age_band!$A$2:$C$5,3,FALSE)</f>
        <v>34</v>
      </c>
      <c r="J70">
        <f t="shared" ca="1" si="11"/>
        <v>32</v>
      </c>
      <c r="K70">
        <f t="shared" ca="1" si="12"/>
        <v>0.30995056431764312</v>
      </c>
      <c r="L70" t="str">
        <f ca="1">IF(K70&lt;=distribution!$D$11,distribution!$B$11,distribution!$B$12)</f>
        <v>N</v>
      </c>
      <c r="M70">
        <f t="shared" ca="1" si="13"/>
        <v>119278</v>
      </c>
      <c r="N70">
        <f t="shared" ca="1" si="14"/>
        <v>119278</v>
      </c>
    </row>
    <row r="71" spans="1:14" x14ac:dyDescent="0.45">
      <c r="A71">
        <f t="shared" si="15"/>
        <v>70</v>
      </c>
      <c r="B71">
        <f t="shared" ca="1" si="8"/>
        <v>0.6524972956248305</v>
      </c>
      <c r="C71" t="str">
        <f ca="1">IF(B71&lt;=distribution!$D$2,distribution!$B$2,IF(B71&lt;=distribution!$D$3,distribution!$B$3,distribution!$B$4))</f>
        <v>QC</v>
      </c>
      <c r="D71">
        <f t="shared" ca="1" si="9"/>
        <v>7.15312303962653E-2</v>
      </c>
      <c r="E71" t="str">
        <f ca="1">IF(D71&lt;=distribution!$D$5,distribution!$B$5,distribution!$B$6)</f>
        <v>A</v>
      </c>
      <c r="F71">
        <f t="shared" ca="1" si="10"/>
        <v>0.4403209552949402</v>
      </c>
      <c r="G71" t="str">
        <f ca="1">IF(F71&lt;=distribution!$D$7,distribution!$B$7,IF(F71&lt;=distribution!$D$8,distribution!$B$8,IF(F71&lt;=distribution!$D$9,distribution!$B$9,distribution!$B$10)))</f>
        <v>35-44</v>
      </c>
      <c r="H71">
        <f ca="1">VLOOKUP(G71,age_band!$A$1:$C$5,2,FALSE)</f>
        <v>35</v>
      </c>
      <c r="I71">
        <f ca="1">VLOOKUP(G71,age_band!$A$2:$C$5,3,FALSE)</f>
        <v>44</v>
      </c>
      <c r="J71">
        <f t="shared" ca="1" si="11"/>
        <v>42</v>
      </c>
      <c r="K71">
        <f t="shared" ca="1" si="12"/>
        <v>0.53868643457735021</v>
      </c>
      <c r="L71" t="str">
        <f ca="1">IF(K71&lt;=distribution!$D$11,distribution!$B$11,distribution!$B$12)</f>
        <v>N</v>
      </c>
      <c r="M71">
        <f t="shared" ca="1" si="13"/>
        <v>110011</v>
      </c>
      <c r="N71">
        <f t="shared" ca="1" si="14"/>
        <v>110011</v>
      </c>
    </row>
    <row r="72" spans="1:14" x14ac:dyDescent="0.45">
      <c r="A72">
        <f t="shared" si="15"/>
        <v>71</v>
      </c>
      <c r="B72">
        <f t="shared" ca="1" si="8"/>
        <v>0.56751691592795672</v>
      </c>
      <c r="C72" t="str">
        <f ca="1">IF(B72&lt;=distribution!$D$2,distribution!$B$2,IF(B72&lt;=distribution!$D$3,distribution!$B$3,distribution!$B$4))</f>
        <v>QC</v>
      </c>
      <c r="D72">
        <f t="shared" ca="1" si="9"/>
        <v>0.80216210142320254</v>
      </c>
      <c r="E72" t="str">
        <f ca="1">IF(D72&lt;=distribution!$D$5,distribution!$B$5,distribution!$B$6)</f>
        <v>B</v>
      </c>
      <c r="F72">
        <f t="shared" ca="1" si="10"/>
        <v>0.66683976488246799</v>
      </c>
      <c r="G72" t="str">
        <f ca="1">IF(F72&lt;=distribution!$D$7,distribution!$B$7,IF(F72&lt;=distribution!$D$8,distribution!$B$8,IF(F72&lt;=distribution!$D$9,distribution!$B$9,distribution!$B$10)))</f>
        <v>45-54</v>
      </c>
      <c r="H72">
        <f ca="1">VLOOKUP(G72,age_band!$A$1:$C$5,2,FALSE)</f>
        <v>45</v>
      </c>
      <c r="I72">
        <f ca="1">VLOOKUP(G72,age_band!$A$2:$C$5,3,FALSE)</f>
        <v>54</v>
      </c>
      <c r="J72">
        <f t="shared" ca="1" si="11"/>
        <v>54</v>
      </c>
      <c r="K72">
        <f t="shared" ca="1" si="12"/>
        <v>0.64875075119072356</v>
      </c>
      <c r="L72" t="str">
        <f ca="1">IF(K72&lt;=distribution!$D$11,distribution!$B$11,distribution!$B$12)</f>
        <v>N</v>
      </c>
      <c r="M72">
        <f t="shared" ca="1" si="13"/>
        <v>67771</v>
      </c>
      <c r="N72">
        <f t="shared" ca="1" si="14"/>
        <v>67771</v>
      </c>
    </row>
    <row r="73" spans="1:14" x14ac:dyDescent="0.45">
      <c r="A73">
        <f t="shared" si="15"/>
        <v>72</v>
      </c>
      <c r="B73">
        <f t="shared" ca="1" si="8"/>
        <v>1.2968787136350857E-2</v>
      </c>
      <c r="C73" t="str">
        <f ca="1">IF(B73&lt;=distribution!$D$2,distribution!$B$2,IF(B73&lt;=distribution!$D$3,distribution!$B$3,distribution!$B$4))</f>
        <v>ON</v>
      </c>
      <c r="D73">
        <f t="shared" ca="1" si="9"/>
        <v>0.49784754919166663</v>
      </c>
      <c r="E73" t="str">
        <f ca="1">IF(D73&lt;=distribution!$D$5,distribution!$B$5,distribution!$B$6)</f>
        <v>A</v>
      </c>
      <c r="F73">
        <f t="shared" ca="1" si="10"/>
        <v>0.73207533044817252</v>
      </c>
      <c r="G73" t="str">
        <f ca="1">IF(F73&lt;=distribution!$D$7,distribution!$B$7,IF(F73&lt;=distribution!$D$8,distribution!$B$8,IF(F73&lt;=distribution!$D$9,distribution!$B$9,distribution!$B$10)))</f>
        <v>45-54</v>
      </c>
      <c r="H73">
        <f ca="1">VLOOKUP(G73,age_band!$A$1:$C$5,2,FALSE)</f>
        <v>45</v>
      </c>
      <c r="I73">
        <f ca="1">VLOOKUP(G73,age_band!$A$2:$C$5,3,FALSE)</f>
        <v>54</v>
      </c>
      <c r="J73">
        <f t="shared" ca="1" si="11"/>
        <v>50</v>
      </c>
      <c r="K73">
        <f t="shared" ca="1" si="12"/>
        <v>0.48967117901969037</v>
      </c>
      <c r="L73" t="str">
        <f ca="1">IF(K73&lt;=distribution!$D$11,distribution!$B$11,distribution!$B$12)</f>
        <v>N</v>
      </c>
      <c r="M73">
        <f t="shared" ca="1" si="13"/>
        <v>109195</v>
      </c>
      <c r="N73">
        <f t="shared" ca="1" si="14"/>
        <v>109195</v>
      </c>
    </row>
    <row r="74" spans="1:14" x14ac:dyDescent="0.45">
      <c r="A74">
        <f t="shared" si="15"/>
        <v>73</v>
      </c>
      <c r="B74">
        <f t="shared" ca="1" si="8"/>
        <v>0.73369127465735917</v>
      </c>
      <c r="C74" t="str">
        <f ca="1">IF(B74&lt;=distribution!$D$2,distribution!$B$2,IF(B74&lt;=distribution!$D$3,distribution!$B$3,distribution!$B$4))</f>
        <v>QC</v>
      </c>
      <c r="D74">
        <f t="shared" ca="1" si="9"/>
        <v>0.2283583085248333</v>
      </c>
      <c r="E74" t="str">
        <f ca="1">IF(D74&lt;=distribution!$D$5,distribution!$B$5,distribution!$B$6)</f>
        <v>A</v>
      </c>
      <c r="F74">
        <f t="shared" ca="1" si="10"/>
        <v>0.35889623112933933</v>
      </c>
      <c r="G74" t="str">
        <f ca="1">IF(F74&lt;=distribution!$D$7,distribution!$B$7,IF(F74&lt;=distribution!$D$8,distribution!$B$8,IF(F74&lt;=distribution!$D$9,distribution!$B$9,distribution!$B$10)))</f>
        <v>35-44</v>
      </c>
      <c r="H74">
        <f ca="1">VLOOKUP(G74,age_band!$A$1:$C$5,2,FALSE)</f>
        <v>35</v>
      </c>
      <c r="I74">
        <f ca="1">VLOOKUP(G74,age_band!$A$2:$C$5,3,FALSE)</f>
        <v>44</v>
      </c>
      <c r="J74">
        <f t="shared" ca="1" si="11"/>
        <v>37</v>
      </c>
      <c r="K74">
        <f t="shared" ca="1" si="12"/>
        <v>5.453709064707446E-2</v>
      </c>
      <c r="L74" t="str">
        <f ca="1">IF(K74&lt;=distribution!$D$11,distribution!$B$11,distribution!$B$12)</f>
        <v>N</v>
      </c>
      <c r="M74">
        <f t="shared" ca="1" si="13"/>
        <v>88217</v>
      </c>
      <c r="N74">
        <f t="shared" ca="1" si="14"/>
        <v>88217</v>
      </c>
    </row>
    <row r="75" spans="1:14" x14ac:dyDescent="0.45">
      <c r="A75">
        <f t="shared" si="15"/>
        <v>74</v>
      </c>
      <c r="B75">
        <f t="shared" ca="1" si="8"/>
        <v>0.3598979854917157</v>
      </c>
      <c r="C75" t="str">
        <f ca="1">IF(B75&lt;=distribution!$D$2,distribution!$B$2,IF(B75&lt;=distribution!$D$3,distribution!$B$3,distribution!$B$4))</f>
        <v>ON</v>
      </c>
      <c r="D75">
        <f t="shared" ca="1" si="9"/>
        <v>0.96253095860402094</v>
      </c>
      <c r="E75" t="str">
        <f ca="1">IF(D75&lt;=distribution!$D$5,distribution!$B$5,distribution!$B$6)</f>
        <v>B</v>
      </c>
      <c r="F75">
        <f t="shared" ca="1" si="10"/>
        <v>0.27264848140629261</v>
      </c>
      <c r="G75" t="str">
        <f ca="1">IF(F75&lt;=distribution!$D$7,distribution!$B$7,IF(F75&lt;=distribution!$D$8,distribution!$B$8,IF(F75&lt;=distribution!$D$9,distribution!$B$9,distribution!$B$10)))</f>
        <v>35-44</v>
      </c>
      <c r="H75">
        <f ca="1">VLOOKUP(G75,age_band!$A$1:$C$5,2,FALSE)</f>
        <v>35</v>
      </c>
      <c r="I75">
        <f ca="1">VLOOKUP(G75,age_band!$A$2:$C$5,3,FALSE)</f>
        <v>44</v>
      </c>
      <c r="J75">
        <f t="shared" ca="1" si="11"/>
        <v>43</v>
      </c>
      <c r="K75">
        <f t="shared" ca="1" si="12"/>
        <v>0.82476340680449256</v>
      </c>
      <c r="L75" t="str">
        <f ca="1">IF(K75&lt;=distribution!$D$11,distribution!$B$11,distribution!$B$12)</f>
        <v>N</v>
      </c>
      <c r="M75">
        <f t="shared" ca="1" si="13"/>
        <v>77795</v>
      </c>
      <c r="N75">
        <f t="shared" ca="1" si="14"/>
        <v>77795</v>
      </c>
    </row>
    <row r="76" spans="1:14" x14ac:dyDescent="0.45">
      <c r="A76">
        <f t="shared" si="15"/>
        <v>75</v>
      </c>
      <c r="B76">
        <f t="shared" ca="1" si="8"/>
        <v>0.50514242268966425</v>
      </c>
      <c r="C76" t="str">
        <f ca="1">IF(B76&lt;=distribution!$D$2,distribution!$B$2,IF(B76&lt;=distribution!$D$3,distribution!$B$3,distribution!$B$4))</f>
        <v>ON</v>
      </c>
      <c r="D76">
        <f t="shared" ca="1" si="9"/>
        <v>0.31684418192351249</v>
      </c>
      <c r="E76" t="str">
        <f ca="1">IF(D76&lt;=distribution!$D$5,distribution!$B$5,distribution!$B$6)</f>
        <v>A</v>
      </c>
      <c r="F76">
        <f t="shared" ca="1" si="10"/>
        <v>0.78629914665762846</v>
      </c>
      <c r="G76" t="str">
        <f ca="1">IF(F76&lt;=distribution!$D$7,distribution!$B$7,IF(F76&lt;=distribution!$D$8,distribution!$B$8,IF(F76&lt;=distribution!$D$9,distribution!$B$9,distribution!$B$10)))</f>
        <v>45-54</v>
      </c>
      <c r="H76">
        <f ca="1">VLOOKUP(G76,age_band!$A$1:$C$5,2,FALSE)</f>
        <v>45</v>
      </c>
      <c r="I76">
        <f ca="1">VLOOKUP(G76,age_band!$A$2:$C$5,3,FALSE)</f>
        <v>54</v>
      </c>
      <c r="J76">
        <f t="shared" ca="1" si="11"/>
        <v>48</v>
      </c>
      <c r="K76">
        <f t="shared" ca="1" si="12"/>
        <v>0.43847489413256169</v>
      </c>
      <c r="L76" t="str">
        <f ca="1">IF(K76&lt;=distribution!$D$11,distribution!$B$11,distribution!$B$12)</f>
        <v>N</v>
      </c>
      <c r="M76">
        <f t="shared" ca="1" si="13"/>
        <v>91506</v>
      </c>
      <c r="N76">
        <f t="shared" ca="1" si="14"/>
        <v>91506</v>
      </c>
    </row>
    <row r="77" spans="1:14" x14ac:dyDescent="0.45">
      <c r="A77">
        <f t="shared" si="15"/>
        <v>76</v>
      </c>
      <c r="B77">
        <f t="shared" ca="1" si="8"/>
        <v>0.84378652742825011</v>
      </c>
      <c r="C77" t="str">
        <f ca="1">IF(B77&lt;=distribution!$D$2,distribution!$B$2,IF(B77&lt;=distribution!$D$3,distribution!$B$3,distribution!$B$4))</f>
        <v>BC</v>
      </c>
      <c r="D77">
        <f t="shared" ca="1" si="9"/>
        <v>0.21705354090820284</v>
      </c>
      <c r="E77" t="str">
        <f ca="1">IF(D77&lt;=distribution!$D$5,distribution!$B$5,distribution!$B$6)</f>
        <v>A</v>
      </c>
      <c r="F77">
        <f t="shared" ca="1" si="10"/>
        <v>2.8936461796496005E-3</v>
      </c>
      <c r="G77" t="str">
        <f ca="1">IF(F77&lt;=distribution!$D$7,distribution!$B$7,IF(F77&lt;=distribution!$D$8,distribution!$B$8,IF(F77&lt;=distribution!$D$9,distribution!$B$9,distribution!$B$10)))</f>
        <v>25-34</v>
      </c>
      <c r="H77">
        <f ca="1">VLOOKUP(G77,age_band!$A$1:$C$5,2,FALSE)</f>
        <v>25</v>
      </c>
      <c r="I77">
        <f ca="1">VLOOKUP(G77,age_band!$A$2:$C$5,3,FALSE)</f>
        <v>34</v>
      </c>
      <c r="J77">
        <f t="shared" ca="1" si="11"/>
        <v>25</v>
      </c>
      <c r="K77">
        <f t="shared" ca="1" si="12"/>
        <v>0.60902801123411621</v>
      </c>
      <c r="L77" t="str">
        <f ca="1">IF(K77&lt;=distribution!$D$11,distribution!$B$11,distribution!$B$12)</f>
        <v>N</v>
      </c>
      <c r="M77">
        <f t="shared" ca="1" si="13"/>
        <v>65764</v>
      </c>
      <c r="N77">
        <f t="shared" ca="1" si="14"/>
        <v>65764</v>
      </c>
    </row>
    <row r="78" spans="1:14" x14ac:dyDescent="0.45">
      <c r="A78">
        <f t="shared" si="15"/>
        <v>77</v>
      </c>
      <c r="B78">
        <f t="shared" ca="1" si="8"/>
        <v>0.50446760980771388</v>
      </c>
      <c r="C78" t="str">
        <f ca="1">IF(B78&lt;=distribution!$D$2,distribution!$B$2,IF(B78&lt;=distribution!$D$3,distribution!$B$3,distribution!$B$4))</f>
        <v>ON</v>
      </c>
      <c r="D78">
        <f t="shared" ca="1" si="9"/>
        <v>8.8490042812299552E-2</v>
      </c>
      <c r="E78" t="str">
        <f ca="1">IF(D78&lt;=distribution!$D$5,distribution!$B$5,distribution!$B$6)</f>
        <v>A</v>
      </c>
      <c r="F78">
        <f t="shared" ca="1" si="10"/>
        <v>0.19442519983500961</v>
      </c>
      <c r="G78" t="str">
        <f ca="1">IF(F78&lt;=distribution!$D$7,distribution!$B$7,IF(F78&lt;=distribution!$D$8,distribution!$B$8,IF(F78&lt;=distribution!$D$9,distribution!$B$9,distribution!$B$10)))</f>
        <v>25-34</v>
      </c>
      <c r="H78">
        <f ca="1">VLOOKUP(G78,age_band!$A$1:$C$5,2,FALSE)</f>
        <v>25</v>
      </c>
      <c r="I78">
        <f ca="1">VLOOKUP(G78,age_band!$A$2:$C$5,3,FALSE)</f>
        <v>34</v>
      </c>
      <c r="J78">
        <f t="shared" ca="1" si="11"/>
        <v>30</v>
      </c>
      <c r="K78">
        <f t="shared" ca="1" si="12"/>
        <v>0.92044228479540036</v>
      </c>
      <c r="L78" t="str">
        <f ca="1">IF(K78&lt;=distribution!$D$11,distribution!$B$11,distribution!$B$12)</f>
        <v>Y</v>
      </c>
      <c r="M78">
        <f t="shared" ca="1" si="13"/>
        <v>64665</v>
      </c>
      <c r="N78">
        <f t="shared" ca="1" si="14"/>
        <v>64665</v>
      </c>
    </row>
    <row r="79" spans="1:14" x14ac:dyDescent="0.45">
      <c r="A79">
        <f t="shared" si="15"/>
        <v>78</v>
      </c>
      <c r="B79">
        <f t="shared" ca="1" si="8"/>
        <v>0.76802677835276567</v>
      </c>
      <c r="C79" t="str">
        <f ca="1">IF(B79&lt;=distribution!$D$2,distribution!$B$2,IF(B79&lt;=distribution!$D$3,distribution!$B$3,distribution!$B$4))</f>
        <v>BC</v>
      </c>
      <c r="D79">
        <f t="shared" ca="1" si="9"/>
        <v>0.38473080869775012</v>
      </c>
      <c r="E79" t="str">
        <f ca="1">IF(D79&lt;=distribution!$D$5,distribution!$B$5,distribution!$B$6)</f>
        <v>A</v>
      </c>
      <c r="F79">
        <f t="shared" ca="1" si="10"/>
        <v>0.97458916466637358</v>
      </c>
      <c r="G79" t="str">
        <f ca="1">IF(F79&lt;=distribution!$D$7,distribution!$B$7,IF(F79&lt;=distribution!$D$8,distribution!$B$8,IF(F79&lt;=distribution!$D$9,distribution!$B$9,distribution!$B$10)))</f>
        <v>55-64</v>
      </c>
      <c r="H79">
        <f ca="1">VLOOKUP(G79,age_band!$A$1:$C$5,2,FALSE)</f>
        <v>55</v>
      </c>
      <c r="I79">
        <f ca="1">VLOOKUP(G79,age_band!$A$2:$C$5,3,FALSE)</f>
        <v>64</v>
      </c>
      <c r="J79">
        <f t="shared" ca="1" si="11"/>
        <v>55</v>
      </c>
      <c r="K79">
        <f t="shared" ca="1" si="12"/>
        <v>0.3842515643555604</v>
      </c>
      <c r="L79" t="str">
        <f ca="1">IF(K79&lt;=distribution!$D$11,distribution!$B$11,distribution!$B$12)</f>
        <v>N</v>
      </c>
      <c r="M79">
        <f t="shared" ca="1" si="13"/>
        <v>59770</v>
      </c>
      <c r="N79">
        <f t="shared" ca="1" si="14"/>
        <v>59770</v>
      </c>
    </row>
    <row r="80" spans="1:14" x14ac:dyDescent="0.45">
      <c r="A80">
        <f t="shared" si="15"/>
        <v>79</v>
      </c>
      <c r="B80">
        <f t="shared" ca="1" si="8"/>
        <v>3.4747409425435527E-2</v>
      </c>
      <c r="C80" t="str">
        <f ca="1">IF(B80&lt;=distribution!$D$2,distribution!$B$2,IF(B80&lt;=distribution!$D$3,distribution!$B$3,distribution!$B$4))</f>
        <v>ON</v>
      </c>
      <c r="D80">
        <f t="shared" ca="1" si="9"/>
        <v>0.40403220408703122</v>
      </c>
      <c r="E80" t="str">
        <f ca="1">IF(D80&lt;=distribution!$D$5,distribution!$B$5,distribution!$B$6)</f>
        <v>A</v>
      </c>
      <c r="F80">
        <f t="shared" ca="1" si="10"/>
        <v>0.42186712719609043</v>
      </c>
      <c r="G80" t="str">
        <f ca="1">IF(F80&lt;=distribution!$D$7,distribution!$B$7,IF(F80&lt;=distribution!$D$8,distribution!$B$8,IF(F80&lt;=distribution!$D$9,distribution!$B$9,distribution!$B$10)))</f>
        <v>35-44</v>
      </c>
      <c r="H80">
        <f ca="1">VLOOKUP(G80,age_band!$A$1:$C$5,2,FALSE)</f>
        <v>35</v>
      </c>
      <c r="I80">
        <f ca="1">VLOOKUP(G80,age_band!$A$2:$C$5,3,FALSE)</f>
        <v>44</v>
      </c>
      <c r="J80">
        <f t="shared" ca="1" si="11"/>
        <v>37</v>
      </c>
      <c r="K80">
        <f t="shared" ca="1" si="12"/>
        <v>0.15097342833439908</v>
      </c>
      <c r="L80" t="str">
        <f ca="1">IF(K80&lt;=distribution!$D$11,distribution!$B$11,distribution!$B$12)</f>
        <v>N</v>
      </c>
      <c r="M80">
        <f t="shared" ca="1" si="13"/>
        <v>70531</v>
      </c>
      <c r="N80">
        <f t="shared" ca="1" si="14"/>
        <v>70531</v>
      </c>
    </row>
    <row r="81" spans="1:14" x14ac:dyDescent="0.45">
      <c r="A81">
        <f t="shared" si="15"/>
        <v>80</v>
      </c>
      <c r="B81">
        <f t="shared" ca="1" si="8"/>
        <v>0.51100190519079114</v>
      </c>
      <c r="C81" t="str">
        <f ca="1">IF(B81&lt;=distribution!$D$2,distribution!$B$2,IF(B81&lt;=distribution!$D$3,distribution!$B$3,distribution!$B$4))</f>
        <v>ON</v>
      </c>
      <c r="D81">
        <f t="shared" ca="1" si="9"/>
        <v>0.73290461824831465</v>
      </c>
      <c r="E81" t="str">
        <f ca="1">IF(D81&lt;=distribution!$D$5,distribution!$B$5,distribution!$B$6)</f>
        <v>B</v>
      </c>
      <c r="F81">
        <f t="shared" ca="1" si="10"/>
        <v>0.96443758812512004</v>
      </c>
      <c r="G81" t="str">
        <f ca="1">IF(F81&lt;=distribution!$D$7,distribution!$B$7,IF(F81&lt;=distribution!$D$8,distribution!$B$8,IF(F81&lt;=distribution!$D$9,distribution!$B$9,distribution!$B$10)))</f>
        <v>55-64</v>
      </c>
      <c r="H81">
        <f ca="1">VLOOKUP(G81,age_band!$A$1:$C$5,2,FALSE)</f>
        <v>55</v>
      </c>
      <c r="I81">
        <f ca="1">VLOOKUP(G81,age_band!$A$2:$C$5,3,FALSE)</f>
        <v>64</v>
      </c>
      <c r="J81">
        <f t="shared" ca="1" si="11"/>
        <v>59</v>
      </c>
      <c r="K81">
        <f t="shared" ca="1" si="12"/>
        <v>0.80999855692198919</v>
      </c>
      <c r="L81" t="str">
        <f ca="1">IF(K81&lt;=distribution!$D$11,distribution!$B$11,distribution!$B$12)</f>
        <v>N</v>
      </c>
      <c r="M81">
        <f t="shared" ca="1" si="13"/>
        <v>67359</v>
      </c>
      <c r="N81">
        <f t="shared" ca="1" si="14"/>
        <v>67359</v>
      </c>
    </row>
    <row r="82" spans="1:14" x14ac:dyDescent="0.45">
      <c r="A82">
        <f t="shared" si="15"/>
        <v>81</v>
      </c>
      <c r="B82">
        <f t="shared" ca="1" si="8"/>
        <v>0.55897043562771842</v>
      </c>
      <c r="C82" t="str">
        <f ca="1">IF(B82&lt;=distribution!$D$2,distribution!$B$2,IF(B82&lt;=distribution!$D$3,distribution!$B$3,distribution!$B$4))</f>
        <v>QC</v>
      </c>
      <c r="D82">
        <f t="shared" ca="1" si="9"/>
        <v>0.87147944630122187</v>
      </c>
      <c r="E82" t="str">
        <f ca="1">IF(D82&lt;=distribution!$D$5,distribution!$B$5,distribution!$B$6)</f>
        <v>B</v>
      </c>
      <c r="F82">
        <f t="shared" ca="1" si="10"/>
        <v>0.67318565111738649</v>
      </c>
      <c r="G82" t="str">
        <f ca="1">IF(F82&lt;=distribution!$D$7,distribution!$B$7,IF(F82&lt;=distribution!$D$8,distribution!$B$8,IF(F82&lt;=distribution!$D$9,distribution!$B$9,distribution!$B$10)))</f>
        <v>45-54</v>
      </c>
      <c r="H82">
        <f ca="1">VLOOKUP(G82,age_band!$A$1:$C$5,2,FALSE)</f>
        <v>45</v>
      </c>
      <c r="I82">
        <f ca="1">VLOOKUP(G82,age_band!$A$2:$C$5,3,FALSE)</f>
        <v>54</v>
      </c>
      <c r="J82">
        <f t="shared" ca="1" si="11"/>
        <v>49</v>
      </c>
      <c r="K82">
        <f t="shared" ca="1" si="12"/>
        <v>0.69865892081684855</v>
      </c>
      <c r="L82" t="str">
        <f ca="1">IF(K82&lt;=distribution!$D$11,distribution!$B$11,distribution!$B$12)</f>
        <v>N</v>
      </c>
      <c r="M82">
        <f t="shared" ca="1" si="13"/>
        <v>62660</v>
      </c>
      <c r="N82">
        <f t="shared" ca="1" si="14"/>
        <v>62660</v>
      </c>
    </row>
    <row r="83" spans="1:14" x14ac:dyDescent="0.45">
      <c r="A83">
        <f t="shared" si="15"/>
        <v>82</v>
      </c>
      <c r="B83">
        <f t="shared" ca="1" si="8"/>
        <v>0.91218437898892601</v>
      </c>
      <c r="C83" t="str">
        <f ca="1">IF(B83&lt;=distribution!$D$2,distribution!$B$2,IF(B83&lt;=distribution!$D$3,distribution!$B$3,distribution!$B$4))</f>
        <v>BC</v>
      </c>
      <c r="D83">
        <f t="shared" ca="1" si="9"/>
        <v>0.25401788779850309</v>
      </c>
      <c r="E83" t="str">
        <f ca="1">IF(D83&lt;=distribution!$D$5,distribution!$B$5,distribution!$B$6)</f>
        <v>A</v>
      </c>
      <c r="F83">
        <f t="shared" ca="1" si="10"/>
        <v>0.18989034606175326</v>
      </c>
      <c r="G83" t="str">
        <f ca="1">IF(F83&lt;=distribution!$D$7,distribution!$B$7,IF(F83&lt;=distribution!$D$8,distribution!$B$8,IF(F83&lt;=distribution!$D$9,distribution!$B$9,distribution!$B$10)))</f>
        <v>25-34</v>
      </c>
      <c r="H83">
        <f ca="1">VLOOKUP(G83,age_band!$A$1:$C$5,2,FALSE)</f>
        <v>25</v>
      </c>
      <c r="I83">
        <f ca="1">VLOOKUP(G83,age_band!$A$2:$C$5,3,FALSE)</f>
        <v>34</v>
      </c>
      <c r="J83">
        <f t="shared" ca="1" si="11"/>
        <v>32</v>
      </c>
      <c r="K83">
        <f t="shared" ca="1" si="12"/>
        <v>0.38517250326375574</v>
      </c>
      <c r="L83" t="str">
        <f ca="1">IF(K83&lt;=distribution!$D$11,distribution!$B$11,distribution!$B$12)</f>
        <v>N</v>
      </c>
      <c r="M83">
        <f t="shared" ca="1" si="13"/>
        <v>128404</v>
      </c>
      <c r="N83">
        <f t="shared" ca="1" si="14"/>
        <v>128404</v>
      </c>
    </row>
    <row r="84" spans="1:14" x14ac:dyDescent="0.45">
      <c r="A84">
        <f t="shared" si="15"/>
        <v>83</v>
      </c>
      <c r="B84">
        <f t="shared" ca="1" si="8"/>
        <v>0.54989333671231333</v>
      </c>
      <c r="C84" t="str">
        <f ca="1">IF(B84&lt;=distribution!$D$2,distribution!$B$2,IF(B84&lt;=distribution!$D$3,distribution!$B$3,distribution!$B$4))</f>
        <v>ON</v>
      </c>
      <c r="D84">
        <f t="shared" ca="1" si="9"/>
        <v>0.99607630333887365</v>
      </c>
      <c r="E84" t="str">
        <f ca="1">IF(D84&lt;=distribution!$D$5,distribution!$B$5,distribution!$B$6)</f>
        <v>B</v>
      </c>
      <c r="F84">
        <f t="shared" ca="1" si="10"/>
        <v>0.27067687012788844</v>
      </c>
      <c r="G84" t="str">
        <f ca="1">IF(F84&lt;=distribution!$D$7,distribution!$B$7,IF(F84&lt;=distribution!$D$8,distribution!$B$8,IF(F84&lt;=distribution!$D$9,distribution!$B$9,distribution!$B$10)))</f>
        <v>35-44</v>
      </c>
      <c r="H84">
        <f ca="1">VLOOKUP(G84,age_band!$A$1:$C$5,2,FALSE)</f>
        <v>35</v>
      </c>
      <c r="I84">
        <f ca="1">VLOOKUP(G84,age_band!$A$2:$C$5,3,FALSE)</f>
        <v>44</v>
      </c>
      <c r="J84">
        <f t="shared" ca="1" si="11"/>
        <v>40</v>
      </c>
      <c r="K84">
        <f t="shared" ca="1" si="12"/>
        <v>0.59470848308753932</v>
      </c>
      <c r="L84" t="str">
        <f ca="1">IF(K84&lt;=distribution!$D$11,distribution!$B$11,distribution!$B$12)</f>
        <v>N</v>
      </c>
      <c r="M84">
        <f t="shared" ca="1" si="13"/>
        <v>74904</v>
      </c>
      <c r="N84">
        <f t="shared" ca="1" si="14"/>
        <v>74904</v>
      </c>
    </row>
    <row r="85" spans="1:14" x14ac:dyDescent="0.45">
      <c r="A85">
        <f t="shared" si="15"/>
        <v>84</v>
      </c>
      <c r="B85">
        <f t="shared" ca="1" si="8"/>
        <v>0.98264202129778155</v>
      </c>
      <c r="C85" t="str">
        <f ca="1">IF(B85&lt;=distribution!$D$2,distribution!$B$2,IF(B85&lt;=distribution!$D$3,distribution!$B$3,distribution!$B$4))</f>
        <v>BC</v>
      </c>
      <c r="D85">
        <f t="shared" ca="1" si="9"/>
        <v>0.92430937358839793</v>
      </c>
      <c r="E85" t="str">
        <f ca="1">IF(D85&lt;=distribution!$D$5,distribution!$B$5,distribution!$B$6)</f>
        <v>B</v>
      </c>
      <c r="F85">
        <f t="shared" ca="1" si="10"/>
        <v>0.32687569375400238</v>
      </c>
      <c r="G85" t="str">
        <f ca="1">IF(F85&lt;=distribution!$D$7,distribution!$B$7,IF(F85&lt;=distribution!$D$8,distribution!$B$8,IF(F85&lt;=distribution!$D$9,distribution!$B$9,distribution!$B$10)))</f>
        <v>35-44</v>
      </c>
      <c r="H85">
        <f ca="1">VLOOKUP(G85,age_band!$A$1:$C$5,2,FALSE)</f>
        <v>35</v>
      </c>
      <c r="I85">
        <f ca="1">VLOOKUP(G85,age_band!$A$2:$C$5,3,FALSE)</f>
        <v>44</v>
      </c>
      <c r="J85">
        <f t="shared" ca="1" si="11"/>
        <v>36</v>
      </c>
      <c r="K85">
        <f t="shared" ca="1" si="12"/>
        <v>8.5661337691836148E-2</v>
      </c>
      <c r="L85" t="str">
        <f ca="1">IF(K85&lt;=distribution!$D$11,distribution!$B$11,distribution!$B$12)</f>
        <v>N</v>
      </c>
      <c r="M85">
        <f t="shared" ca="1" si="13"/>
        <v>49436</v>
      </c>
      <c r="N85">
        <f t="shared" ca="1" si="14"/>
        <v>49436</v>
      </c>
    </row>
    <row r="86" spans="1:14" x14ac:dyDescent="0.45">
      <c r="A86">
        <f t="shared" si="15"/>
        <v>85</v>
      </c>
      <c r="B86">
        <f t="shared" ca="1" si="8"/>
        <v>8.743216839555823E-2</v>
      </c>
      <c r="C86" t="str">
        <f ca="1">IF(B86&lt;=distribution!$D$2,distribution!$B$2,IF(B86&lt;=distribution!$D$3,distribution!$B$3,distribution!$B$4))</f>
        <v>ON</v>
      </c>
      <c r="D86">
        <f t="shared" ca="1" si="9"/>
        <v>0.17769825163228148</v>
      </c>
      <c r="E86" t="str">
        <f ca="1">IF(D86&lt;=distribution!$D$5,distribution!$B$5,distribution!$B$6)</f>
        <v>A</v>
      </c>
      <c r="F86">
        <f t="shared" ca="1" si="10"/>
        <v>0.38235782960908871</v>
      </c>
      <c r="G86" t="str">
        <f ca="1">IF(F86&lt;=distribution!$D$7,distribution!$B$7,IF(F86&lt;=distribution!$D$8,distribution!$B$8,IF(F86&lt;=distribution!$D$9,distribution!$B$9,distribution!$B$10)))</f>
        <v>35-44</v>
      </c>
      <c r="H86">
        <f ca="1">VLOOKUP(G86,age_band!$A$1:$C$5,2,FALSE)</f>
        <v>35</v>
      </c>
      <c r="I86">
        <f ca="1">VLOOKUP(G86,age_band!$A$2:$C$5,3,FALSE)</f>
        <v>44</v>
      </c>
      <c r="J86">
        <f t="shared" ca="1" si="11"/>
        <v>44</v>
      </c>
      <c r="K86">
        <f t="shared" ca="1" si="12"/>
        <v>0.2355052095618867</v>
      </c>
      <c r="L86" t="str">
        <f ca="1">IF(K86&lt;=distribution!$D$11,distribution!$B$11,distribution!$B$12)</f>
        <v>N</v>
      </c>
      <c r="M86">
        <f t="shared" ca="1" si="13"/>
        <v>110557</v>
      </c>
      <c r="N86">
        <f t="shared" ca="1" si="14"/>
        <v>110557</v>
      </c>
    </row>
    <row r="87" spans="1:14" x14ac:dyDescent="0.45">
      <c r="A87">
        <f t="shared" si="15"/>
        <v>86</v>
      </c>
      <c r="B87">
        <f t="shared" ca="1" si="8"/>
        <v>0.87425805486395791</v>
      </c>
      <c r="C87" t="str">
        <f ca="1">IF(B87&lt;=distribution!$D$2,distribution!$B$2,IF(B87&lt;=distribution!$D$3,distribution!$B$3,distribution!$B$4))</f>
        <v>BC</v>
      </c>
      <c r="D87">
        <f t="shared" ca="1" si="9"/>
        <v>0.547352655875877</v>
      </c>
      <c r="E87" t="str">
        <f ca="1">IF(D87&lt;=distribution!$D$5,distribution!$B$5,distribution!$B$6)</f>
        <v>A</v>
      </c>
      <c r="F87">
        <f t="shared" ca="1" si="10"/>
        <v>0.16188220243750784</v>
      </c>
      <c r="G87" t="str">
        <f ca="1">IF(F87&lt;=distribution!$D$7,distribution!$B$7,IF(F87&lt;=distribution!$D$8,distribution!$B$8,IF(F87&lt;=distribution!$D$9,distribution!$B$9,distribution!$B$10)))</f>
        <v>25-34</v>
      </c>
      <c r="H87">
        <f ca="1">VLOOKUP(G87,age_band!$A$1:$C$5,2,FALSE)</f>
        <v>25</v>
      </c>
      <c r="I87">
        <f ca="1">VLOOKUP(G87,age_band!$A$2:$C$5,3,FALSE)</f>
        <v>34</v>
      </c>
      <c r="J87">
        <f t="shared" ca="1" si="11"/>
        <v>32</v>
      </c>
      <c r="K87">
        <f t="shared" ca="1" si="12"/>
        <v>0.73288221531452291</v>
      </c>
      <c r="L87" t="str">
        <f ca="1">IF(K87&lt;=distribution!$D$11,distribution!$B$11,distribution!$B$12)</f>
        <v>N</v>
      </c>
      <c r="M87">
        <f t="shared" ca="1" si="13"/>
        <v>61823</v>
      </c>
      <c r="N87">
        <f t="shared" ca="1" si="14"/>
        <v>61823</v>
      </c>
    </row>
    <row r="88" spans="1:14" x14ac:dyDescent="0.45">
      <c r="A88">
        <f t="shared" si="15"/>
        <v>87</v>
      </c>
      <c r="B88">
        <f t="shared" ca="1" si="8"/>
        <v>0.43764303553545358</v>
      </c>
      <c r="C88" t="str">
        <f ca="1">IF(B88&lt;=distribution!$D$2,distribution!$B$2,IF(B88&lt;=distribution!$D$3,distribution!$B$3,distribution!$B$4))</f>
        <v>ON</v>
      </c>
      <c r="D88">
        <f t="shared" ca="1" si="9"/>
        <v>0.67838348017046624</v>
      </c>
      <c r="E88" t="str">
        <f ca="1">IF(D88&lt;=distribution!$D$5,distribution!$B$5,distribution!$B$6)</f>
        <v>B</v>
      </c>
      <c r="F88">
        <f t="shared" ca="1" si="10"/>
        <v>0.33104369559662117</v>
      </c>
      <c r="G88" t="str">
        <f ca="1">IF(F88&lt;=distribution!$D$7,distribution!$B$7,IF(F88&lt;=distribution!$D$8,distribution!$B$8,IF(F88&lt;=distribution!$D$9,distribution!$B$9,distribution!$B$10)))</f>
        <v>35-44</v>
      </c>
      <c r="H88">
        <f ca="1">VLOOKUP(G88,age_band!$A$1:$C$5,2,FALSE)</f>
        <v>35</v>
      </c>
      <c r="I88">
        <f ca="1">VLOOKUP(G88,age_band!$A$2:$C$5,3,FALSE)</f>
        <v>44</v>
      </c>
      <c r="J88">
        <f t="shared" ca="1" si="11"/>
        <v>42</v>
      </c>
      <c r="K88">
        <f t="shared" ca="1" si="12"/>
        <v>0.76835854745472409</v>
      </c>
      <c r="L88" t="str">
        <f ca="1">IF(K88&lt;=distribution!$D$11,distribution!$B$11,distribution!$B$12)</f>
        <v>N</v>
      </c>
      <c r="M88">
        <f t="shared" ca="1" si="13"/>
        <v>50258</v>
      </c>
      <c r="N88">
        <f t="shared" ca="1" si="14"/>
        <v>50258</v>
      </c>
    </row>
    <row r="89" spans="1:14" x14ac:dyDescent="0.45">
      <c r="A89">
        <f t="shared" si="15"/>
        <v>88</v>
      </c>
      <c r="B89">
        <f t="shared" ca="1" si="8"/>
        <v>0.97452012148965861</v>
      </c>
      <c r="C89" t="str">
        <f ca="1">IF(B89&lt;=distribution!$D$2,distribution!$B$2,IF(B89&lt;=distribution!$D$3,distribution!$B$3,distribution!$B$4))</f>
        <v>BC</v>
      </c>
      <c r="D89">
        <f t="shared" ca="1" si="9"/>
        <v>0.27018213754225429</v>
      </c>
      <c r="E89" t="str">
        <f ca="1">IF(D89&lt;=distribution!$D$5,distribution!$B$5,distribution!$B$6)</f>
        <v>A</v>
      </c>
      <c r="F89">
        <f t="shared" ca="1" si="10"/>
        <v>0.70389725096326017</v>
      </c>
      <c r="G89" t="str">
        <f ca="1">IF(F89&lt;=distribution!$D$7,distribution!$B$7,IF(F89&lt;=distribution!$D$8,distribution!$B$8,IF(F89&lt;=distribution!$D$9,distribution!$B$9,distribution!$B$10)))</f>
        <v>45-54</v>
      </c>
      <c r="H89">
        <f ca="1">VLOOKUP(G89,age_band!$A$1:$C$5,2,FALSE)</f>
        <v>45</v>
      </c>
      <c r="I89">
        <f ca="1">VLOOKUP(G89,age_band!$A$2:$C$5,3,FALSE)</f>
        <v>54</v>
      </c>
      <c r="J89">
        <f t="shared" ca="1" si="11"/>
        <v>53</v>
      </c>
      <c r="K89">
        <f t="shared" ca="1" si="12"/>
        <v>0.82140803173128807</v>
      </c>
      <c r="L89" t="str">
        <f ca="1">IF(K89&lt;=distribution!$D$11,distribution!$B$11,distribution!$B$12)</f>
        <v>N</v>
      </c>
      <c r="M89">
        <f t="shared" ca="1" si="13"/>
        <v>71132</v>
      </c>
      <c r="N89">
        <f t="shared" ca="1" si="14"/>
        <v>71132</v>
      </c>
    </row>
    <row r="90" spans="1:14" x14ac:dyDescent="0.45">
      <c r="A90">
        <f t="shared" si="15"/>
        <v>89</v>
      </c>
      <c r="B90">
        <f t="shared" ca="1" si="8"/>
        <v>0.60189060581819542</v>
      </c>
      <c r="C90" t="str">
        <f ca="1">IF(B90&lt;=distribution!$D$2,distribution!$B$2,IF(B90&lt;=distribution!$D$3,distribution!$B$3,distribution!$B$4))</f>
        <v>QC</v>
      </c>
      <c r="D90">
        <f t="shared" ca="1" si="9"/>
        <v>0.42294247937340079</v>
      </c>
      <c r="E90" t="str">
        <f ca="1">IF(D90&lt;=distribution!$D$5,distribution!$B$5,distribution!$B$6)</f>
        <v>A</v>
      </c>
      <c r="F90">
        <f t="shared" ca="1" si="10"/>
        <v>0.69828538542973395</v>
      </c>
      <c r="G90" t="str">
        <f ca="1">IF(F90&lt;=distribution!$D$7,distribution!$B$7,IF(F90&lt;=distribution!$D$8,distribution!$B$8,IF(F90&lt;=distribution!$D$9,distribution!$B$9,distribution!$B$10)))</f>
        <v>45-54</v>
      </c>
      <c r="H90">
        <f ca="1">VLOOKUP(G90,age_band!$A$1:$C$5,2,FALSE)</f>
        <v>45</v>
      </c>
      <c r="I90">
        <f ca="1">VLOOKUP(G90,age_band!$A$2:$C$5,3,FALSE)</f>
        <v>54</v>
      </c>
      <c r="J90">
        <f t="shared" ca="1" si="11"/>
        <v>50</v>
      </c>
      <c r="K90">
        <f t="shared" ca="1" si="12"/>
        <v>0.71373093179120084</v>
      </c>
      <c r="L90" t="str">
        <f ca="1">IF(K90&lt;=distribution!$D$11,distribution!$B$11,distribution!$B$12)</f>
        <v>N</v>
      </c>
      <c r="M90">
        <f t="shared" ca="1" si="13"/>
        <v>57435</v>
      </c>
      <c r="N90">
        <f t="shared" ca="1" si="14"/>
        <v>57435</v>
      </c>
    </row>
    <row r="91" spans="1:14" x14ac:dyDescent="0.45">
      <c r="A91">
        <f t="shared" si="15"/>
        <v>90</v>
      </c>
      <c r="B91">
        <f t="shared" ca="1" si="8"/>
        <v>4.6440067507352079E-2</v>
      </c>
      <c r="C91" t="str">
        <f ca="1">IF(B91&lt;=distribution!$D$2,distribution!$B$2,IF(B91&lt;=distribution!$D$3,distribution!$B$3,distribution!$B$4))</f>
        <v>ON</v>
      </c>
      <c r="D91">
        <f t="shared" ca="1" si="9"/>
        <v>0.44713752033286069</v>
      </c>
      <c r="E91" t="str">
        <f ca="1">IF(D91&lt;=distribution!$D$5,distribution!$B$5,distribution!$B$6)</f>
        <v>A</v>
      </c>
      <c r="F91">
        <f t="shared" ca="1" si="10"/>
        <v>0.36794862304163267</v>
      </c>
      <c r="G91" t="str">
        <f ca="1">IF(F91&lt;=distribution!$D$7,distribution!$B$7,IF(F91&lt;=distribution!$D$8,distribution!$B$8,IF(F91&lt;=distribution!$D$9,distribution!$B$9,distribution!$B$10)))</f>
        <v>35-44</v>
      </c>
      <c r="H91">
        <f ca="1">VLOOKUP(G91,age_band!$A$1:$C$5,2,FALSE)</f>
        <v>35</v>
      </c>
      <c r="I91">
        <f ca="1">VLOOKUP(G91,age_band!$A$2:$C$5,3,FALSE)</f>
        <v>44</v>
      </c>
      <c r="J91">
        <f t="shared" ca="1" si="11"/>
        <v>37</v>
      </c>
      <c r="K91">
        <f t="shared" ca="1" si="12"/>
        <v>0.19801884964725114</v>
      </c>
      <c r="L91" t="str">
        <f ca="1">IF(K91&lt;=distribution!$D$11,distribution!$B$11,distribution!$B$12)</f>
        <v>N</v>
      </c>
      <c r="M91">
        <f t="shared" ca="1" si="13"/>
        <v>68755</v>
      </c>
      <c r="N91">
        <f t="shared" ca="1" si="14"/>
        <v>68755</v>
      </c>
    </row>
    <row r="92" spans="1:14" x14ac:dyDescent="0.45">
      <c r="A92">
        <f t="shared" si="15"/>
        <v>91</v>
      </c>
      <c r="B92">
        <f t="shared" ca="1" si="8"/>
        <v>0.17874539809340084</v>
      </c>
      <c r="C92" t="str">
        <f ca="1">IF(B92&lt;=distribution!$D$2,distribution!$B$2,IF(B92&lt;=distribution!$D$3,distribution!$B$3,distribution!$B$4))</f>
        <v>ON</v>
      </c>
      <c r="D92">
        <f t="shared" ca="1" si="9"/>
        <v>0.16732226189963539</v>
      </c>
      <c r="E92" t="str">
        <f ca="1">IF(D92&lt;=distribution!$D$5,distribution!$B$5,distribution!$B$6)</f>
        <v>A</v>
      </c>
      <c r="F92">
        <f t="shared" ca="1" si="10"/>
        <v>0.13554291058539425</v>
      </c>
      <c r="G92" t="str">
        <f ca="1">IF(F92&lt;=distribution!$D$7,distribution!$B$7,IF(F92&lt;=distribution!$D$8,distribution!$B$8,IF(F92&lt;=distribution!$D$9,distribution!$B$9,distribution!$B$10)))</f>
        <v>25-34</v>
      </c>
      <c r="H92">
        <f ca="1">VLOOKUP(G92,age_band!$A$1:$C$5,2,FALSE)</f>
        <v>25</v>
      </c>
      <c r="I92">
        <f ca="1">VLOOKUP(G92,age_band!$A$2:$C$5,3,FALSE)</f>
        <v>34</v>
      </c>
      <c r="J92">
        <f t="shared" ca="1" si="11"/>
        <v>31</v>
      </c>
      <c r="K92">
        <f t="shared" ca="1" si="12"/>
        <v>0.19034044512974779</v>
      </c>
      <c r="L92" t="str">
        <f ca="1">IF(K92&lt;=distribution!$D$11,distribution!$B$11,distribution!$B$12)</f>
        <v>N</v>
      </c>
      <c r="M92">
        <f t="shared" ca="1" si="13"/>
        <v>81887</v>
      </c>
      <c r="N92">
        <f t="shared" ca="1" si="14"/>
        <v>81887</v>
      </c>
    </row>
    <row r="93" spans="1:14" x14ac:dyDescent="0.45">
      <c r="A93">
        <f t="shared" si="15"/>
        <v>92</v>
      </c>
      <c r="B93">
        <f t="shared" ca="1" si="8"/>
        <v>0.5246795727801612</v>
      </c>
      <c r="C93" t="str">
        <f ca="1">IF(B93&lt;=distribution!$D$2,distribution!$B$2,IF(B93&lt;=distribution!$D$3,distribution!$B$3,distribution!$B$4))</f>
        <v>ON</v>
      </c>
      <c r="D93">
        <f t="shared" ca="1" si="9"/>
        <v>0.29754222282288467</v>
      </c>
      <c r="E93" t="str">
        <f ca="1">IF(D93&lt;=distribution!$D$5,distribution!$B$5,distribution!$B$6)</f>
        <v>A</v>
      </c>
      <c r="F93">
        <f t="shared" ca="1" si="10"/>
        <v>0.74802928108605671</v>
      </c>
      <c r="G93" t="str">
        <f ca="1">IF(F93&lt;=distribution!$D$7,distribution!$B$7,IF(F93&lt;=distribution!$D$8,distribution!$B$8,IF(F93&lt;=distribution!$D$9,distribution!$B$9,distribution!$B$10)))</f>
        <v>45-54</v>
      </c>
      <c r="H93">
        <f ca="1">VLOOKUP(G93,age_band!$A$1:$C$5,2,FALSE)</f>
        <v>45</v>
      </c>
      <c r="I93">
        <f ca="1">VLOOKUP(G93,age_band!$A$2:$C$5,3,FALSE)</f>
        <v>54</v>
      </c>
      <c r="J93">
        <f t="shared" ca="1" si="11"/>
        <v>45</v>
      </c>
      <c r="K93">
        <f t="shared" ca="1" si="12"/>
        <v>0.82837909233992624</v>
      </c>
      <c r="L93" t="str">
        <f ca="1">IF(K93&lt;=distribution!$D$11,distribution!$B$11,distribution!$B$12)</f>
        <v>N</v>
      </c>
      <c r="M93">
        <f t="shared" ca="1" si="13"/>
        <v>69368</v>
      </c>
      <c r="N93">
        <f t="shared" ca="1" si="14"/>
        <v>69368</v>
      </c>
    </row>
    <row r="94" spans="1:14" x14ac:dyDescent="0.45">
      <c r="A94">
        <f t="shared" si="15"/>
        <v>93</v>
      </c>
      <c r="B94">
        <f t="shared" ca="1" si="8"/>
        <v>0.89818280911855652</v>
      </c>
      <c r="C94" t="str">
        <f ca="1">IF(B94&lt;=distribution!$D$2,distribution!$B$2,IF(B94&lt;=distribution!$D$3,distribution!$B$3,distribution!$B$4))</f>
        <v>BC</v>
      </c>
      <c r="D94">
        <f t="shared" ca="1" si="9"/>
        <v>0.37917559071333096</v>
      </c>
      <c r="E94" t="str">
        <f ca="1">IF(D94&lt;=distribution!$D$5,distribution!$B$5,distribution!$B$6)</f>
        <v>A</v>
      </c>
      <c r="F94">
        <f t="shared" ca="1" si="10"/>
        <v>0.65441842663538496</v>
      </c>
      <c r="G94" t="str">
        <f ca="1">IF(F94&lt;=distribution!$D$7,distribution!$B$7,IF(F94&lt;=distribution!$D$8,distribution!$B$8,IF(F94&lt;=distribution!$D$9,distribution!$B$9,distribution!$B$10)))</f>
        <v>45-54</v>
      </c>
      <c r="H94">
        <f ca="1">VLOOKUP(G94,age_band!$A$1:$C$5,2,FALSE)</f>
        <v>45</v>
      </c>
      <c r="I94">
        <f ca="1">VLOOKUP(G94,age_band!$A$2:$C$5,3,FALSE)</f>
        <v>54</v>
      </c>
      <c r="J94">
        <f t="shared" ca="1" si="11"/>
        <v>49</v>
      </c>
      <c r="K94">
        <f t="shared" ca="1" si="12"/>
        <v>0.96702362141693476</v>
      </c>
      <c r="L94" t="str">
        <f ca="1">IF(K94&lt;=distribution!$D$11,distribution!$B$11,distribution!$B$12)</f>
        <v>Y</v>
      </c>
      <c r="M94">
        <f t="shared" ca="1" si="13"/>
        <v>73007</v>
      </c>
      <c r="N94">
        <f t="shared" ca="1" si="14"/>
        <v>73007</v>
      </c>
    </row>
    <row r="95" spans="1:14" x14ac:dyDescent="0.45">
      <c r="A95">
        <f t="shared" si="15"/>
        <v>94</v>
      </c>
      <c r="B95">
        <f t="shared" ca="1" si="8"/>
        <v>0.2474148332600723</v>
      </c>
      <c r="C95" t="str">
        <f ca="1">IF(B95&lt;=distribution!$D$2,distribution!$B$2,IF(B95&lt;=distribution!$D$3,distribution!$B$3,distribution!$B$4))</f>
        <v>ON</v>
      </c>
      <c r="D95">
        <f t="shared" ca="1" si="9"/>
        <v>0.71156651579409802</v>
      </c>
      <c r="E95" t="str">
        <f ca="1">IF(D95&lt;=distribution!$D$5,distribution!$B$5,distribution!$B$6)</f>
        <v>B</v>
      </c>
      <c r="F95">
        <f t="shared" ca="1" si="10"/>
        <v>8.4210118614197471E-2</v>
      </c>
      <c r="G95" t="str">
        <f ca="1">IF(F95&lt;=distribution!$D$7,distribution!$B$7,IF(F95&lt;=distribution!$D$8,distribution!$B$8,IF(F95&lt;=distribution!$D$9,distribution!$B$9,distribution!$B$10)))</f>
        <v>25-34</v>
      </c>
      <c r="H95">
        <f ca="1">VLOOKUP(G95,age_band!$A$1:$C$5,2,FALSE)</f>
        <v>25</v>
      </c>
      <c r="I95">
        <f ca="1">VLOOKUP(G95,age_band!$A$2:$C$5,3,FALSE)</f>
        <v>34</v>
      </c>
      <c r="J95">
        <f t="shared" ca="1" si="11"/>
        <v>34</v>
      </c>
      <c r="K95">
        <f t="shared" ca="1" si="12"/>
        <v>0.29288465774819517</v>
      </c>
      <c r="L95" t="str">
        <f ca="1">IF(K95&lt;=distribution!$D$11,distribution!$B$11,distribution!$B$12)</f>
        <v>N</v>
      </c>
      <c r="M95">
        <f t="shared" ca="1" si="13"/>
        <v>47217</v>
      </c>
      <c r="N95">
        <f t="shared" ca="1" si="14"/>
        <v>47217</v>
      </c>
    </row>
    <row r="96" spans="1:14" x14ac:dyDescent="0.45">
      <c r="A96">
        <f t="shared" si="15"/>
        <v>95</v>
      </c>
      <c r="B96">
        <f t="shared" ca="1" si="8"/>
        <v>0.38347101318260413</v>
      </c>
      <c r="C96" t="str">
        <f ca="1">IF(B96&lt;=distribution!$D$2,distribution!$B$2,IF(B96&lt;=distribution!$D$3,distribution!$B$3,distribution!$B$4))</f>
        <v>ON</v>
      </c>
      <c r="D96">
        <f t="shared" ca="1" si="9"/>
        <v>5.7306386543454102E-2</v>
      </c>
      <c r="E96" t="str">
        <f ca="1">IF(D96&lt;=distribution!$D$5,distribution!$B$5,distribution!$B$6)</f>
        <v>A</v>
      </c>
      <c r="F96">
        <f t="shared" ca="1" si="10"/>
        <v>0.77726964166641876</v>
      </c>
      <c r="G96" t="str">
        <f ca="1">IF(F96&lt;=distribution!$D$7,distribution!$B$7,IF(F96&lt;=distribution!$D$8,distribution!$B$8,IF(F96&lt;=distribution!$D$9,distribution!$B$9,distribution!$B$10)))</f>
        <v>45-54</v>
      </c>
      <c r="H96">
        <f ca="1">VLOOKUP(G96,age_band!$A$1:$C$5,2,FALSE)</f>
        <v>45</v>
      </c>
      <c r="I96">
        <f ca="1">VLOOKUP(G96,age_band!$A$2:$C$5,3,FALSE)</f>
        <v>54</v>
      </c>
      <c r="J96">
        <f t="shared" ca="1" si="11"/>
        <v>53</v>
      </c>
      <c r="K96">
        <f t="shared" ca="1" si="12"/>
        <v>4.2865766834737973E-2</v>
      </c>
      <c r="L96" t="str">
        <f ca="1">IF(K96&lt;=distribution!$D$11,distribution!$B$11,distribution!$B$12)</f>
        <v>N</v>
      </c>
      <c r="M96">
        <f t="shared" ca="1" si="13"/>
        <v>86208</v>
      </c>
      <c r="N96">
        <f t="shared" ca="1" si="14"/>
        <v>86208</v>
      </c>
    </row>
    <row r="97" spans="1:14" x14ac:dyDescent="0.45">
      <c r="A97">
        <f t="shared" si="15"/>
        <v>96</v>
      </c>
      <c r="B97">
        <f t="shared" ca="1" si="8"/>
        <v>0.57281237861248158</v>
      </c>
      <c r="C97" t="str">
        <f ca="1">IF(B97&lt;=distribution!$D$2,distribution!$B$2,IF(B97&lt;=distribution!$D$3,distribution!$B$3,distribution!$B$4))</f>
        <v>QC</v>
      </c>
      <c r="D97">
        <f t="shared" ca="1" si="9"/>
        <v>0.65266155850689012</v>
      </c>
      <c r="E97" t="str">
        <f ca="1">IF(D97&lt;=distribution!$D$5,distribution!$B$5,distribution!$B$6)</f>
        <v>B</v>
      </c>
      <c r="F97">
        <f t="shared" ca="1" si="10"/>
        <v>0.10472808917753362</v>
      </c>
      <c r="G97" t="str">
        <f ca="1">IF(F97&lt;=distribution!$D$7,distribution!$B$7,IF(F97&lt;=distribution!$D$8,distribution!$B$8,IF(F97&lt;=distribution!$D$9,distribution!$B$9,distribution!$B$10)))</f>
        <v>25-34</v>
      </c>
      <c r="H97">
        <f ca="1">VLOOKUP(G97,age_band!$A$1:$C$5,2,FALSE)</f>
        <v>25</v>
      </c>
      <c r="I97">
        <f ca="1">VLOOKUP(G97,age_band!$A$2:$C$5,3,FALSE)</f>
        <v>34</v>
      </c>
      <c r="J97">
        <f t="shared" ca="1" si="11"/>
        <v>30</v>
      </c>
      <c r="K97">
        <f t="shared" ca="1" si="12"/>
        <v>0.5554180560731895</v>
      </c>
      <c r="L97" t="str">
        <f ca="1">IF(K97&lt;=distribution!$D$11,distribution!$B$11,distribution!$B$12)</f>
        <v>N</v>
      </c>
      <c r="M97">
        <f t="shared" ca="1" si="13"/>
        <v>79325</v>
      </c>
      <c r="N97">
        <f t="shared" ca="1" si="14"/>
        <v>79325</v>
      </c>
    </row>
    <row r="98" spans="1:14" x14ac:dyDescent="0.45">
      <c r="A98">
        <f t="shared" si="15"/>
        <v>97</v>
      </c>
      <c r="B98">
        <f t="shared" ca="1" si="8"/>
        <v>0.25267024987727438</v>
      </c>
      <c r="C98" t="str">
        <f ca="1">IF(B98&lt;=distribution!$D$2,distribution!$B$2,IF(B98&lt;=distribution!$D$3,distribution!$B$3,distribution!$B$4))</f>
        <v>ON</v>
      </c>
      <c r="D98">
        <f t="shared" ca="1" si="9"/>
        <v>0.61843995075719416</v>
      </c>
      <c r="E98" t="str">
        <f ca="1">IF(D98&lt;=distribution!$D$5,distribution!$B$5,distribution!$B$6)</f>
        <v>A</v>
      </c>
      <c r="F98">
        <f t="shared" ca="1" si="10"/>
        <v>0.87066185363689497</v>
      </c>
      <c r="G98" t="str">
        <f ca="1">IF(F98&lt;=distribution!$D$7,distribution!$B$7,IF(F98&lt;=distribution!$D$8,distribution!$B$8,IF(F98&lt;=distribution!$D$9,distribution!$B$9,distribution!$B$10)))</f>
        <v>55-64</v>
      </c>
      <c r="H98">
        <f ca="1">VLOOKUP(G98,age_band!$A$1:$C$5,2,FALSE)</f>
        <v>55</v>
      </c>
      <c r="I98">
        <f ca="1">VLOOKUP(G98,age_band!$A$2:$C$5,3,FALSE)</f>
        <v>64</v>
      </c>
      <c r="J98">
        <f t="shared" ca="1" si="11"/>
        <v>55</v>
      </c>
      <c r="K98">
        <f t="shared" ca="1" si="12"/>
        <v>0.85996334866934565</v>
      </c>
      <c r="L98" t="str">
        <f ca="1">IF(K98&lt;=distribution!$D$11,distribution!$B$11,distribution!$B$12)</f>
        <v>Y</v>
      </c>
      <c r="M98">
        <f t="shared" ca="1" si="13"/>
        <v>50565</v>
      </c>
      <c r="N98">
        <f t="shared" ca="1" si="14"/>
        <v>50565</v>
      </c>
    </row>
    <row r="99" spans="1:14" x14ac:dyDescent="0.45">
      <c r="A99">
        <f t="shared" si="15"/>
        <v>98</v>
      </c>
      <c r="B99">
        <f t="shared" ca="1" si="8"/>
        <v>0.69417460572818634</v>
      </c>
      <c r="C99" t="str">
        <f ca="1">IF(B99&lt;=distribution!$D$2,distribution!$B$2,IF(B99&lt;=distribution!$D$3,distribution!$B$3,distribution!$B$4))</f>
        <v>QC</v>
      </c>
      <c r="D99">
        <f t="shared" ca="1" si="9"/>
        <v>0.93654831040843078</v>
      </c>
      <c r="E99" t="str">
        <f ca="1">IF(D99&lt;=distribution!$D$5,distribution!$B$5,distribution!$B$6)</f>
        <v>B</v>
      </c>
      <c r="F99">
        <f t="shared" ca="1" si="10"/>
        <v>0.32625427257813511</v>
      </c>
      <c r="G99" t="str">
        <f ca="1">IF(F99&lt;=distribution!$D$7,distribution!$B$7,IF(F99&lt;=distribution!$D$8,distribution!$B$8,IF(F99&lt;=distribution!$D$9,distribution!$B$9,distribution!$B$10)))</f>
        <v>35-44</v>
      </c>
      <c r="H99">
        <f ca="1">VLOOKUP(G99,age_band!$A$1:$C$5,2,FALSE)</f>
        <v>35</v>
      </c>
      <c r="I99">
        <f ca="1">VLOOKUP(G99,age_band!$A$2:$C$5,3,FALSE)</f>
        <v>44</v>
      </c>
      <c r="J99">
        <f t="shared" ca="1" si="11"/>
        <v>42</v>
      </c>
      <c r="K99">
        <f t="shared" ca="1" si="12"/>
        <v>0.51068293437606627</v>
      </c>
      <c r="L99" t="str">
        <f ca="1">IF(K99&lt;=distribution!$D$11,distribution!$B$11,distribution!$B$12)</f>
        <v>N</v>
      </c>
      <c r="M99">
        <f t="shared" ca="1" si="13"/>
        <v>65318</v>
      </c>
      <c r="N99">
        <f t="shared" ca="1" si="14"/>
        <v>65318</v>
      </c>
    </row>
    <row r="100" spans="1:14" x14ac:dyDescent="0.45">
      <c r="A100">
        <f t="shared" si="15"/>
        <v>99</v>
      </c>
      <c r="B100">
        <f t="shared" ca="1" si="8"/>
        <v>0.46036613528575587</v>
      </c>
      <c r="C100" t="str">
        <f ca="1">IF(B100&lt;=distribution!$D$2,distribution!$B$2,IF(B100&lt;=distribution!$D$3,distribution!$B$3,distribution!$B$4))</f>
        <v>ON</v>
      </c>
      <c r="D100">
        <f t="shared" ca="1" si="9"/>
        <v>0.76094103046024419</v>
      </c>
      <c r="E100" t="str">
        <f ca="1">IF(D100&lt;=distribution!$D$5,distribution!$B$5,distribution!$B$6)</f>
        <v>B</v>
      </c>
      <c r="F100">
        <f t="shared" ca="1" si="10"/>
        <v>0.58657016260352313</v>
      </c>
      <c r="G100" t="str">
        <f ca="1">IF(F100&lt;=distribution!$D$7,distribution!$B$7,IF(F100&lt;=distribution!$D$8,distribution!$B$8,IF(F100&lt;=distribution!$D$9,distribution!$B$9,distribution!$B$10)))</f>
        <v>35-44</v>
      </c>
      <c r="H100">
        <f ca="1">VLOOKUP(G100,age_band!$A$1:$C$5,2,FALSE)</f>
        <v>35</v>
      </c>
      <c r="I100">
        <f ca="1">VLOOKUP(G100,age_band!$A$2:$C$5,3,FALSE)</f>
        <v>44</v>
      </c>
      <c r="J100">
        <f t="shared" ca="1" si="11"/>
        <v>37</v>
      </c>
      <c r="K100">
        <f t="shared" ca="1" si="12"/>
        <v>0.85866504809712618</v>
      </c>
      <c r="L100" t="str">
        <f ca="1">IF(K100&lt;=distribution!$D$11,distribution!$B$11,distribution!$B$12)</f>
        <v>Y</v>
      </c>
      <c r="M100">
        <f t="shared" ca="1" si="13"/>
        <v>51260</v>
      </c>
      <c r="N100">
        <f t="shared" ca="1" si="14"/>
        <v>51260</v>
      </c>
    </row>
    <row r="101" spans="1:14" x14ac:dyDescent="0.45">
      <c r="A101">
        <f t="shared" si="15"/>
        <v>100</v>
      </c>
      <c r="B101">
        <f t="shared" ca="1" si="8"/>
        <v>0.31872947930398055</v>
      </c>
      <c r="C101" t="str">
        <f ca="1">IF(B101&lt;=distribution!$D$2,distribution!$B$2,IF(B101&lt;=distribution!$D$3,distribution!$B$3,distribution!$B$4))</f>
        <v>ON</v>
      </c>
      <c r="D101">
        <f t="shared" ca="1" si="9"/>
        <v>0.56334669182174346</v>
      </c>
      <c r="E101" t="str">
        <f ca="1">IF(D101&lt;=distribution!$D$5,distribution!$B$5,distribution!$B$6)</f>
        <v>A</v>
      </c>
      <c r="F101">
        <f t="shared" ca="1" si="10"/>
        <v>0.36174855972390885</v>
      </c>
      <c r="G101" t="str">
        <f ca="1">IF(F101&lt;=distribution!$D$7,distribution!$B$7,IF(F101&lt;=distribution!$D$8,distribution!$B$8,IF(F101&lt;=distribution!$D$9,distribution!$B$9,distribution!$B$10)))</f>
        <v>35-44</v>
      </c>
      <c r="H101">
        <f ca="1">VLOOKUP(G101,age_band!$A$1:$C$5,2,FALSE)</f>
        <v>35</v>
      </c>
      <c r="I101">
        <f ca="1">VLOOKUP(G101,age_band!$A$2:$C$5,3,FALSE)</f>
        <v>44</v>
      </c>
      <c r="J101">
        <f t="shared" ca="1" si="11"/>
        <v>42</v>
      </c>
      <c r="K101">
        <f t="shared" ca="1" si="12"/>
        <v>0.20129260689741757</v>
      </c>
      <c r="L101" t="str">
        <f ca="1">IF(K101&lt;=distribution!$D$11,distribution!$B$11,distribution!$B$12)</f>
        <v>N</v>
      </c>
      <c r="M101">
        <f t="shared" ca="1" si="13"/>
        <v>101074</v>
      </c>
      <c r="N101">
        <f t="shared" ca="1" si="14"/>
        <v>101074</v>
      </c>
    </row>
    <row r="102" spans="1:14" x14ac:dyDescent="0.45">
      <c r="A102">
        <f t="shared" si="15"/>
        <v>101</v>
      </c>
      <c r="B102">
        <f t="shared" ca="1" si="8"/>
        <v>0.60405137916686102</v>
      </c>
      <c r="C102" t="str">
        <f ca="1">IF(B102&lt;=distribution!$D$2,distribution!$B$2,IF(B102&lt;=distribution!$D$3,distribution!$B$3,distribution!$B$4))</f>
        <v>QC</v>
      </c>
      <c r="D102">
        <f t="shared" ca="1" si="9"/>
        <v>0.58407290906225984</v>
      </c>
      <c r="E102" t="str">
        <f ca="1">IF(D102&lt;=distribution!$D$5,distribution!$B$5,distribution!$B$6)</f>
        <v>A</v>
      </c>
      <c r="F102">
        <f t="shared" ca="1" si="10"/>
        <v>0.12389778637023363</v>
      </c>
      <c r="G102" t="str">
        <f ca="1">IF(F102&lt;=distribution!$D$7,distribution!$B$7,IF(F102&lt;=distribution!$D$8,distribution!$B$8,IF(F102&lt;=distribution!$D$9,distribution!$B$9,distribution!$B$10)))</f>
        <v>25-34</v>
      </c>
      <c r="H102">
        <f ca="1">VLOOKUP(G102,age_band!$A$1:$C$5,2,FALSE)</f>
        <v>25</v>
      </c>
      <c r="I102">
        <f ca="1">VLOOKUP(G102,age_band!$A$2:$C$5,3,FALSE)</f>
        <v>34</v>
      </c>
      <c r="J102">
        <f t="shared" ca="1" si="11"/>
        <v>30</v>
      </c>
      <c r="K102">
        <f t="shared" ca="1" si="12"/>
        <v>0.10635069364272298</v>
      </c>
      <c r="L102" t="str">
        <f ca="1">IF(K102&lt;=distribution!$D$11,distribution!$B$11,distribution!$B$12)</f>
        <v>N</v>
      </c>
      <c r="M102">
        <f t="shared" ca="1" si="13"/>
        <v>50264</v>
      </c>
      <c r="N102">
        <f t="shared" ca="1" si="14"/>
        <v>50264</v>
      </c>
    </row>
    <row r="103" spans="1:14" x14ac:dyDescent="0.45">
      <c r="A103">
        <f t="shared" si="15"/>
        <v>102</v>
      </c>
      <c r="B103">
        <f t="shared" ca="1" si="8"/>
        <v>0.38818837354970115</v>
      </c>
      <c r="C103" t="str">
        <f ca="1">IF(B103&lt;=distribution!$D$2,distribution!$B$2,IF(B103&lt;=distribution!$D$3,distribution!$B$3,distribution!$B$4))</f>
        <v>ON</v>
      </c>
      <c r="D103">
        <f t="shared" ca="1" si="9"/>
        <v>0.49840126083489722</v>
      </c>
      <c r="E103" t="str">
        <f ca="1">IF(D103&lt;=distribution!$D$5,distribution!$B$5,distribution!$B$6)</f>
        <v>A</v>
      </c>
      <c r="F103">
        <f t="shared" ca="1" si="10"/>
        <v>0.36984908550776996</v>
      </c>
      <c r="G103" t="str">
        <f ca="1">IF(F103&lt;=distribution!$D$7,distribution!$B$7,IF(F103&lt;=distribution!$D$8,distribution!$B$8,IF(F103&lt;=distribution!$D$9,distribution!$B$9,distribution!$B$10)))</f>
        <v>35-44</v>
      </c>
      <c r="H103">
        <f ca="1">VLOOKUP(G103,age_band!$A$1:$C$5,2,FALSE)</f>
        <v>35</v>
      </c>
      <c r="I103">
        <f ca="1">VLOOKUP(G103,age_band!$A$2:$C$5,3,FALSE)</f>
        <v>44</v>
      </c>
      <c r="J103">
        <f t="shared" ca="1" si="11"/>
        <v>44</v>
      </c>
      <c r="K103">
        <f t="shared" ca="1" si="12"/>
        <v>9.9103826351180424E-2</v>
      </c>
      <c r="L103" t="str">
        <f ca="1">IF(K103&lt;=distribution!$D$11,distribution!$B$11,distribution!$B$12)</f>
        <v>N</v>
      </c>
      <c r="M103">
        <f t="shared" ca="1" si="13"/>
        <v>101973</v>
      </c>
      <c r="N103">
        <f t="shared" ca="1" si="14"/>
        <v>101973</v>
      </c>
    </row>
    <row r="104" spans="1:14" x14ac:dyDescent="0.45">
      <c r="A104">
        <f t="shared" si="15"/>
        <v>103</v>
      </c>
      <c r="B104">
        <f t="shared" ca="1" si="8"/>
        <v>0.61083203466363978</v>
      </c>
      <c r="C104" t="str">
        <f ca="1">IF(B104&lt;=distribution!$D$2,distribution!$B$2,IF(B104&lt;=distribution!$D$3,distribution!$B$3,distribution!$B$4))</f>
        <v>QC</v>
      </c>
      <c r="D104">
        <f t="shared" ca="1" si="9"/>
        <v>0.35198655604347528</v>
      </c>
      <c r="E104" t="str">
        <f ca="1">IF(D104&lt;=distribution!$D$5,distribution!$B$5,distribution!$B$6)</f>
        <v>A</v>
      </c>
      <c r="F104">
        <f t="shared" ca="1" si="10"/>
        <v>0.29541108250682491</v>
      </c>
      <c r="G104" t="str">
        <f ca="1">IF(F104&lt;=distribution!$D$7,distribution!$B$7,IF(F104&lt;=distribution!$D$8,distribution!$B$8,IF(F104&lt;=distribution!$D$9,distribution!$B$9,distribution!$B$10)))</f>
        <v>35-44</v>
      </c>
      <c r="H104">
        <f ca="1">VLOOKUP(G104,age_band!$A$1:$C$5,2,FALSE)</f>
        <v>35</v>
      </c>
      <c r="I104">
        <f ca="1">VLOOKUP(G104,age_band!$A$2:$C$5,3,FALSE)</f>
        <v>44</v>
      </c>
      <c r="J104">
        <f t="shared" ca="1" si="11"/>
        <v>44</v>
      </c>
      <c r="K104">
        <f t="shared" ca="1" si="12"/>
        <v>0.50038409918435423</v>
      </c>
      <c r="L104" t="str">
        <f ca="1">IF(K104&lt;=distribution!$D$11,distribution!$B$11,distribution!$B$12)</f>
        <v>N</v>
      </c>
      <c r="M104">
        <f t="shared" ca="1" si="13"/>
        <v>106858</v>
      </c>
      <c r="N104">
        <f t="shared" ca="1" si="14"/>
        <v>106858</v>
      </c>
    </row>
    <row r="105" spans="1:14" x14ac:dyDescent="0.45">
      <c r="A105">
        <f t="shared" si="15"/>
        <v>104</v>
      </c>
      <c r="B105">
        <f t="shared" ca="1" si="8"/>
        <v>0.58066848677110205</v>
      </c>
      <c r="C105" t="str">
        <f ca="1">IF(B105&lt;=distribution!$D$2,distribution!$B$2,IF(B105&lt;=distribution!$D$3,distribution!$B$3,distribution!$B$4))</f>
        <v>QC</v>
      </c>
      <c r="D105">
        <f t="shared" ca="1" si="9"/>
        <v>0.29928439487020109</v>
      </c>
      <c r="E105" t="str">
        <f ca="1">IF(D105&lt;=distribution!$D$5,distribution!$B$5,distribution!$B$6)</f>
        <v>A</v>
      </c>
      <c r="F105">
        <f t="shared" ca="1" si="10"/>
        <v>0.38090854024270859</v>
      </c>
      <c r="G105" t="str">
        <f ca="1">IF(F105&lt;=distribution!$D$7,distribution!$B$7,IF(F105&lt;=distribution!$D$8,distribution!$B$8,IF(F105&lt;=distribution!$D$9,distribution!$B$9,distribution!$B$10)))</f>
        <v>35-44</v>
      </c>
      <c r="H105">
        <f ca="1">VLOOKUP(G105,age_band!$A$1:$C$5,2,FALSE)</f>
        <v>35</v>
      </c>
      <c r="I105">
        <f ca="1">VLOOKUP(G105,age_band!$A$2:$C$5,3,FALSE)</f>
        <v>44</v>
      </c>
      <c r="J105">
        <f t="shared" ca="1" si="11"/>
        <v>39</v>
      </c>
      <c r="K105">
        <f t="shared" ca="1" si="12"/>
        <v>0.47201303884757517</v>
      </c>
      <c r="L105" t="str">
        <f ca="1">IF(K105&lt;=distribution!$D$11,distribution!$B$11,distribution!$B$12)</f>
        <v>N</v>
      </c>
      <c r="M105">
        <f t="shared" ca="1" si="13"/>
        <v>124037</v>
      </c>
      <c r="N105">
        <f t="shared" ca="1" si="14"/>
        <v>124037</v>
      </c>
    </row>
    <row r="106" spans="1:14" x14ac:dyDescent="0.45">
      <c r="A106">
        <f t="shared" si="15"/>
        <v>105</v>
      </c>
      <c r="B106">
        <f t="shared" ca="1" si="8"/>
        <v>1.7366281444407439E-2</v>
      </c>
      <c r="C106" t="str">
        <f ca="1">IF(B106&lt;=distribution!$D$2,distribution!$B$2,IF(B106&lt;=distribution!$D$3,distribution!$B$3,distribution!$B$4))</f>
        <v>ON</v>
      </c>
      <c r="D106">
        <f t="shared" ca="1" si="9"/>
        <v>0.89058646016287268</v>
      </c>
      <c r="E106" t="str">
        <f ca="1">IF(D106&lt;=distribution!$D$5,distribution!$B$5,distribution!$B$6)</f>
        <v>B</v>
      </c>
      <c r="F106">
        <f t="shared" ca="1" si="10"/>
        <v>0.6481584078640279</v>
      </c>
      <c r="G106" t="str">
        <f ca="1">IF(F106&lt;=distribution!$D$7,distribution!$B$7,IF(F106&lt;=distribution!$D$8,distribution!$B$8,IF(F106&lt;=distribution!$D$9,distribution!$B$9,distribution!$B$10)))</f>
        <v>45-54</v>
      </c>
      <c r="H106">
        <f ca="1">VLOOKUP(G106,age_band!$A$1:$C$5,2,FALSE)</f>
        <v>45</v>
      </c>
      <c r="I106">
        <f ca="1">VLOOKUP(G106,age_band!$A$2:$C$5,3,FALSE)</f>
        <v>54</v>
      </c>
      <c r="J106">
        <f t="shared" ca="1" si="11"/>
        <v>54</v>
      </c>
      <c r="K106">
        <f t="shared" ca="1" si="12"/>
        <v>0.43656869064053172</v>
      </c>
      <c r="L106" t="str">
        <f ca="1">IF(K106&lt;=distribution!$D$11,distribution!$B$11,distribution!$B$12)</f>
        <v>N</v>
      </c>
      <c r="M106">
        <f t="shared" ca="1" si="13"/>
        <v>72839</v>
      </c>
      <c r="N106">
        <f t="shared" ca="1" si="14"/>
        <v>72839</v>
      </c>
    </row>
    <row r="107" spans="1:14" x14ac:dyDescent="0.45">
      <c r="A107">
        <f t="shared" si="15"/>
        <v>106</v>
      </c>
      <c r="B107">
        <f t="shared" ca="1" si="8"/>
        <v>0.14394134260367408</v>
      </c>
      <c r="C107" t="str">
        <f ca="1">IF(B107&lt;=distribution!$D$2,distribution!$B$2,IF(B107&lt;=distribution!$D$3,distribution!$B$3,distribution!$B$4))</f>
        <v>ON</v>
      </c>
      <c r="D107">
        <f t="shared" ca="1" si="9"/>
        <v>0.20181384904305733</v>
      </c>
      <c r="E107" t="str">
        <f ca="1">IF(D107&lt;=distribution!$D$5,distribution!$B$5,distribution!$B$6)</f>
        <v>A</v>
      </c>
      <c r="F107">
        <f t="shared" ca="1" si="10"/>
        <v>0.4670685322017486</v>
      </c>
      <c r="G107" t="str">
        <f ca="1">IF(F107&lt;=distribution!$D$7,distribution!$B$7,IF(F107&lt;=distribution!$D$8,distribution!$B$8,IF(F107&lt;=distribution!$D$9,distribution!$B$9,distribution!$B$10)))</f>
        <v>35-44</v>
      </c>
      <c r="H107">
        <f ca="1">VLOOKUP(G107,age_band!$A$1:$C$5,2,FALSE)</f>
        <v>35</v>
      </c>
      <c r="I107">
        <f ca="1">VLOOKUP(G107,age_band!$A$2:$C$5,3,FALSE)</f>
        <v>44</v>
      </c>
      <c r="J107">
        <f t="shared" ca="1" si="11"/>
        <v>41</v>
      </c>
      <c r="K107">
        <f t="shared" ca="1" si="12"/>
        <v>2.9924333452018947E-2</v>
      </c>
      <c r="L107" t="str">
        <f ca="1">IF(K107&lt;=distribution!$D$11,distribution!$B$11,distribution!$B$12)</f>
        <v>N</v>
      </c>
      <c r="M107">
        <f t="shared" ca="1" si="13"/>
        <v>128065</v>
      </c>
      <c r="N107">
        <f t="shared" ca="1" si="14"/>
        <v>128065</v>
      </c>
    </row>
    <row r="108" spans="1:14" x14ac:dyDescent="0.45">
      <c r="A108">
        <f t="shared" si="15"/>
        <v>107</v>
      </c>
      <c r="B108">
        <f t="shared" ca="1" si="8"/>
        <v>0.16997812020446801</v>
      </c>
      <c r="C108" t="str">
        <f ca="1">IF(B108&lt;=distribution!$D$2,distribution!$B$2,IF(B108&lt;=distribution!$D$3,distribution!$B$3,distribution!$B$4))</f>
        <v>ON</v>
      </c>
      <c r="D108">
        <f t="shared" ca="1" si="9"/>
        <v>0.63222215698450301</v>
      </c>
      <c r="E108" t="str">
        <f ca="1">IF(D108&lt;=distribution!$D$5,distribution!$B$5,distribution!$B$6)</f>
        <v>A</v>
      </c>
      <c r="F108">
        <f t="shared" ca="1" si="10"/>
        <v>7.4153755053965376E-2</v>
      </c>
      <c r="G108" t="str">
        <f ca="1">IF(F108&lt;=distribution!$D$7,distribution!$B$7,IF(F108&lt;=distribution!$D$8,distribution!$B$8,IF(F108&lt;=distribution!$D$9,distribution!$B$9,distribution!$B$10)))</f>
        <v>25-34</v>
      </c>
      <c r="H108">
        <f ca="1">VLOOKUP(G108,age_band!$A$1:$C$5,2,FALSE)</f>
        <v>25</v>
      </c>
      <c r="I108">
        <f ca="1">VLOOKUP(G108,age_band!$A$2:$C$5,3,FALSE)</f>
        <v>34</v>
      </c>
      <c r="J108">
        <f t="shared" ca="1" si="11"/>
        <v>30</v>
      </c>
      <c r="K108">
        <f t="shared" ca="1" si="12"/>
        <v>0.64731478527324848</v>
      </c>
      <c r="L108" t="str">
        <f ca="1">IF(K108&lt;=distribution!$D$11,distribution!$B$11,distribution!$B$12)</f>
        <v>N</v>
      </c>
      <c r="M108">
        <f t="shared" ca="1" si="13"/>
        <v>78563</v>
      </c>
      <c r="N108">
        <f t="shared" ca="1" si="14"/>
        <v>78563</v>
      </c>
    </row>
    <row r="109" spans="1:14" x14ac:dyDescent="0.45">
      <c r="A109">
        <f t="shared" si="15"/>
        <v>108</v>
      </c>
      <c r="B109">
        <f t="shared" ca="1" si="8"/>
        <v>0.1584330725337082</v>
      </c>
      <c r="C109" t="str">
        <f ca="1">IF(B109&lt;=distribution!$D$2,distribution!$B$2,IF(B109&lt;=distribution!$D$3,distribution!$B$3,distribution!$B$4))</f>
        <v>ON</v>
      </c>
      <c r="D109">
        <f t="shared" ca="1" si="9"/>
        <v>0.76870652259814565</v>
      </c>
      <c r="E109" t="str">
        <f ca="1">IF(D109&lt;=distribution!$D$5,distribution!$B$5,distribution!$B$6)</f>
        <v>B</v>
      </c>
      <c r="F109">
        <f t="shared" ca="1" si="10"/>
        <v>7.0964943277463499E-2</v>
      </c>
      <c r="G109" t="str">
        <f ca="1">IF(F109&lt;=distribution!$D$7,distribution!$B$7,IF(F109&lt;=distribution!$D$8,distribution!$B$8,IF(F109&lt;=distribution!$D$9,distribution!$B$9,distribution!$B$10)))</f>
        <v>25-34</v>
      </c>
      <c r="H109">
        <f ca="1">VLOOKUP(G109,age_band!$A$1:$C$5,2,FALSE)</f>
        <v>25</v>
      </c>
      <c r="I109">
        <f ca="1">VLOOKUP(G109,age_band!$A$2:$C$5,3,FALSE)</f>
        <v>34</v>
      </c>
      <c r="J109">
        <f t="shared" ca="1" si="11"/>
        <v>32</v>
      </c>
      <c r="K109">
        <f t="shared" ca="1" si="12"/>
        <v>0.21366846283884988</v>
      </c>
      <c r="L109" t="str">
        <f ca="1">IF(K109&lt;=distribution!$D$11,distribution!$B$11,distribution!$B$12)</f>
        <v>N</v>
      </c>
      <c r="M109">
        <f t="shared" ca="1" si="13"/>
        <v>47277</v>
      </c>
      <c r="N109">
        <f t="shared" ca="1" si="14"/>
        <v>47277</v>
      </c>
    </row>
    <row r="110" spans="1:14" x14ac:dyDescent="0.45">
      <c r="A110">
        <f t="shared" si="15"/>
        <v>109</v>
      </c>
      <c r="B110">
        <f t="shared" ca="1" si="8"/>
        <v>0.17810176499467401</v>
      </c>
      <c r="C110" t="str">
        <f ca="1">IF(B110&lt;=distribution!$D$2,distribution!$B$2,IF(B110&lt;=distribution!$D$3,distribution!$B$3,distribution!$B$4))</f>
        <v>ON</v>
      </c>
      <c r="D110">
        <f t="shared" ca="1" si="9"/>
        <v>0.28931036060224213</v>
      </c>
      <c r="E110" t="str">
        <f ca="1">IF(D110&lt;=distribution!$D$5,distribution!$B$5,distribution!$B$6)</f>
        <v>A</v>
      </c>
      <c r="F110">
        <f t="shared" ca="1" si="10"/>
        <v>0.14128220167300654</v>
      </c>
      <c r="G110" t="str">
        <f ca="1">IF(F110&lt;=distribution!$D$7,distribution!$B$7,IF(F110&lt;=distribution!$D$8,distribution!$B$8,IF(F110&lt;=distribution!$D$9,distribution!$B$9,distribution!$B$10)))</f>
        <v>25-34</v>
      </c>
      <c r="H110">
        <f ca="1">VLOOKUP(G110,age_band!$A$1:$C$5,2,FALSE)</f>
        <v>25</v>
      </c>
      <c r="I110">
        <f ca="1">VLOOKUP(G110,age_band!$A$2:$C$5,3,FALSE)</f>
        <v>34</v>
      </c>
      <c r="J110">
        <f t="shared" ca="1" si="11"/>
        <v>31</v>
      </c>
      <c r="K110">
        <f t="shared" ca="1" si="12"/>
        <v>0.11569108493970415</v>
      </c>
      <c r="L110" t="str">
        <f ca="1">IF(K110&lt;=distribution!$D$11,distribution!$B$11,distribution!$B$12)</f>
        <v>N</v>
      </c>
      <c r="M110">
        <f t="shared" ca="1" si="13"/>
        <v>116842</v>
      </c>
      <c r="N110">
        <f t="shared" ca="1" si="14"/>
        <v>116842</v>
      </c>
    </row>
    <row r="111" spans="1:14" x14ac:dyDescent="0.45">
      <c r="A111">
        <f t="shared" si="15"/>
        <v>110</v>
      </c>
      <c r="B111">
        <f t="shared" ca="1" si="8"/>
        <v>0.49322017378103444</v>
      </c>
      <c r="C111" t="str">
        <f ca="1">IF(B111&lt;=distribution!$D$2,distribution!$B$2,IF(B111&lt;=distribution!$D$3,distribution!$B$3,distribution!$B$4))</f>
        <v>ON</v>
      </c>
      <c r="D111">
        <f t="shared" ca="1" si="9"/>
        <v>0.5023745561493479</v>
      </c>
      <c r="E111" t="str">
        <f ca="1">IF(D111&lt;=distribution!$D$5,distribution!$B$5,distribution!$B$6)</f>
        <v>A</v>
      </c>
      <c r="F111">
        <f t="shared" ca="1" si="10"/>
        <v>0.30112105417468349</v>
      </c>
      <c r="G111" t="str">
        <f ca="1">IF(F111&lt;=distribution!$D$7,distribution!$B$7,IF(F111&lt;=distribution!$D$8,distribution!$B$8,IF(F111&lt;=distribution!$D$9,distribution!$B$9,distribution!$B$10)))</f>
        <v>35-44</v>
      </c>
      <c r="H111">
        <f ca="1">VLOOKUP(G111,age_band!$A$1:$C$5,2,FALSE)</f>
        <v>35</v>
      </c>
      <c r="I111">
        <f ca="1">VLOOKUP(G111,age_band!$A$2:$C$5,3,FALSE)</f>
        <v>44</v>
      </c>
      <c r="J111">
        <f t="shared" ca="1" si="11"/>
        <v>42</v>
      </c>
      <c r="K111">
        <f t="shared" ca="1" si="12"/>
        <v>5.5182731268882512E-2</v>
      </c>
      <c r="L111" t="str">
        <f ca="1">IF(K111&lt;=distribution!$D$11,distribution!$B$11,distribution!$B$12)</f>
        <v>N</v>
      </c>
      <c r="M111">
        <f t="shared" ca="1" si="13"/>
        <v>81272</v>
      </c>
      <c r="N111">
        <f t="shared" ca="1" si="14"/>
        <v>81272</v>
      </c>
    </row>
    <row r="112" spans="1:14" x14ac:dyDescent="0.45">
      <c r="A112">
        <f t="shared" si="15"/>
        <v>111</v>
      </c>
      <c r="B112">
        <f t="shared" ca="1" si="8"/>
        <v>3.6411910006325043E-2</v>
      </c>
      <c r="C112" t="str">
        <f ca="1">IF(B112&lt;=distribution!$D$2,distribution!$B$2,IF(B112&lt;=distribution!$D$3,distribution!$B$3,distribution!$B$4))</f>
        <v>ON</v>
      </c>
      <c r="D112">
        <f t="shared" ca="1" si="9"/>
        <v>0.56293804158468352</v>
      </c>
      <c r="E112" t="str">
        <f ca="1">IF(D112&lt;=distribution!$D$5,distribution!$B$5,distribution!$B$6)</f>
        <v>A</v>
      </c>
      <c r="F112">
        <f t="shared" ca="1" si="10"/>
        <v>9.3258757348460897E-2</v>
      </c>
      <c r="G112" t="str">
        <f ca="1">IF(F112&lt;=distribution!$D$7,distribution!$B$7,IF(F112&lt;=distribution!$D$8,distribution!$B$8,IF(F112&lt;=distribution!$D$9,distribution!$B$9,distribution!$B$10)))</f>
        <v>25-34</v>
      </c>
      <c r="H112">
        <f ca="1">VLOOKUP(G112,age_band!$A$1:$C$5,2,FALSE)</f>
        <v>25</v>
      </c>
      <c r="I112">
        <f ca="1">VLOOKUP(G112,age_band!$A$2:$C$5,3,FALSE)</f>
        <v>34</v>
      </c>
      <c r="J112">
        <f t="shared" ca="1" si="11"/>
        <v>28</v>
      </c>
      <c r="K112">
        <f t="shared" ca="1" si="12"/>
        <v>0.90492043668200961</v>
      </c>
      <c r="L112" t="str">
        <f ca="1">IF(K112&lt;=distribution!$D$11,distribution!$B$11,distribution!$B$12)</f>
        <v>Y</v>
      </c>
      <c r="M112">
        <f t="shared" ca="1" si="13"/>
        <v>51102</v>
      </c>
      <c r="N112">
        <f t="shared" ca="1" si="14"/>
        <v>51102</v>
      </c>
    </row>
    <row r="113" spans="1:14" x14ac:dyDescent="0.45">
      <c r="A113">
        <f t="shared" si="15"/>
        <v>112</v>
      </c>
      <c r="B113">
        <f t="shared" ca="1" si="8"/>
        <v>0.43282953148519743</v>
      </c>
      <c r="C113" t="str">
        <f ca="1">IF(B113&lt;=distribution!$D$2,distribution!$B$2,IF(B113&lt;=distribution!$D$3,distribution!$B$3,distribution!$B$4))</f>
        <v>ON</v>
      </c>
      <c r="D113">
        <f t="shared" ca="1" si="9"/>
        <v>0.842995036196167</v>
      </c>
      <c r="E113" t="str">
        <f ca="1">IF(D113&lt;=distribution!$D$5,distribution!$B$5,distribution!$B$6)</f>
        <v>B</v>
      </c>
      <c r="F113">
        <f t="shared" ca="1" si="10"/>
        <v>0.62433209317168359</v>
      </c>
      <c r="G113" t="str">
        <f ca="1">IF(F113&lt;=distribution!$D$7,distribution!$B$7,IF(F113&lt;=distribution!$D$8,distribution!$B$8,IF(F113&lt;=distribution!$D$9,distribution!$B$9,distribution!$B$10)))</f>
        <v>45-54</v>
      </c>
      <c r="H113">
        <f ca="1">VLOOKUP(G113,age_band!$A$1:$C$5,2,FALSE)</f>
        <v>45</v>
      </c>
      <c r="I113">
        <f ca="1">VLOOKUP(G113,age_band!$A$2:$C$5,3,FALSE)</f>
        <v>54</v>
      </c>
      <c r="J113">
        <f t="shared" ca="1" si="11"/>
        <v>45</v>
      </c>
      <c r="K113">
        <f t="shared" ca="1" si="12"/>
        <v>0.57489975155051753</v>
      </c>
      <c r="L113" t="str">
        <f ca="1">IF(K113&lt;=distribution!$D$11,distribution!$B$11,distribution!$B$12)</f>
        <v>N</v>
      </c>
      <c r="M113">
        <f t="shared" ca="1" si="13"/>
        <v>54904</v>
      </c>
      <c r="N113">
        <f t="shared" ca="1" si="14"/>
        <v>54904</v>
      </c>
    </row>
    <row r="114" spans="1:14" x14ac:dyDescent="0.45">
      <c r="A114">
        <f t="shared" si="15"/>
        <v>113</v>
      </c>
      <c r="B114">
        <f t="shared" ca="1" si="8"/>
        <v>8.8459995938735436E-2</v>
      </c>
      <c r="C114" t="str">
        <f ca="1">IF(B114&lt;=distribution!$D$2,distribution!$B$2,IF(B114&lt;=distribution!$D$3,distribution!$B$3,distribution!$B$4))</f>
        <v>ON</v>
      </c>
      <c r="D114">
        <f t="shared" ca="1" si="9"/>
        <v>9.224254152784761E-2</v>
      </c>
      <c r="E114" t="str">
        <f ca="1">IF(D114&lt;=distribution!$D$5,distribution!$B$5,distribution!$B$6)</f>
        <v>A</v>
      </c>
      <c r="F114">
        <f t="shared" ca="1" si="10"/>
        <v>0.27143250834863042</v>
      </c>
      <c r="G114" t="str">
        <f ca="1">IF(F114&lt;=distribution!$D$7,distribution!$B$7,IF(F114&lt;=distribution!$D$8,distribution!$B$8,IF(F114&lt;=distribution!$D$9,distribution!$B$9,distribution!$B$10)))</f>
        <v>35-44</v>
      </c>
      <c r="H114">
        <f ca="1">VLOOKUP(G114,age_band!$A$1:$C$5,2,FALSE)</f>
        <v>35</v>
      </c>
      <c r="I114">
        <f ca="1">VLOOKUP(G114,age_band!$A$2:$C$5,3,FALSE)</f>
        <v>44</v>
      </c>
      <c r="J114">
        <f t="shared" ca="1" si="11"/>
        <v>37</v>
      </c>
      <c r="K114">
        <f t="shared" ca="1" si="12"/>
        <v>0.14879750622318832</v>
      </c>
      <c r="L114" t="str">
        <f ca="1">IF(K114&lt;=distribution!$D$11,distribution!$B$11,distribution!$B$12)</f>
        <v>N</v>
      </c>
      <c r="M114">
        <f t="shared" ca="1" si="13"/>
        <v>51638</v>
      </c>
      <c r="N114">
        <f t="shared" ca="1" si="14"/>
        <v>51638</v>
      </c>
    </row>
    <row r="115" spans="1:14" x14ac:dyDescent="0.45">
      <c r="A115">
        <f t="shared" si="15"/>
        <v>114</v>
      </c>
      <c r="B115">
        <f t="shared" ca="1" si="8"/>
        <v>0.25188179194837157</v>
      </c>
      <c r="C115" t="str">
        <f ca="1">IF(B115&lt;=distribution!$D$2,distribution!$B$2,IF(B115&lt;=distribution!$D$3,distribution!$B$3,distribution!$B$4))</f>
        <v>ON</v>
      </c>
      <c r="D115">
        <f t="shared" ca="1" si="9"/>
        <v>0.7443590375323067</v>
      </c>
      <c r="E115" t="str">
        <f ca="1">IF(D115&lt;=distribution!$D$5,distribution!$B$5,distribution!$B$6)</f>
        <v>B</v>
      </c>
      <c r="F115">
        <f t="shared" ca="1" si="10"/>
        <v>0.93415644639177564</v>
      </c>
      <c r="G115" t="str">
        <f ca="1">IF(F115&lt;=distribution!$D$7,distribution!$B$7,IF(F115&lt;=distribution!$D$8,distribution!$B$8,IF(F115&lt;=distribution!$D$9,distribution!$B$9,distribution!$B$10)))</f>
        <v>55-64</v>
      </c>
      <c r="H115">
        <f ca="1">VLOOKUP(G115,age_band!$A$1:$C$5,2,FALSE)</f>
        <v>55</v>
      </c>
      <c r="I115">
        <f ca="1">VLOOKUP(G115,age_band!$A$2:$C$5,3,FALSE)</f>
        <v>64</v>
      </c>
      <c r="J115">
        <f t="shared" ca="1" si="11"/>
        <v>56</v>
      </c>
      <c r="K115">
        <f t="shared" ca="1" si="12"/>
        <v>0.72471994452268951</v>
      </c>
      <c r="L115" t="str">
        <f ca="1">IF(K115&lt;=distribution!$D$11,distribution!$B$11,distribution!$B$12)</f>
        <v>N</v>
      </c>
      <c r="M115">
        <f t="shared" ca="1" si="13"/>
        <v>62423</v>
      </c>
      <c r="N115">
        <f t="shared" ca="1" si="14"/>
        <v>62423</v>
      </c>
    </row>
    <row r="116" spans="1:14" x14ac:dyDescent="0.45">
      <c r="A116">
        <f t="shared" si="15"/>
        <v>115</v>
      </c>
      <c r="B116">
        <f t="shared" ca="1" si="8"/>
        <v>0.59423515842682273</v>
      </c>
      <c r="C116" t="str">
        <f ca="1">IF(B116&lt;=distribution!$D$2,distribution!$B$2,IF(B116&lt;=distribution!$D$3,distribution!$B$3,distribution!$B$4))</f>
        <v>QC</v>
      </c>
      <c r="D116">
        <f t="shared" ca="1" si="9"/>
        <v>0.6385719720245594</v>
      </c>
      <c r="E116" t="str">
        <f ca="1">IF(D116&lt;=distribution!$D$5,distribution!$B$5,distribution!$B$6)</f>
        <v>A</v>
      </c>
      <c r="F116">
        <f t="shared" ca="1" si="10"/>
        <v>0.70010578713225302</v>
      </c>
      <c r="G116" t="str">
        <f ca="1">IF(F116&lt;=distribution!$D$7,distribution!$B$7,IF(F116&lt;=distribution!$D$8,distribution!$B$8,IF(F116&lt;=distribution!$D$9,distribution!$B$9,distribution!$B$10)))</f>
        <v>45-54</v>
      </c>
      <c r="H116">
        <f ca="1">VLOOKUP(G116,age_band!$A$1:$C$5,2,FALSE)</f>
        <v>45</v>
      </c>
      <c r="I116">
        <f ca="1">VLOOKUP(G116,age_band!$A$2:$C$5,3,FALSE)</f>
        <v>54</v>
      </c>
      <c r="J116">
        <f t="shared" ca="1" si="11"/>
        <v>53</v>
      </c>
      <c r="K116">
        <f t="shared" ca="1" si="12"/>
        <v>0.59652367184491495</v>
      </c>
      <c r="L116" t="str">
        <f ca="1">IF(K116&lt;=distribution!$D$11,distribution!$B$11,distribution!$B$12)</f>
        <v>N</v>
      </c>
      <c r="M116">
        <f t="shared" ca="1" si="13"/>
        <v>125816</v>
      </c>
      <c r="N116">
        <f t="shared" ca="1" si="14"/>
        <v>125816</v>
      </c>
    </row>
    <row r="117" spans="1:14" x14ac:dyDescent="0.45">
      <c r="A117">
        <f t="shared" si="15"/>
        <v>116</v>
      </c>
      <c r="B117">
        <f t="shared" ca="1" si="8"/>
        <v>3.6294803135608622E-2</v>
      </c>
      <c r="C117" t="str">
        <f ca="1">IF(B117&lt;=distribution!$D$2,distribution!$B$2,IF(B117&lt;=distribution!$D$3,distribution!$B$3,distribution!$B$4))</f>
        <v>ON</v>
      </c>
      <c r="D117">
        <f t="shared" ca="1" si="9"/>
        <v>0.96891423094867601</v>
      </c>
      <c r="E117" t="str">
        <f ca="1">IF(D117&lt;=distribution!$D$5,distribution!$B$5,distribution!$B$6)</f>
        <v>B</v>
      </c>
      <c r="F117">
        <f t="shared" ca="1" si="10"/>
        <v>0.34715166728958713</v>
      </c>
      <c r="G117" t="str">
        <f ca="1">IF(F117&lt;=distribution!$D$7,distribution!$B$7,IF(F117&lt;=distribution!$D$8,distribution!$B$8,IF(F117&lt;=distribution!$D$9,distribution!$B$9,distribution!$B$10)))</f>
        <v>35-44</v>
      </c>
      <c r="H117">
        <f ca="1">VLOOKUP(G117,age_band!$A$1:$C$5,2,FALSE)</f>
        <v>35</v>
      </c>
      <c r="I117">
        <f ca="1">VLOOKUP(G117,age_band!$A$2:$C$5,3,FALSE)</f>
        <v>44</v>
      </c>
      <c r="J117">
        <f t="shared" ca="1" si="11"/>
        <v>37</v>
      </c>
      <c r="K117">
        <f t="shared" ca="1" si="12"/>
        <v>0.88475104819077</v>
      </c>
      <c r="L117" t="str">
        <f ca="1">IF(K117&lt;=distribution!$D$11,distribution!$B$11,distribution!$B$12)</f>
        <v>Y</v>
      </c>
      <c r="M117">
        <f t="shared" ca="1" si="13"/>
        <v>61007</v>
      </c>
      <c r="N117">
        <f t="shared" ca="1" si="14"/>
        <v>61007</v>
      </c>
    </row>
    <row r="118" spans="1:14" x14ac:dyDescent="0.45">
      <c r="A118">
        <f t="shared" si="15"/>
        <v>117</v>
      </c>
      <c r="B118">
        <f t="shared" ca="1" si="8"/>
        <v>0.31875671622250601</v>
      </c>
      <c r="C118" t="str">
        <f ca="1">IF(B118&lt;=distribution!$D$2,distribution!$B$2,IF(B118&lt;=distribution!$D$3,distribution!$B$3,distribution!$B$4))</f>
        <v>ON</v>
      </c>
      <c r="D118">
        <f t="shared" ca="1" si="9"/>
        <v>5.5428307980075031E-2</v>
      </c>
      <c r="E118" t="str">
        <f ca="1">IF(D118&lt;=distribution!$D$5,distribution!$B$5,distribution!$B$6)</f>
        <v>A</v>
      </c>
      <c r="F118">
        <f t="shared" ca="1" si="10"/>
        <v>0.76459241862512251</v>
      </c>
      <c r="G118" t="str">
        <f ca="1">IF(F118&lt;=distribution!$D$7,distribution!$B$7,IF(F118&lt;=distribution!$D$8,distribution!$B$8,IF(F118&lt;=distribution!$D$9,distribution!$B$9,distribution!$B$10)))</f>
        <v>45-54</v>
      </c>
      <c r="H118">
        <f ca="1">VLOOKUP(G118,age_band!$A$1:$C$5,2,FALSE)</f>
        <v>45</v>
      </c>
      <c r="I118">
        <f ca="1">VLOOKUP(G118,age_band!$A$2:$C$5,3,FALSE)</f>
        <v>54</v>
      </c>
      <c r="J118">
        <f t="shared" ca="1" si="11"/>
        <v>49</v>
      </c>
      <c r="K118">
        <f t="shared" ca="1" si="12"/>
        <v>0.53657954896642623</v>
      </c>
      <c r="L118" t="str">
        <f ca="1">IF(K118&lt;=distribution!$D$11,distribution!$B$11,distribution!$B$12)</f>
        <v>N</v>
      </c>
      <c r="M118">
        <f t="shared" ca="1" si="13"/>
        <v>118908</v>
      </c>
      <c r="N118">
        <f t="shared" ca="1" si="14"/>
        <v>118908</v>
      </c>
    </row>
    <row r="119" spans="1:14" x14ac:dyDescent="0.45">
      <c r="A119">
        <f t="shared" si="15"/>
        <v>118</v>
      </c>
      <c r="B119">
        <f t="shared" ca="1" si="8"/>
        <v>0.23303284254082168</v>
      </c>
      <c r="C119" t="str">
        <f ca="1">IF(B119&lt;=distribution!$D$2,distribution!$B$2,IF(B119&lt;=distribution!$D$3,distribution!$B$3,distribution!$B$4))</f>
        <v>ON</v>
      </c>
      <c r="D119">
        <f t="shared" ca="1" si="9"/>
        <v>0.87322889006996796</v>
      </c>
      <c r="E119" t="str">
        <f ca="1">IF(D119&lt;=distribution!$D$5,distribution!$B$5,distribution!$B$6)</f>
        <v>B</v>
      </c>
      <c r="F119">
        <f t="shared" ca="1" si="10"/>
        <v>0.69260675783255043</v>
      </c>
      <c r="G119" t="str">
        <f ca="1">IF(F119&lt;=distribution!$D$7,distribution!$B$7,IF(F119&lt;=distribution!$D$8,distribution!$B$8,IF(F119&lt;=distribution!$D$9,distribution!$B$9,distribution!$B$10)))</f>
        <v>45-54</v>
      </c>
      <c r="H119">
        <f ca="1">VLOOKUP(G119,age_band!$A$1:$C$5,2,FALSE)</f>
        <v>45</v>
      </c>
      <c r="I119">
        <f ca="1">VLOOKUP(G119,age_band!$A$2:$C$5,3,FALSE)</f>
        <v>54</v>
      </c>
      <c r="J119">
        <f t="shared" ca="1" si="11"/>
        <v>50</v>
      </c>
      <c r="K119">
        <f t="shared" ca="1" si="12"/>
        <v>4.5013824858286977E-2</v>
      </c>
      <c r="L119" t="str">
        <f ca="1">IF(K119&lt;=distribution!$D$11,distribution!$B$11,distribution!$B$12)</f>
        <v>N</v>
      </c>
      <c r="M119">
        <f t="shared" ca="1" si="13"/>
        <v>66764</v>
      </c>
      <c r="N119">
        <f t="shared" ca="1" si="14"/>
        <v>66764</v>
      </c>
    </row>
    <row r="120" spans="1:14" x14ac:dyDescent="0.45">
      <c r="A120">
        <f t="shared" si="15"/>
        <v>119</v>
      </c>
      <c r="B120">
        <f t="shared" ca="1" si="8"/>
        <v>0.44737395332561469</v>
      </c>
      <c r="C120" t="str">
        <f ca="1">IF(B120&lt;=distribution!$D$2,distribution!$B$2,IF(B120&lt;=distribution!$D$3,distribution!$B$3,distribution!$B$4))</f>
        <v>ON</v>
      </c>
      <c r="D120">
        <f t="shared" ca="1" si="9"/>
        <v>0.13929716674492765</v>
      </c>
      <c r="E120" t="str">
        <f ca="1">IF(D120&lt;=distribution!$D$5,distribution!$B$5,distribution!$B$6)</f>
        <v>A</v>
      </c>
      <c r="F120">
        <f t="shared" ca="1" si="10"/>
        <v>0.72402381041381259</v>
      </c>
      <c r="G120" t="str">
        <f ca="1">IF(F120&lt;=distribution!$D$7,distribution!$B$7,IF(F120&lt;=distribution!$D$8,distribution!$B$8,IF(F120&lt;=distribution!$D$9,distribution!$B$9,distribution!$B$10)))</f>
        <v>45-54</v>
      </c>
      <c r="H120">
        <f ca="1">VLOOKUP(G120,age_band!$A$1:$C$5,2,FALSE)</f>
        <v>45</v>
      </c>
      <c r="I120">
        <f ca="1">VLOOKUP(G120,age_band!$A$2:$C$5,3,FALSE)</f>
        <v>54</v>
      </c>
      <c r="J120">
        <f t="shared" ca="1" si="11"/>
        <v>52</v>
      </c>
      <c r="K120">
        <f t="shared" ca="1" si="12"/>
        <v>0.15796185354307601</v>
      </c>
      <c r="L120" t="str">
        <f ca="1">IF(K120&lt;=distribution!$D$11,distribution!$B$11,distribution!$B$12)</f>
        <v>N</v>
      </c>
      <c r="M120">
        <f t="shared" ca="1" si="13"/>
        <v>71102</v>
      </c>
      <c r="N120">
        <f t="shared" ca="1" si="14"/>
        <v>71102</v>
      </c>
    </row>
    <row r="121" spans="1:14" x14ac:dyDescent="0.45">
      <c r="A121">
        <f t="shared" si="15"/>
        <v>120</v>
      </c>
      <c r="B121">
        <f t="shared" ca="1" si="8"/>
        <v>0.3374774619488643</v>
      </c>
      <c r="C121" t="str">
        <f ca="1">IF(B121&lt;=distribution!$D$2,distribution!$B$2,IF(B121&lt;=distribution!$D$3,distribution!$B$3,distribution!$B$4))</f>
        <v>ON</v>
      </c>
      <c r="D121">
        <f t="shared" ca="1" si="9"/>
        <v>0.47081273623345743</v>
      </c>
      <c r="E121" t="str">
        <f ca="1">IF(D121&lt;=distribution!$D$5,distribution!$B$5,distribution!$B$6)</f>
        <v>A</v>
      </c>
      <c r="F121">
        <f t="shared" ca="1" si="10"/>
        <v>0.30855014197475661</v>
      </c>
      <c r="G121" t="str">
        <f ca="1">IF(F121&lt;=distribution!$D$7,distribution!$B$7,IF(F121&lt;=distribution!$D$8,distribution!$B$8,IF(F121&lt;=distribution!$D$9,distribution!$B$9,distribution!$B$10)))</f>
        <v>35-44</v>
      </c>
      <c r="H121">
        <f ca="1">VLOOKUP(G121,age_band!$A$1:$C$5,2,FALSE)</f>
        <v>35</v>
      </c>
      <c r="I121">
        <f ca="1">VLOOKUP(G121,age_band!$A$2:$C$5,3,FALSE)</f>
        <v>44</v>
      </c>
      <c r="J121">
        <f t="shared" ca="1" si="11"/>
        <v>39</v>
      </c>
      <c r="K121">
        <f t="shared" ca="1" si="12"/>
        <v>0.88587319068398795</v>
      </c>
      <c r="L121" t="str">
        <f ca="1">IF(K121&lt;=distribution!$D$11,distribution!$B$11,distribution!$B$12)</f>
        <v>Y</v>
      </c>
      <c r="M121">
        <f t="shared" ca="1" si="13"/>
        <v>73954</v>
      </c>
      <c r="N121">
        <f t="shared" ca="1" si="14"/>
        <v>73954</v>
      </c>
    </row>
    <row r="122" spans="1:14" x14ac:dyDescent="0.45">
      <c r="A122">
        <f t="shared" si="15"/>
        <v>121</v>
      </c>
      <c r="B122">
        <f t="shared" ca="1" si="8"/>
        <v>0.48090881173737321</v>
      </c>
      <c r="C122" t="str">
        <f ca="1">IF(B122&lt;=distribution!$D$2,distribution!$B$2,IF(B122&lt;=distribution!$D$3,distribution!$B$3,distribution!$B$4))</f>
        <v>ON</v>
      </c>
      <c r="D122">
        <f t="shared" ca="1" si="9"/>
        <v>0.28768895966465413</v>
      </c>
      <c r="E122" t="str">
        <f ca="1">IF(D122&lt;=distribution!$D$5,distribution!$B$5,distribution!$B$6)</f>
        <v>A</v>
      </c>
      <c r="F122">
        <f t="shared" ca="1" si="10"/>
        <v>0.5356035606959012</v>
      </c>
      <c r="G122" t="str">
        <f ca="1">IF(F122&lt;=distribution!$D$7,distribution!$B$7,IF(F122&lt;=distribution!$D$8,distribution!$B$8,IF(F122&lt;=distribution!$D$9,distribution!$B$9,distribution!$B$10)))</f>
        <v>35-44</v>
      </c>
      <c r="H122">
        <f ca="1">VLOOKUP(G122,age_band!$A$1:$C$5,2,FALSE)</f>
        <v>35</v>
      </c>
      <c r="I122">
        <f ca="1">VLOOKUP(G122,age_band!$A$2:$C$5,3,FALSE)</f>
        <v>44</v>
      </c>
      <c r="J122">
        <f t="shared" ca="1" si="11"/>
        <v>36</v>
      </c>
      <c r="K122">
        <f t="shared" ca="1" si="12"/>
        <v>0.40678222182070356</v>
      </c>
      <c r="L122" t="str">
        <f ca="1">IF(K122&lt;=distribution!$D$11,distribution!$B$11,distribution!$B$12)</f>
        <v>N</v>
      </c>
      <c r="M122">
        <f t="shared" ca="1" si="13"/>
        <v>61646</v>
      </c>
      <c r="N122">
        <f t="shared" ca="1" si="14"/>
        <v>61646</v>
      </c>
    </row>
    <row r="123" spans="1:14" x14ac:dyDescent="0.45">
      <c r="A123">
        <f t="shared" si="15"/>
        <v>122</v>
      </c>
      <c r="B123">
        <f t="shared" ca="1" si="8"/>
        <v>0.3915964396688475</v>
      </c>
      <c r="C123" t="str">
        <f ca="1">IF(B123&lt;=distribution!$D$2,distribution!$B$2,IF(B123&lt;=distribution!$D$3,distribution!$B$3,distribution!$B$4))</f>
        <v>ON</v>
      </c>
      <c r="D123">
        <f t="shared" ca="1" si="9"/>
        <v>9.7696550845112307E-2</v>
      </c>
      <c r="E123" t="str">
        <f ca="1">IF(D123&lt;=distribution!$D$5,distribution!$B$5,distribution!$B$6)</f>
        <v>A</v>
      </c>
      <c r="F123">
        <f t="shared" ca="1" si="10"/>
        <v>0.68863955968652746</v>
      </c>
      <c r="G123" t="str">
        <f ca="1">IF(F123&lt;=distribution!$D$7,distribution!$B$7,IF(F123&lt;=distribution!$D$8,distribution!$B$8,IF(F123&lt;=distribution!$D$9,distribution!$B$9,distribution!$B$10)))</f>
        <v>45-54</v>
      </c>
      <c r="H123">
        <f ca="1">VLOOKUP(G123,age_band!$A$1:$C$5,2,FALSE)</f>
        <v>45</v>
      </c>
      <c r="I123">
        <f ca="1">VLOOKUP(G123,age_band!$A$2:$C$5,3,FALSE)</f>
        <v>54</v>
      </c>
      <c r="J123">
        <f t="shared" ca="1" si="11"/>
        <v>47</v>
      </c>
      <c r="K123">
        <f t="shared" ca="1" si="12"/>
        <v>0.62147999911977503</v>
      </c>
      <c r="L123" t="str">
        <f ca="1">IF(K123&lt;=distribution!$D$11,distribution!$B$11,distribution!$B$12)</f>
        <v>N</v>
      </c>
      <c r="M123">
        <f t="shared" ca="1" si="13"/>
        <v>113364</v>
      </c>
      <c r="N123">
        <f t="shared" ca="1" si="14"/>
        <v>113364</v>
      </c>
    </row>
    <row r="124" spans="1:14" x14ac:dyDescent="0.45">
      <c r="A124">
        <f t="shared" si="15"/>
        <v>123</v>
      </c>
      <c r="B124">
        <f t="shared" ca="1" si="8"/>
        <v>0.81869957914565417</v>
      </c>
      <c r="C124" t="str">
        <f ca="1">IF(B124&lt;=distribution!$D$2,distribution!$B$2,IF(B124&lt;=distribution!$D$3,distribution!$B$3,distribution!$B$4))</f>
        <v>BC</v>
      </c>
      <c r="D124">
        <f t="shared" ca="1" si="9"/>
        <v>0.6212466643976059</v>
      </c>
      <c r="E124" t="str">
        <f ca="1">IF(D124&lt;=distribution!$D$5,distribution!$B$5,distribution!$B$6)</f>
        <v>A</v>
      </c>
      <c r="F124">
        <f t="shared" ca="1" si="10"/>
        <v>0.7371799752748146</v>
      </c>
      <c r="G124" t="str">
        <f ca="1">IF(F124&lt;=distribution!$D$7,distribution!$B$7,IF(F124&lt;=distribution!$D$8,distribution!$B$8,IF(F124&lt;=distribution!$D$9,distribution!$B$9,distribution!$B$10)))</f>
        <v>45-54</v>
      </c>
      <c r="H124">
        <f ca="1">VLOOKUP(G124,age_band!$A$1:$C$5,2,FALSE)</f>
        <v>45</v>
      </c>
      <c r="I124">
        <f ca="1">VLOOKUP(G124,age_band!$A$2:$C$5,3,FALSE)</f>
        <v>54</v>
      </c>
      <c r="J124">
        <f t="shared" ca="1" si="11"/>
        <v>52</v>
      </c>
      <c r="K124">
        <f t="shared" ca="1" si="12"/>
        <v>0.15471286307381515</v>
      </c>
      <c r="L124" t="str">
        <f ca="1">IF(K124&lt;=distribution!$D$11,distribution!$B$11,distribution!$B$12)</f>
        <v>N</v>
      </c>
      <c r="M124">
        <f t="shared" ca="1" si="13"/>
        <v>119454</v>
      </c>
      <c r="N124">
        <f t="shared" ca="1" si="14"/>
        <v>119454</v>
      </c>
    </row>
    <row r="125" spans="1:14" x14ac:dyDescent="0.45">
      <c r="A125">
        <f t="shared" si="15"/>
        <v>124</v>
      </c>
      <c r="B125">
        <f t="shared" ca="1" si="8"/>
        <v>0.41806166110045129</v>
      </c>
      <c r="C125" t="str">
        <f ca="1">IF(B125&lt;=distribution!$D$2,distribution!$B$2,IF(B125&lt;=distribution!$D$3,distribution!$B$3,distribution!$B$4))</f>
        <v>ON</v>
      </c>
      <c r="D125">
        <f t="shared" ca="1" si="9"/>
        <v>9.8712795378408602E-2</v>
      </c>
      <c r="E125" t="str">
        <f ca="1">IF(D125&lt;=distribution!$D$5,distribution!$B$5,distribution!$B$6)</f>
        <v>A</v>
      </c>
      <c r="F125">
        <f t="shared" ca="1" si="10"/>
        <v>0.36385490645138563</v>
      </c>
      <c r="G125" t="str">
        <f ca="1">IF(F125&lt;=distribution!$D$7,distribution!$B$7,IF(F125&lt;=distribution!$D$8,distribution!$B$8,IF(F125&lt;=distribution!$D$9,distribution!$B$9,distribution!$B$10)))</f>
        <v>35-44</v>
      </c>
      <c r="H125">
        <f ca="1">VLOOKUP(G125,age_band!$A$1:$C$5,2,FALSE)</f>
        <v>35</v>
      </c>
      <c r="I125">
        <f ca="1">VLOOKUP(G125,age_band!$A$2:$C$5,3,FALSE)</f>
        <v>44</v>
      </c>
      <c r="J125">
        <f t="shared" ca="1" si="11"/>
        <v>41</v>
      </c>
      <c r="K125">
        <f t="shared" ca="1" si="12"/>
        <v>0.31836345740886729</v>
      </c>
      <c r="L125" t="str">
        <f ca="1">IF(K125&lt;=distribution!$D$11,distribution!$B$11,distribution!$B$12)</f>
        <v>N</v>
      </c>
      <c r="M125">
        <f t="shared" ca="1" si="13"/>
        <v>108688</v>
      </c>
      <c r="N125">
        <f t="shared" ca="1" si="14"/>
        <v>108688</v>
      </c>
    </row>
    <row r="126" spans="1:14" x14ac:dyDescent="0.45">
      <c r="A126">
        <f t="shared" si="15"/>
        <v>125</v>
      </c>
      <c r="B126">
        <f t="shared" ca="1" si="8"/>
        <v>0.94509545261990791</v>
      </c>
      <c r="C126" t="str">
        <f ca="1">IF(B126&lt;=distribution!$D$2,distribution!$B$2,IF(B126&lt;=distribution!$D$3,distribution!$B$3,distribution!$B$4))</f>
        <v>BC</v>
      </c>
      <c r="D126">
        <f t="shared" ca="1" si="9"/>
        <v>0.979882165157961</v>
      </c>
      <c r="E126" t="str">
        <f ca="1">IF(D126&lt;=distribution!$D$5,distribution!$B$5,distribution!$B$6)</f>
        <v>B</v>
      </c>
      <c r="F126">
        <f t="shared" ca="1" si="10"/>
        <v>0.33243847993594311</v>
      </c>
      <c r="G126" t="str">
        <f ca="1">IF(F126&lt;=distribution!$D$7,distribution!$B$7,IF(F126&lt;=distribution!$D$8,distribution!$B$8,IF(F126&lt;=distribution!$D$9,distribution!$B$9,distribution!$B$10)))</f>
        <v>35-44</v>
      </c>
      <c r="H126">
        <f ca="1">VLOOKUP(G126,age_band!$A$1:$C$5,2,FALSE)</f>
        <v>35</v>
      </c>
      <c r="I126">
        <f ca="1">VLOOKUP(G126,age_band!$A$2:$C$5,3,FALSE)</f>
        <v>44</v>
      </c>
      <c r="J126">
        <f t="shared" ca="1" si="11"/>
        <v>43</v>
      </c>
      <c r="K126">
        <f t="shared" ca="1" si="12"/>
        <v>0.3476334848984064</v>
      </c>
      <c r="L126" t="str">
        <f ca="1">IF(K126&lt;=distribution!$D$11,distribution!$B$11,distribution!$B$12)</f>
        <v>N</v>
      </c>
      <c r="M126">
        <f t="shared" ca="1" si="13"/>
        <v>48656</v>
      </c>
      <c r="N126">
        <f t="shared" ca="1" si="14"/>
        <v>48656</v>
      </c>
    </row>
    <row r="127" spans="1:14" x14ac:dyDescent="0.45">
      <c r="A127">
        <f t="shared" si="15"/>
        <v>126</v>
      </c>
      <c r="B127">
        <f t="shared" ca="1" si="8"/>
        <v>0.70931808245944272</v>
      </c>
      <c r="C127" t="str">
        <f ca="1">IF(B127&lt;=distribution!$D$2,distribution!$B$2,IF(B127&lt;=distribution!$D$3,distribution!$B$3,distribution!$B$4))</f>
        <v>QC</v>
      </c>
      <c r="D127">
        <f t="shared" ca="1" si="9"/>
        <v>0.28568190342567479</v>
      </c>
      <c r="E127" t="str">
        <f ca="1">IF(D127&lt;=distribution!$D$5,distribution!$B$5,distribution!$B$6)</f>
        <v>A</v>
      </c>
      <c r="F127">
        <f t="shared" ca="1" si="10"/>
        <v>5.2233618445471253E-2</v>
      </c>
      <c r="G127" t="str">
        <f ca="1">IF(F127&lt;=distribution!$D$7,distribution!$B$7,IF(F127&lt;=distribution!$D$8,distribution!$B$8,IF(F127&lt;=distribution!$D$9,distribution!$B$9,distribution!$B$10)))</f>
        <v>25-34</v>
      </c>
      <c r="H127">
        <f ca="1">VLOOKUP(G127,age_band!$A$1:$C$5,2,FALSE)</f>
        <v>25</v>
      </c>
      <c r="I127">
        <f ca="1">VLOOKUP(G127,age_band!$A$2:$C$5,3,FALSE)</f>
        <v>34</v>
      </c>
      <c r="J127">
        <f t="shared" ca="1" si="11"/>
        <v>28</v>
      </c>
      <c r="K127">
        <f t="shared" ca="1" si="12"/>
        <v>0.34299072215810034</v>
      </c>
      <c r="L127" t="str">
        <f ca="1">IF(K127&lt;=distribution!$D$11,distribution!$B$11,distribution!$B$12)</f>
        <v>N</v>
      </c>
      <c r="M127">
        <f t="shared" ca="1" si="13"/>
        <v>71356</v>
      </c>
      <c r="N127">
        <f t="shared" ca="1" si="14"/>
        <v>71356</v>
      </c>
    </row>
    <row r="128" spans="1:14" x14ac:dyDescent="0.45">
      <c r="A128">
        <f t="shared" si="15"/>
        <v>127</v>
      </c>
      <c r="B128">
        <f t="shared" ca="1" si="8"/>
        <v>0.19253375929088357</v>
      </c>
      <c r="C128" t="str">
        <f ca="1">IF(B128&lt;=distribution!$D$2,distribution!$B$2,IF(B128&lt;=distribution!$D$3,distribution!$B$3,distribution!$B$4))</f>
        <v>ON</v>
      </c>
      <c r="D128">
        <f t="shared" ca="1" si="9"/>
        <v>0.53517184942488705</v>
      </c>
      <c r="E128" t="str">
        <f ca="1">IF(D128&lt;=distribution!$D$5,distribution!$B$5,distribution!$B$6)</f>
        <v>A</v>
      </c>
      <c r="F128">
        <f t="shared" ca="1" si="10"/>
        <v>0.95492659802460289</v>
      </c>
      <c r="G128" t="str">
        <f ca="1">IF(F128&lt;=distribution!$D$7,distribution!$B$7,IF(F128&lt;=distribution!$D$8,distribution!$B$8,IF(F128&lt;=distribution!$D$9,distribution!$B$9,distribution!$B$10)))</f>
        <v>55-64</v>
      </c>
      <c r="H128">
        <f ca="1">VLOOKUP(G128,age_band!$A$1:$C$5,2,FALSE)</f>
        <v>55</v>
      </c>
      <c r="I128">
        <f ca="1">VLOOKUP(G128,age_band!$A$2:$C$5,3,FALSE)</f>
        <v>64</v>
      </c>
      <c r="J128">
        <f t="shared" ca="1" si="11"/>
        <v>56</v>
      </c>
      <c r="K128">
        <f t="shared" ca="1" si="12"/>
        <v>0.23490698521222497</v>
      </c>
      <c r="L128" t="str">
        <f ca="1">IF(K128&lt;=distribution!$D$11,distribution!$B$11,distribution!$B$12)</f>
        <v>N</v>
      </c>
      <c r="M128">
        <f t="shared" ca="1" si="13"/>
        <v>110404</v>
      </c>
      <c r="N128">
        <f t="shared" ca="1" si="14"/>
        <v>110404</v>
      </c>
    </row>
    <row r="129" spans="1:14" x14ac:dyDescent="0.45">
      <c r="A129">
        <f t="shared" si="15"/>
        <v>128</v>
      </c>
      <c r="B129">
        <f t="shared" ca="1" si="8"/>
        <v>0.63709187560064706</v>
      </c>
      <c r="C129" t="str">
        <f ca="1">IF(B129&lt;=distribution!$D$2,distribution!$B$2,IF(B129&lt;=distribution!$D$3,distribution!$B$3,distribution!$B$4))</f>
        <v>QC</v>
      </c>
      <c r="D129">
        <f t="shared" ca="1" si="9"/>
        <v>9.1467793941030551E-2</v>
      </c>
      <c r="E129" t="str">
        <f ca="1">IF(D129&lt;=distribution!$D$5,distribution!$B$5,distribution!$B$6)</f>
        <v>A</v>
      </c>
      <c r="F129">
        <f t="shared" ca="1" si="10"/>
        <v>0.26167059998452413</v>
      </c>
      <c r="G129" t="str">
        <f ca="1">IF(F129&lt;=distribution!$D$7,distribution!$B$7,IF(F129&lt;=distribution!$D$8,distribution!$B$8,IF(F129&lt;=distribution!$D$9,distribution!$B$9,distribution!$B$10)))</f>
        <v>35-44</v>
      </c>
      <c r="H129">
        <f ca="1">VLOOKUP(G129,age_band!$A$1:$C$5,2,FALSE)</f>
        <v>35</v>
      </c>
      <c r="I129">
        <f ca="1">VLOOKUP(G129,age_band!$A$2:$C$5,3,FALSE)</f>
        <v>44</v>
      </c>
      <c r="J129">
        <f t="shared" ca="1" si="11"/>
        <v>35</v>
      </c>
      <c r="K129">
        <f t="shared" ca="1" si="12"/>
        <v>0.23622337968916418</v>
      </c>
      <c r="L129" t="str">
        <f ca="1">IF(K129&lt;=distribution!$D$11,distribution!$B$11,distribution!$B$12)</f>
        <v>N</v>
      </c>
      <c r="M129">
        <f t="shared" ca="1" si="13"/>
        <v>60728</v>
      </c>
      <c r="N129">
        <f t="shared" ca="1" si="14"/>
        <v>60728</v>
      </c>
    </row>
    <row r="130" spans="1:14" x14ac:dyDescent="0.45">
      <c r="A130">
        <f t="shared" si="15"/>
        <v>129</v>
      </c>
      <c r="B130">
        <f t="shared" ca="1" si="8"/>
        <v>2.2579569263381116E-2</v>
      </c>
      <c r="C130" t="str">
        <f ca="1">IF(B130&lt;=distribution!$D$2,distribution!$B$2,IF(B130&lt;=distribution!$D$3,distribution!$B$3,distribution!$B$4))</f>
        <v>ON</v>
      </c>
      <c r="D130">
        <f t="shared" ca="1" si="9"/>
        <v>0.34913970994805732</v>
      </c>
      <c r="E130" t="str">
        <f ca="1">IF(D130&lt;=distribution!$D$5,distribution!$B$5,distribution!$B$6)</f>
        <v>A</v>
      </c>
      <c r="F130">
        <f t="shared" ca="1" si="10"/>
        <v>2.151911134122908E-2</v>
      </c>
      <c r="G130" t="str">
        <f ca="1">IF(F130&lt;=distribution!$D$7,distribution!$B$7,IF(F130&lt;=distribution!$D$8,distribution!$B$8,IF(F130&lt;=distribution!$D$9,distribution!$B$9,distribution!$B$10)))</f>
        <v>25-34</v>
      </c>
      <c r="H130">
        <f ca="1">VLOOKUP(G130,age_band!$A$1:$C$5,2,FALSE)</f>
        <v>25</v>
      </c>
      <c r="I130">
        <f ca="1">VLOOKUP(G130,age_band!$A$2:$C$5,3,FALSE)</f>
        <v>34</v>
      </c>
      <c r="J130">
        <f t="shared" ca="1" si="11"/>
        <v>30</v>
      </c>
      <c r="K130">
        <f t="shared" ca="1" si="12"/>
        <v>0.85974026460637842</v>
      </c>
      <c r="L130" t="str">
        <f ca="1">IF(K130&lt;=distribution!$D$11,distribution!$B$11,distribution!$B$12)</f>
        <v>Y</v>
      </c>
      <c r="M130">
        <f t="shared" ca="1" si="13"/>
        <v>82148</v>
      </c>
      <c r="N130">
        <f t="shared" ca="1" si="14"/>
        <v>82148</v>
      </c>
    </row>
    <row r="131" spans="1:14" x14ac:dyDescent="0.45">
      <c r="A131">
        <f t="shared" si="15"/>
        <v>130</v>
      </c>
      <c r="B131">
        <f t="shared" ref="B131:B194" ca="1" si="16">RAND()</f>
        <v>0.17770776467973071</v>
      </c>
      <c r="C131" t="str">
        <f ca="1">IF(B131&lt;=distribution!$D$2,distribution!$B$2,IF(B131&lt;=distribution!$D$3,distribution!$B$3,distribution!$B$4))</f>
        <v>ON</v>
      </c>
      <c r="D131">
        <f t="shared" ref="D131:D194" ca="1" si="17">RAND()</f>
        <v>0.8661408513624641</v>
      </c>
      <c r="E131" t="str">
        <f ca="1">IF(D131&lt;=distribution!$D$5,distribution!$B$5,distribution!$B$6)</f>
        <v>B</v>
      </c>
      <c r="F131">
        <f t="shared" ref="F131:F194" ca="1" si="18">RAND()</f>
        <v>0.67648281237438901</v>
      </c>
      <c r="G131" t="str">
        <f ca="1">IF(F131&lt;=distribution!$D$7,distribution!$B$7,IF(F131&lt;=distribution!$D$8,distribution!$B$8,IF(F131&lt;=distribution!$D$9,distribution!$B$9,distribution!$B$10)))</f>
        <v>45-54</v>
      </c>
      <c r="H131">
        <f ca="1">VLOOKUP(G131,age_band!$A$1:$C$5,2,FALSE)</f>
        <v>45</v>
      </c>
      <c r="I131">
        <f ca="1">VLOOKUP(G131,age_band!$A$2:$C$5,3,FALSE)</f>
        <v>54</v>
      </c>
      <c r="J131">
        <f t="shared" ref="J131:J194" ca="1" si="19">RANDBETWEEN(H131,I131)</f>
        <v>46</v>
      </c>
      <c r="K131">
        <f t="shared" ref="K131:K194" ca="1" si="20">RAND()</f>
        <v>0.73383680297554044</v>
      </c>
      <c r="L131" t="str">
        <f ca="1">IF(K131&lt;=distribution!$D$11,distribution!$B$11,distribution!$B$12)</f>
        <v>N</v>
      </c>
      <c r="M131">
        <f t="shared" ref="M131:M194" ca="1" si="21">IF(E131="A",RANDBETWEEN(50000,130000),RANDBETWEEN(45000,80000))</f>
        <v>60037</v>
      </c>
      <c r="N131">
        <f t="shared" ref="N131:N194" ca="1" si="22">MIN(M131*1,200000)</f>
        <v>60037</v>
      </c>
    </row>
    <row r="132" spans="1:14" x14ac:dyDescent="0.45">
      <c r="A132">
        <f t="shared" ref="A132:A195" si="23">A131+1</f>
        <v>131</v>
      </c>
      <c r="B132">
        <f t="shared" ca="1" si="16"/>
        <v>0.12151552639417562</v>
      </c>
      <c r="C132" t="str">
        <f ca="1">IF(B132&lt;=distribution!$D$2,distribution!$B$2,IF(B132&lt;=distribution!$D$3,distribution!$B$3,distribution!$B$4))</f>
        <v>ON</v>
      </c>
      <c r="D132">
        <f t="shared" ca="1" si="17"/>
        <v>0.23515622285920235</v>
      </c>
      <c r="E132" t="str">
        <f ca="1">IF(D132&lt;=distribution!$D$5,distribution!$B$5,distribution!$B$6)</f>
        <v>A</v>
      </c>
      <c r="F132">
        <f t="shared" ca="1" si="18"/>
        <v>0.27793309071342276</v>
      </c>
      <c r="G132" t="str">
        <f ca="1">IF(F132&lt;=distribution!$D$7,distribution!$B$7,IF(F132&lt;=distribution!$D$8,distribution!$B$8,IF(F132&lt;=distribution!$D$9,distribution!$B$9,distribution!$B$10)))</f>
        <v>35-44</v>
      </c>
      <c r="H132">
        <f ca="1">VLOOKUP(G132,age_band!$A$1:$C$5,2,FALSE)</f>
        <v>35</v>
      </c>
      <c r="I132">
        <f ca="1">VLOOKUP(G132,age_band!$A$2:$C$5,3,FALSE)</f>
        <v>44</v>
      </c>
      <c r="J132">
        <f t="shared" ca="1" si="19"/>
        <v>44</v>
      </c>
      <c r="K132">
        <f t="shared" ca="1" si="20"/>
        <v>0.74174873301806699</v>
      </c>
      <c r="L132" t="str">
        <f ca="1">IF(K132&lt;=distribution!$D$11,distribution!$B$11,distribution!$B$12)</f>
        <v>N</v>
      </c>
      <c r="M132">
        <f t="shared" ca="1" si="21"/>
        <v>93306</v>
      </c>
      <c r="N132">
        <f t="shared" ca="1" si="22"/>
        <v>93306</v>
      </c>
    </row>
    <row r="133" spans="1:14" x14ac:dyDescent="0.45">
      <c r="A133">
        <f t="shared" si="23"/>
        <v>132</v>
      </c>
      <c r="B133">
        <f t="shared" ca="1" si="16"/>
        <v>5.5685345549715937E-2</v>
      </c>
      <c r="C133" t="str">
        <f ca="1">IF(B133&lt;=distribution!$D$2,distribution!$B$2,IF(B133&lt;=distribution!$D$3,distribution!$B$3,distribution!$B$4))</f>
        <v>ON</v>
      </c>
      <c r="D133">
        <f t="shared" ca="1" si="17"/>
        <v>9.4031982361071798E-2</v>
      </c>
      <c r="E133" t="str">
        <f ca="1">IF(D133&lt;=distribution!$D$5,distribution!$B$5,distribution!$B$6)</f>
        <v>A</v>
      </c>
      <c r="F133">
        <f t="shared" ca="1" si="18"/>
        <v>0.40769062276292956</v>
      </c>
      <c r="G133" t="str">
        <f ca="1">IF(F133&lt;=distribution!$D$7,distribution!$B$7,IF(F133&lt;=distribution!$D$8,distribution!$B$8,IF(F133&lt;=distribution!$D$9,distribution!$B$9,distribution!$B$10)))</f>
        <v>35-44</v>
      </c>
      <c r="H133">
        <f ca="1">VLOOKUP(G133,age_band!$A$1:$C$5,2,FALSE)</f>
        <v>35</v>
      </c>
      <c r="I133">
        <f ca="1">VLOOKUP(G133,age_band!$A$2:$C$5,3,FALSE)</f>
        <v>44</v>
      </c>
      <c r="J133">
        <f t="shared" ca="1" si="19"/>
        <v>43</v>
      </c>
      <c r="K133">
        <f t="shared" ca="1" si="20"/>
        <v>0.37104410526201526</v>
      </c>
      <c r="L133" t="str">
        <f ca="1">IF(K133&lt;=distribution!$D$11,distribution!$B$11,distribution!$B$12)</f>
        <v>N</v>
      </c>
      <c r="M133">
        <f t="shared" ca="1" si="21"/>
        <v>58825</v>
      </c>
      <c r="N133">
        <f t="shared" ca="1" si="22"/>
        <v>58825</v>
      </c>
    </row>
    <row r="134" spans="1:14" x14ac:dyDescent="0.45">
      <c r="A134">
        <f t="shared" si="23"/>
        <v>133</v>
      </c>
      <c r="B134">
        <f t="shared" ca="1" si="16"/>
        <v>0.5211257715363008</v>
      </c>
      <c r="C134" t="str">
        <f ca="1">IF(B134&lt;=distribution!$D$2,distribution!$B$2,IF(B134&lt;=distribution!$D$3,distribution!$B$3,distribution!$B$4))</f>
        <v>ON</v>
      </c>
      <c r="D134">
        <f t="shared" ca="1" si="17"/>
        <v>0.7023735205953282</v>
      </c>
      <c r="E134" t="str">
        <f ca="1">IF(D134&lt;=distribution!$D$5,distribution!$B$5,distribution!$B$6)</f>
        <v>B</v>
      </c>
      <c r="F134">
        <f t="shared" ca="1" si="18"/>
        <v>0.2717012427933011</v>
      </c>
      <c r="G134" t="str">
        <f ca="1">IF(F134&lt;=distribution!$D$7,distribution!$B$7,IF(F134&lt;=distribution!$D$8,distribution!$B$8,IF(F134&lt;=distribution!$D$9,distribution!$B$9,distribution!$B$10)))</f>
        <v>35-44</v>
      </c>
      <c r="H134">
        <f ca="1">VLOOKUP(G134,age_band!$A$1:$C$5,2,FALSE)</f>
        <v>35</v>
      </c>
      <c r="I134">
        <f ca="1">VLOOKUP(G134,age_band!$A$2:$C$5,3,FALSE)</f>
        <v>44</v>
      </c>
      <c r="J134">
        <f t="shared" ca="1" si="19"/>
        <v>40</v>
      </c>
      <c r="K134">
        <f t="shared" ca="1" si="20"/>
        <v>0.70473792574999616</v>
      </c>
      <c r="L134" t="str">
        <f ca="1">IF(K134&lt;=distribution!$D$11,distribution!$B$11,distribution!$B$12)</f>
        <v>N</v>
      </c>
      <c r="M134">
        <f t="shared" ca="1" si="21"/>
        <v>49737</v>
      </c>
      <c r="N134">
        <f t="shared" ca="1" si="22"/>
        <v>49737</v>
      </c>
    </row>
    <row r="135" spans="1:14" x14ac:dyDescent="0.45">
      <c r="A135">
        <f t="shared" si="23"/>
        <v>134</v>
      </c>
      <c r="B135">
        <f t="shared" ca="1" si="16"/>
        <v>0.78925500630690237</v>
      </c>
      <c r="C135" t="str">
        <f ca="1">IF(B135&lt;=distribution!$D$2,distribution!$B$2,IF(B135&lt;=distribution!$D$3,distribution!$B$3,distribution!$B$4))</f>
        <v>BC</v>
      </c>
      <c r="D135">
        <f t="shared" ca="1" si="17"/>
        <v>0.26085297213469805</v>
      </c>
      <c r="E135" t="str">
        <f ca="1">IF(D135&lt;=distribution!$D$5,distribution!$B$5,distribution!$B$6)</f>
        <v>A</v>
      </c>
      <c r="F135">
        <f t="shared" ca="1" si="18"/>
        <v>0.72488296076293357</v>
      </c>
      <c r="G135" t="str">
        <f ca="1">IF(F135&lt;=distribution!$D$7,distribution!$B$7,IF(F135&lt;=distribution!$D$8,distribution!$B$8,IF(F135&lt;=distribution!$D$9,distribution!$B$9,distribution!$B$10)))</f>
        <v>45-54</v>
      </c>
      <c r="H135">
        <f ca="1">VLOOKUP(G135,age_band!$A$1:$C$5,2,FALSE)</f>
        <v>45</v>
      </c>
      <c r="I135">
        <f ca="1">VLOOKUP(G135,age_band!$A$2:$C$5,3,FALSE)</f>
        <v>54</v>
      </c>
      <c r="J135">
        <f t="shared" ca="1" si="19"/>
        <v>54</v>
      </c>
      <c r="K135">
        <f t="shared" ca="1" si="20"/>
        <v>0.74352951056154892</v>
      </c>
      <c r="L135" t="str">
        <f ca="1">IF(K135&lt;=distribution!$D$11,distribution!$B$11,distribution!$B$12)</f>
        <v>N</v>
      </c>
      <c r="M135">
        <f t="shared" ca="1" si="21"/>
        <v>126149</v>
      </c>
      <c r="N135">
        <f t="shared" ca="1" si="22"/>
        <v>126149</v>
      </c>
    </row>
    <row r="136" spans="1:14" x14ac:dyDescent="0.45">
      <c r="A136">
        <f t="shared" si="23"/>
        <v>135</v>
      </c>
      <c r="B136">
        <f t="shared" ca="1" si="16"/>
        <v>0.46466514236332002</v>
      </c>
      <c r="C136" t="str">
        <f ca="1">IF(B136&lt;=distribution!$D$2,distribution!$B$2,IF(B136&lt;=distribution!$D$3,distribution!$B$3,distribution!$B$4))</f>
        <v>ON</v>
      </c>
      <c r="D136">
        <f t="shared" ca="1" si="17"/>
        <v>0.92446361040665848</v>
      </c>
      <c r="E136" t="str">
        <f ca="1">IF(D136&lt;=distribution!$D$5,distribution!$B$5,distribution!$B$6)</f>
        <v>B</v>
      </c>
      <c r="F136">
        <f t="shared" ca="1" si="18"/>
        <v>0.92275931123308363</v>
      </c>
      <c r="G136" t="str">
        <f ca="1">IF(F136&lt;=distribution!$D$7,distribution!$B$7,IF(F136&lt;=distribution!$D$8,distribution!$B$8,IF(F136&lt;=distribution!$D$9,distribution!$B$9,distribution!$B$10)))</f>
        <v>55-64</v>
      </c>
      <c r="H136">
        <f ca="1">VLOOKUP(G136,age_band!$A$1:$C$5,2,FALSE)</f>
        <v>55</v>
      </c>
      <c r="I136">
        <f ca="1">VLOOKUP(G136,age_band!$A$2:$C$5,3,FALSE)</f>
        <v>64</v>
      </c>
      <c r="J136">
        <f t="shared" ca="1" si="19"/>
        <v>60</v>
      </c>
      <c r="K136">
        <f t="shared" ca="1" si="20"/>
        <v>0.29718631778475235</v>
      </c>
      <c r="L136" t="str">
        <f ca="1">IF(K136&lt;=distribution!$D$11,distribution!$B$11,distribution!$B$12)</f>
        <v>N</v>
      </c>
      <c r="M136">
        <f t="shared" ca="1" si="21"/>
        <v>67532</v>
      </c>
      <c r="N136">
        <f t="shared" ca="1" si="22"/>
        <v>67532</v>
      </c>
    </row>
    <row r="137" spans="1:14" x14ac:dyDescent="0.45">
      <c r="A137">
        <f t="shared" si="23"/>
        <v>136</v>
      </c>
      <c r="B137">
        <f t="shared" ca="1" si="16"/>
        <v>0.26983830419475474</v>
      </c>
      <c r="C137" t="str">
        <f ca="1">IF(B137&lt;=distribution!$D$2,distribution!$B$2,IF(B137&lt;=distribution!$D$3,distribution!$B$3,distribution!$B$4))</f>
        <v>ON</v>
      </c>
      <c r="D137">
        <f t="shared" ca="1" si="17"/>
        <v>0.89222076294808572</v>
      </c>
      <c r="E137" t="str">
        <f ca="1">IF(D137&lt;=distribution!$D$5,distribution!$B$5,distribution!$B$6)</f>
        <v>B</v>
      </c>
      <c r="F137">
        <f t="shared" ca="1" si="18"/>
        <v>0.48806289787503321</v>
      </c>
      <c r="G137" t="str">
        <f ca="1">IF(F137&lt;=distribution!$D$7,distribution!$B$7,IF(F137&lt;=distribution!$D$8,distribution!$B$8,IF(F137&lt;=distribution!$D$9,distribution!$B$9,distribution!$B$10)))</f>
        <v>35-44</v>
      </c>
      <c r="H137">
        <f ca="1">VLOOKUP(G137,age_band!$A$1:$C$5,2,FALSE)</f>
        <v>35</v>
      </c>
      <c r="I137">
        <f ca="1">VLOOKUP(G137,age_band!$A$2:$C$5,3,FALSE)</f>
        <v>44</v>
      </c>
      <c r="J137">
        <f t="shared" ca="1" si="19"/>
        <v>44</v>
      </c>
      <c r="K137">
        <f t="shared" ca="1" si="20"/>
        <v>0.98937300315227517</v>
      </c>
      <c r="L137" t="str">
        <f ca="1">IF(K137&lt;=distribution!$D$11,distribution!$B$11,distribution!$B$12)</f>
        <v>Y</v>
      </c>
      <c r="M137">
        <f t="shared" ca="1" si="21"/>
        <v>74440</v>
      </c>
      <c r="N137">
        <f t="shared" ca="1" si="22"/>
        <v>74440</v>
      </c>
    </row>
    <row r="138" spans="1:14" x14ac:dyDescent="0.45">
      <c r="A138">
        <f t="shared" si="23"/>
        <v>137</v>
      </c>
      <c r="B138">
        <f t="shared" ca="1" si="16"/>
        <v>0.62740274437770316</v>
      </c>
      <c r="C138" t="str">
        <f ca="1">IF(B138&lt;=distribution!$D$2,distribution!$B$2,IF(B138&lt;=distribution!$D$3,distribution!$B$3,distribution!$B$4))</f>
        <v>QC</v>
      </c>
      <c r="D138">
        <f t="shared" ca="1" si="17"/>
        <v>8.6166971055599229E-2</v>
      </c>
      <c r="E138" t="str">
        <f ca="1">IF(D138&lt;=distribution!$D$5,distribution!$B$5,distribution!$B$6)</f>
        <v>A</v>
      </c>
      <c r="F138">
        <f t="shared" ca="1" si="18"/>
        <v>0.11043052124236596</v>
      </c>
      <c r="G138" t="str">
        <f ca="1">IF(F138&lt;=distribution!$D$7,distribution!$B$7,IF(F138&lt;=distribution!$D$8,distribution!$B$8,IF(F138&lt;=distribution!$D$9,distribution!$B$9,distribution!$B$10)))</f>
        <v>25-34</v>
      </c>
      <c r="H138">
        <f ca="1">VLOOKUP(G138,age_band!$A$1:$C$5,2,FALSE)</f>
        <v>25</v>
      </c>
      <c r="I138">
        <f ca="1">VLOOKUP(G138,age_band!$A$2:$C$5,3,FALSE)</f>
        <v>34</v>
      </c>
      <c r="J138">
        <f t="shared" ca="1" si="19"/>
        <v>26</v>
      </c>
      <c r="K138">
        <f t="shared" ca="1" si="20"/>
        <v>0.53522691003177958</v>
      </c>
      <c r="L138" t="str">
        <f ca="1">IF(K138&lt;=distribution!$D$11,distribution!$B$11,distribution!$B$12)</f>
        <v>N</v>
      </c>
      <c r="M138">
        <f t="shared" ca="1" si="21"/>
        <v>122020</v>
      </c>
      <c r="N138">
        <f t="shared" ca="1" si="22"/>
        <v>122020</v>
      </c>
    </row>
    <row r="139" spans="1:14" x14ac:dyDescent="0.45">
      <c r="A139">
        <f t="shared" si="23"/>
        <v>138</v>
      </c>
      <c r="B139">
        <f t="shared" ca="1" si="16"/>
        <v>0.64888465388134797</v>
      </c>
      <c r="C139" t="str">
        <f ca="1">IF(B139&lt;=distribution!$D$2,distribution!$B$2,IF(B139&lt;=distribution!$D$3,distribution!$B$3,distribution!$B$4))</f>
        <v>QC</v>
      </c>
      <c r="D139">
        <f t="shared" ca="1" si="17"/>
        <v>0.4357189151616796</v>
      </c>
      <c r="E139" t="str">
        <f ca="1">IF(D139&lt;=distribution!$D$5,distribution!$B$5,distribution!$B$6)</f>
        <v>A</v>
      </c>
      <c r="F139">
        <f t="shared" ca="1" si="18"/>
        <v>0.84860982573377131</v>
      </c>
      <c r="G139" t="str">
        <f ca="1">IF(F139&lt;=distribution!$D$7,distribution!$B$7,IF(F139&lt;=distribution!$D$8,distribution!$B$8,IF(F139&lt;=distribution!$D$9,distribution!$B$9,distribution!$B$10)))</f>
        <v>45-54</v>
      </c>
      <c r="H139">
        <f ca="1">VLOOKUP(G139,age_band!$A$1:$C$5,2,FALSE)</f>
        <v>45</v>
      </c>
      <c r="I139">
        <f ca="1">VLOOKUP(G139,age_band!$A$2:$C$5,3,FALSE)</f>
        <v>54</v>
      </c>
      <c r="J139">
        <f t="shared" ca="1" si="19"/>
        <v>46</v>
      </c>
      <c r="K139">
        <f t="shared" ca="1" si="20"/>
        <v>0.9055151957641514</v>
      </c>
      <c r="L139" t="str">
        <f ca="1">IF(K139&lt;=distribution!$D$11,distribution!$B$11,distribution!$B$12)</f>
        <v>Y</v>
      </c>
      <c r="M139">
        <f t="shared" ca="1" si="21"/>
        <v>124709</v>
      </c>
      <c r="N139">
        <f t="shared" ca="1" si="22"/>
        <v>124709</v>
      </c>
    </row>
    <row r="140" spans="1:14" x14ac:dyDescent="0.45">
      <c r="A140">
        <f t="shared" si="23"/>
        <v>139</v>
      </c>
      <c r="B140">
        <f t="shared" ca="1" si="16"/>
        <v>0.46966420452190627</v>
      </c>
      <c r="C140" t="str">
        <f ca="1">IF(B140&lt;=distribution!$D$2,distribution!$B$2,IF(B140&lt;=distribution!$D$3,distribution!$B$3,distribution!$B$4))</f>
        <v>ON</v>
      </c>
      <c r="D140">
        <f t="shared" ca="1" si="17"/>
        <v>7.3690301493021249E-3</v>
      </c>
      <c r="E140" t="str">
        <f ca="1">IF(D140&lt;=distribution!$D$5,distribution!$B$5,distribution!$B$6)</f>
        <v>A</v>
      </c>
      <c r="F140">
        <f t="shared" ca="1" si="18"/>
        <v>0.11117300802633168</v>
      </c>
      <c r="G140" t="str">
        <f ca="1">IF(F140&lt;=distribution!$D$7,distribution!$B$7,IF(F140&lt;=distribution!$D$8,distribution!$B$8,IF(F140&lt;=distribution!$D$9,distribution!$B$9,distribution!$B$10)))</f>
        <v>25-34</v>
      </c>
      <c r="H140">
        <f ca="1">VLOOKUP(G140,age_band!$A$1:$C$5,2,FALSE)</f>
        <v>25</v>
      </c>
      <c r="I140">
        <f ca="1">VLOOKUP(G140,age_band!$A$2:$C$5,3,FALSE)</f>
        <v>34</v>
      </c>
      <c r="J140">
        <f t="shared" ca="1" si="19"/>
        <v>26</v>
      </c>
      <c r="K140">
        <f t="shared" ca="1" si="20"/>
        <v>0.65229065489706017</v>
      </c>
      <c r="L140" t="str">
        <f ca="1">IF(K140&lt;=distribution!$D$11,distribution!$B$11,distribution!$B$12)</f>
        <v>N</v>
      </c>
      <c r="M140">
        <f t="shared" ca="1" si="21"/>
        <v>105174</v>
      </c>
      <c r="N140">
        <f t="shared" ca="1" si="22"/>
        <v>105174</v>
      </c>
    </row>
    <row r="141" spans="1:14" x14ac:dyDescent="0.45">
      <c r="A141">
        <f t="shared" si="23"/>
        <v>140</v>
      </c>
      <c r="B141">
        <f t="shared" ca="1" si="16"/>
        <v>0.46317092999073861</v>
      </c>
      <c r="C141" t="str">
        <f ca="1">IF(B141&lt;=distribution!$D$2,distribution!$B$2,IF(B141&lt;=distribution!$D$3,distribution!$B$3,distribution!$B$4))</f>
        <v>ON</v>
      </c>
      <c r="D141">
        <f t="shared" ca="1" si="17"/>
        <v>7.7143708990549786E-2</v>
      </c>
      <c r="E141" t="str">
        <f ca="1">IF(D141&lt;=distribution!$D$5,distribution!$B$5,distribution!$B$6)</f>
        <v>A</v>
      </c>
      <c r="F141">
        <f t="shared" ca="1" si="18"/>
        <v>0.46480701409088232</v>
      </c>
      <c r="G141" t="str">
        <f ca="1">IF(F141&lt;=distribution!$D$7,distribution!$B$7,IF(F141&lt;=distribution!$D$8,distribution!$B$8,IF(F141&lt;=distribution!$D$9,distribution!$B$9,distribution!$B$10)))</f>
        <v>35-44</v>
      </c>
      <c r="H141">
        <f ca="1">VLOOKUP(G141,age_band!$A$1:$C$5,2,FALSE)</f>
        <v>35</v>
      </c>
      <c r="I141">
        <f ca="1">VLOOKUP(G141,age_band!$A$2:$C$5,3,FALSE)</f>
        <v>44</v>
      </c>
      <c r="J141">
        <f t="shared" ca="1" si="19"/>
        <v>42</v>
      </c>
      <c r="K141">
        <f t="shared" ca="1" si="20"/>
        <v>0.93807747742485337</v>
      </c>
      <c r="L141" t="str">
        <f ca="1">IF(K141&lt;=distribution!$D$11,distribution!$B$11,distribution!$B$12)</f>
        <v>Y</v>
      </c>
      <c r="M141">
        <f t="shared" ca="1" si="21"/>
        <v>79060</v>
      </c>
      <c r="N141">
        <f t="shared" ca="1" si="22"/>
        <v>79060</v>
      </c>
    </row>
    <row r="142" spans="1:14" x14ac:dyDescent="0.45">
      <c r="A142">
        <f t="shared" si="23"/>
        <v>141</v>
      </c>
      <c r="B142">
        <f t="shared" ca="1" si="16"/>
        <v>0.17284964893481036</v>
      </c>
      <c r="C142" t="str">
        <f ca="1">IF(B142&lt;=distribution!$D$2,distribution!$B$2,IF(B142&lt;=distribution!$D$3,distribution!$B$3,distribution!$B$4))</f>
        <v>ON</v>
      </c>
      <c r="D142">
        <f t="shared" ca="1" si="17"/>
        <v>0.47546101343636216</v>
      </c>
      <c r="E142" t="str">
        <f ca="1">IF(D142&lt;=distribution!$D$5,distribution!$B$5,distribution!$B$6)</f>
        <v>A</v>
      </c>
      <c r="F142">
        <f t="shared" ca="1" si="18"/>
        <v>0.60198024413617301</v>
      </c>
      <c r="G142" t="str">
        <f ca="1">IF(F142&lt;=distribution!$D$7,distribution!$B$7,IF(F142&lt;=distribution!$D$8,distribution!$B$8,IF(F142&lt;=distribution!$D$9,distribution!$B$9,distribution!$B$10)))</f>
        <v>45-54</v>
      </c>
      <c r="H142">
        <f ca="1">VLOOKUP(G142,age_band!$A$1:$C$5,2,FALSE)</f>
        <v>45</v>
      </c>
      <c r="I142">
        <f ca="1">VLOOKUP(G142,age_band!$A$2:$C$5,3,FALSE)</f>
        <v>54</v>
      </c>
      <c r="J142">
        <f t="shared" ca="1" si="19"/>
        <v>53</v>
      </c>
      <c r="K142">
        <f t="shared" ca="1" si="20"/>
        <v>0.96831408271041819</v>
      </c>
      <c r="L142" t="str">
        <f ca="1">IF(K142&lt;=distribution!$D$11,distribution!$B$11,distribution!$B$12)</f>
        <v>Y</v>
      </c>
      <c r="M142">
        <f t="shared" ca="1" si="21"/>
        <v>91557</v>
      </c>
      <c r="N142">
        <f t="shared" ca="1" si="22"/>
        <v>91557</v>
      </c>
    </row>
    <row r="143" spans="1:14" x14ac:dyDescent="0.45">
      <c r="A143">
        <f t="shared" si="23"/>
        <v>142</v>
      </c>
      <c r="B143">
        <f t="shared" ca="1" si="16"/>
        <v>0.81627702713395145</v>
      </c>
      <c r="C143" t="str">
        <f ca="1">IF(B143&lt;=distribution!$D$2,distribution!$B$2,IF(B143&lt;=distribution!$D$3,distribution!$B$3,distribution!$B$4))</f>
        <v>BC</v>
      </c>
      <c r="D143">
        <f t="shared" ca="1" si="17"/>
        <v>0.20136669694694398</v>
      </c>
      <c r="E143" t="str">
        <f ca="1">IF(D143&lt;=distribution!$D$5,distribution!$B$5,distribution!$B$6)</f>
        <v>A</v>
      </c>
      <c r="F143">
        <f t="shared" ca="1" si="18"/>
        <v>0.17352289443992408</v>
      </c>
      <c r="G143" t="str">
        <f ca="1">IF(F143&lt;=distribution!$D$7,distribution!$B$7,IF(F143&lt;=distribution!$D$8,distribution!$B$8,IF(F143&lt;=distribution!$D$9,distribution!$B$9,distribution!$B$10)))</f>
        <v>25-34</v>
      </c>
      <c r="H143">
        <f ca="1">VLOOKUP(G143,age_band!$A$1:$C$5,2,FALSE)</f>
        <v>25</v>
      </c>
      <c r="I143">
        <f ca="1">VLOOKUP(G143,age_band!$A$2:$C$5,3,FALSE)</f>
        <v>34</v>
      </c>
      <c r="J143">
        <f t="shared" ca="1" si="19"/>
        <v>26</v>
      </c>
      <c r="K143">
        <f t="shared" ca="1" si="20"/>
        <v>0.61056995076009324</v>
      </c>
      <c r="L143" t="str">
        <f ca="1">IF(K143&lt;=distribution!$D$11,distribution!$B$11,distribution!$B$12)</f>
        <v>N</v>
      </c>
      <c r="M143">
        <f t="shared" ca="1" si="21"/>
        <v>128421</v>
      </c>
      <c r="N143">
        <f t="shared" ca="1" si="22"/>
        <v>128421</v>
      </c>
    </row>
    <row r="144" spans="1:14" x14ac:dyDescent="0.45">
      <c r="A144">
        <f t="shared" si="23"/>
        <v>143</v>
      </c>
      <c r="B144">
        <f t="shared" ca="1" si="16"/>
        <v>0.92163002704071306</v>
      </c>
      <c r="C144" t="str">
        <f ca="1">IF(B144&lt;=distribution!$D$2,distribution!$B$2,IF(B144&lt;=distribution!$D$3,distribution!$B$3,distribution!$B$4))</f>
        <v>BC</v>
      </c>
      <c r="D144">
        <f t="shared" ca="1" si="17"/>
        <v>0.65318555095672359</v>
      </c>
      <c r="E144" t="str">
        <f ca="1">IF(D144&lt;=distribution!$D$5,distribution!$B$5,distribution!$B$6)</f>
        <v>B</v>
      </c>
      <c r="F144">
        <f t="shared" ca="1" si="18"/>
        <v>0.74438688331615444</v>
      </c>
      <c r="G144" t="str">
        <f ca="1">IF(F144&lt;=distribution!$D$7,distribution!$B$7,IF(F144&lt;=distribution!$D$8,distribution!$B$8,IF(F144&lt;=distribution!$D$9,distribution!$B$9,distribution!$B$10)))</f>
        <v>45-54</v>
      </c>
      <c r="H144">
        <f ca="1">VLOOKUP(G144,age_band!$A$1:$C$5,2,FALSE)</f>
        <v>45</v>
      </c>
      <c r="I144">
        <f ca="1">VLOOKUP(G144,age_band!$A$2:$C$5,3,FALSE)</f>
        <v>54</v>
      </c>
      <c r="J144">
        <f t="shared" ca="1" si="19"/>
        <v>47</v>
      </c>
      <c r="K144">
        <f t="shared" ca="1" si="20"/>
        <v>8.8479318622440739E-2</v>
      </c>
      <c r="L144" t="str">
        <f ca="1">IF(K144&lt;=distribution!$D$11,distribution!$B$11,distribution!$B$12)</f>
        <v>N</v>
      </c>
      <c r="M144">
        <f t="shared" ca="1" si="21"/>
        <v>63043</v>
      </c>
      <c r="N144">
        <f t="shared" ca="1" si="22"/>
        <v>63043</v>
      </c>
    </row>
    <row r="145" spans="1:14" x14ac:dyDescent="0.45">
      <c r="A145">
        <f t="shared" si="23"/>
        <v>144</v>
      </c>
      <c r="B145">
        <f t="shared" ca="1" si="16"/>
        <v>0.76209202230373851</v>
      </c>
      <c r="C145" t="str">
        <f ca="1">IF(B145&lt;=distribution!$D$2,distribution!$B$2,IF(B145&lt;=distribution!$D$3,distribution!$B$3,distribution!$B$4))</f>
        <v>BC</v>
      </c>
      <c r="D145">
        <f t="shared" ca="1" si="17"/>
        <v>0.93276077802482982</v>
      </c>
      <c r="E145" t="str">
        <f ca="1">IF(D145&lt;=distribution!$D$5,distribution!$B$5,distribution!$B$6)</f>
        <v>B</v>
      </c>
      <c r="F145">
        <f t="shared" ca="1" si="18"/>
        <v>0.60073128561711953</v>
      </c>
      <c r="G145" t="str">
        <f ca="1">IF(F145&lt;=distribution!$D$7,distribution!$B$7,IF(F145&lt;=distribution!$D$8,distribution!$B$8,IF(F145&lt;=distribution!$D$9,distribution!$B$9,distribution!$B$10)))</f>
        <v>45-54</v>
      </c>
      <c r="H145">
        <f ca="1">VLOOKUP(G145,age_band!$A$1:$C$5,2,FALSE)</f>
        <v>45</v>
      </c>
      <c r="I145">
        <f ca="1">VLOOKUP(G145,age_band!$A$2:$C$5,3,FALSE)</f>
        <v>54</v>
      </c>
      <c r="J145">
        <f t="shared" ca="1" si="19"/>
        <v>50</v>
      </c>
      <c r="K145">
        <f t="shared" ca="1" si="20"/>
        <v>0.30924701992190728</v>
      </c>
      <c r="L145" t="str">
        <f ca="1">IF(K145&lt;=distribution!$D$11,distribution!$B$11,distribution!$B$12)</f>
        <v>N</v>
      </c>
      <c r="M145">
        <f t="shared" ca="1" si="21"/>
        <v>48234</v>
      </c>
      <c r="N145">
        <f t="shared" ca="1" si="22"/>
        <v>48234</v>
      </c>
    </row>
    <row r="146" spans="1:14" x14ac:dyDescent="0.45">
      <c r="A146">
        <f t="shared" si="23"/>
        <v>145</v>
      </c>
      <c r="B146">
        <f t="shared" ca="1" si="16"/>
        <v>0.73505232294233069</v>
      </c>
      <c r="C146" t="str">
        <f ca="1">IF(B146&lt;=distribution!$D$2,distribution!$B$2,IF(B146&lt;=distribution!$D$3,distribution!$B$3,distribution!$B$4))</f>
        <v>QC</v>
      </c>
      <c r="D146">
        <f t="shared" ca="1" si="17"/>
        <v>0.74287549748559079</v>
      </c>
      <c r="E146" t="str">
        <f ca="1">IF(D146&lt;=distribution!$D$5,distribution!$B$5,distribution!$B$6)</f>
        <v>B</v>
      </c>
      <c r="F146">
        <f t="shared" ca="1" si="18"/>
        <v>9.1888188330947806E-2</v>
      </c>
      <c r="G146" t="str">
        <f ca="1">IF(F146&lt;=distribution!$D$7,distribution!$B$7,IF(F146&lt;=distribution!$D$8,distribution!$B$8,IF(F146&lt;=distribution!$D$9,distribution!$B$9,distribution!$B$10)))</f>
        <v>25-34</v>
      </c>
      <c r="H146">
        <f ca="1">VLOOKUP(G146,age_band!$A$1:$C$5,2,FALSE)</f>
        <v>25</v>
      </c>
      <c r="I146">
        <f ca="1">VLOOKUP(G146,age_band!$A$2:$C$5,3,FALSE)</f>
        <v>34</v>
      </c>
      <c r="J146">
        <f t="shared" ca="1" si="19"/>
        <v>33</v>
      </c>
      <c r="K146">
        <f t="shared" ca="1" si="20"/>
        <v>0.28829162050857349</v>
      </c>
      <c r="L146" t="str">
        <f ca="1">IF(K146&lt;=distribution!$D$11,distribution!$B$11,distribution!$B$12)</f>
        <v>N</v>
      </c>
      <c r="M146">
        <f t="shared" ca="1" si="21"/>
        <v>49821</v>
      </c>
      <c r="N146">
        <f t="shared" ca="1" si="22"/>
        <v>49821</v>
      </c>
    </row>
    <row r="147" spans="1:14" x14ac:dyDescent="0.45">
      <c r="A147">
        <f t="shared" si="23"/>
        <v>146</v>
      </c>
      <c r="B147">
        <f t="shared" ca="1" si="16"/>
        <v>6.7912270248766671E-2</v>
      </c>
      <c r="C147" t="str">
        <f ca="1">IF(B147&lt;=distribution!$D$2,distribution!$B$2,IF(B147&lt;=distribution!$D$3,distribution!$B$3,distribution!$B$4))</f>
        <v>ON</v>
      </c>
      <c r="D147">
        <f t="shared" ca="1" si="17"/>
        <v>0.34988275400558233</v>
      </c>
      <c r="E147" t="str">
        <f ca="1">IF(D147&lt;=distribution!$D$5,distribution!$B$5,distribution!$B$6)</f>
        <v>A</v>
      </c>
      <c r="F147">
        <f t="shared" ca="1" si="18"/>
        <v>0.48798430163337192</v>
      </c>
      <c r="G147" t="str">
        <f ca="1">IF(F147&lt;=distribution!$D$7,distribution!$B$7,IF(F147&lt;=distribution!$D$8,distribution!$B$8,IF(F147&lt;=distribution!$D$9,distribution!$B$9,distribution!$B$10)))</f>
        <v>35-44</v>
      </c>
      <c r="H147">
        <f ca="1">VLOOKUP(G147,age_band!$A$1:$C$5,2,FALSE)</f>
        <v>35</v>
      </c>
      <c r="I147">
        <f ca="1">VLOOKUP(G147,age_band!$A$2:$C$5,3,FALSE)</f>
        <v>44</v>
      </c>
      <c r="J147">
        <f t="shared" ca="1" si="19"/>
        <v>39</v>
      </c>
      <c r="K147">
        <f t="shared" ca="1" si="20"/>
        <v>9.4178076764847796E-2</v>
      </c>
      <c r="L147" t="str">
        <f ca="1">IF(K147&lt;=distribution!$D$11,distribution!$B$11,distribution!$B$12)</f>
        <v>N</v>
      </c>
      <c r="M147">
        <f t="shared" ca="1" si="21"/>
        <v>118511</v>
      </c>
      <c r="N147">
        <f t="shared" ca="1" si="22"/>
        <v>118511</v>
      </c>
    </row>
    <row r="148" spans="1:14" x14ac:dyDescent="0.45">
      <c r="A148">
        <f t="shared" si="23"/>
        <v>147</v>
      </c>
      <c r="B148">
        <f t="shared" ca="1" si="16"/>
        <v>0.17544137308289831</v>
      </c>
      <c r="C148" t="str">
        <f ca="1">IF(B148&lt;=distribution!$D$2,distribution!$B$2,IF(B148&lt;=distribution!$D$3,distribution!$B$3,distribution!$B$4))</f>
        <v>ON</v>
      </c>
      <c r="D148">
        <f t="shared" ca="1" si="17"/>
        <v>0.76118974575393794</v>
      </c>
      <c r="E148" t="str">
        <f ca="1">IF(D148&lt;=distribution!$D$5,distribution!$B$5,distribution!$B$6)</f>
        <v>B</v>
      </c>
      <c r="F148">
        <f t="shared" ca="1" si="18"/>
        <v>0.20958762531073427</v>
      </c>
      <c r="G148" t="str">
        <f ca="1">IF(F148&lt;=distribution!$D$7,distribution!$B$7,IF(F148&lt;=distribution!$D$8,distribution!$B$8,IF(F148&lt;=distribution!$D$9,distribution!$B$9,distribution!$B$10)))</f>
        <v>25-34</v>
      </c>
      <c r="H148">
        <f ca="1">VLOOKUP(G148,age_band!$A$1:$C$5,2,FALSE)</f>
        <v>25</v>
      </c>
      <c r="I148">
        <f ca="1">VLOOKUP(G148,age_band!$A$2:$C$5,3,FALSE)</f>
        <v>34</v>
      </c>
      <c r="J148">
        <f t="shared" ca="1" si="19"/>
        <v>31</v>
      </c>
      <c r="K148">
        <f t="shared" ca="1" si="20"/>
        <v>0.13138445705297541</v>
      </c>
      <c r="L148" t="str">
        <f ca="1">IF(K148&lt;=distribution!$D$11,distribution!$B$11,distribution!$B$12)</f>
        <v>N</v>
      </c>
      <c r="M148">
        <f t="shared" ca="1" si="21"/>
        <v>47431</v>
      </c>
      <c r="N148">
        <f t="shared" ca="1" si="22"/>
        <v>47431</v>
      </c>
    </row>
    <row r="149" spans="1:14" x14ac:dyDescent="0.45">
      <c r="A149">
        <f t="shared" si="23"/>
        <v>148</v>
      </c>
      <c r="B149">
        <f t="shared" ca="1" si="16"/>
        <v>0.41592727296242182</v>
      </c>
      <c r="C149" t="str">
        <f ca="1">IF(B149&lt;=distribution!$D$2,distribution!$B$2,IF(B149&lt;=distribution!$D$3,distribution!$B$3,distribution!$B$4))</f>
        <v>ON</v>
      </c>
      <c r="D149">
        <f t="shared" ca="1" si="17"/>
        <v>0.75749011551988288</v>
      </c>
      <c r="E149" t="str">
        <f ca="1">IF(D149&lt;=distribution!$D$5,distribution!$B$5,distribution!$B$6)</f>
        <v>B</v>
      </c>
      <c r="F149">
        <f t="shared" ca="1" si="18"/>
        <v>0.64634214005853596</v>
      </c>
      <c r="G149" t="str">
        <f ca="1">IF(F149&lt;=distribution!$D$7,distribution!$B$7,IF(F149&lt;=distribution!$D$8,distribution!$B$8,IF(F149&lt;=distribution!$D$9,distribution!$B$9,distribution!$B$10)))</f>
        <v>45-54</v>
      </c>
      <c r="H149">
        <f ca="1">VLOOKUP(G149,age_band!$A$1:$C$5,2,FALSE)</f>
        <v>45</v>
      </c>
      <c r="I149">
        <f ca="1">VLOOKUP(G149,age_band!$A$2:$C$5,3,FALSE)</f>
        <v>54</v>
      </c>
      <c r="J149">
        <f t="shared" ca="1" si="19"/>
        <v>47</v>
      </c>
      <c r="K149">
        <f t="shared" ca="1" si="20"/>
        <v>0.32901222920562734</v>
      </c>
      <c r="L149" t="str">
        <f ca="1">IF(K149&lt;=distribution!$D$11,distribution!$B$11,distribution!$B$12)</f>
        <v>N</v>
      </c>
      <c r="M149">
        <f t="shared" ca="1" si="21"/>
        <v>47873</v>
      </c>
      <c r="N149">
        <f t="shared" ca="1" si="22"/>
        <v>47873</v>
      </c>
    </row>
    <row r="150" spans="1:14" x14ac:dyDescent="0.45">
      <c r="A150">
        <f t="shared" si="23"/>
        <v>149</v>
      </c>
      <c r="B150">
        <f t="shared" ca="1" si="16"/>
        <v>0.351467174013532</v>
      </c>
      <c r="C150" t="str">
        <f ca="1">IF(B150&lt;=distribution!$D$2,distribution!$B$2,IF(B150&lt;=distribution!$D$3,distribution!$B$3,distribution!$B$4))</f>
        <v>ON</v>
      </c>
      <c r="D150">
        <f t="shared" ca="1" si="17"/>
        <v>7.907508483709047E-2</v>
      </c>
      <c r="E150" t="str">
        <f ca="1">IF(D150&lt;=distribution!$D$5,distribution!$B$5,distribution!$B$6)</f>
        <v>A</v>
      </c>
      <c r="F150">
        <f t="shared" ca="1" si="18"/>
        <v>0.20833294522876677</v>
      </c>
      <c r="G150" t="str">
        <f ca="1">IF(F150&lt;=distribution!$D$7,distribution!$B$7,IF(F150&lt;=distribution!$D$8,distribution!$B$8,IF(F150&lt;=distribution!$D$9,distribution!$B$9,distribution!$B$10)))</f>
        <v>25-34</v>
      </c>
      <c r="H150">
        <f ca="1">VLOOKUP(G150,age_band!$A$1:$C$5,2,FALSE)</f>
        <v>25</v>
      </c>
      <c r="I150">
        <f ca="1">VLOOKUP(G150,age_band!$A$2:$C$5,3,FALSE)</f>
        <v>34</v>
      </c>
      <c r="J150">
        <f t="shared" ca="1" si="19"/>
        <v>28</v>
      </c>
      <c r="K150">
        <f t="shared" ca="1" si="20"/>
        <v>0.8815929704133102</v>
      </c>
      <c r="L150" t="str">
        <f ca="1">IF(K150&lt;=distribution!$D$11,distribution!$B$11,distribution!$B$12)</f>
        <v>Y</v>
      </c>
      <c r="M150">
        <f t="shared" ca="1" si="21"/>
        <v>59921</v>
      </c>
      <c r="N150">
        <f t="shared" ca="1" si="22"/>
        <v>59921</v>
      </c>
    </row>
    <row r="151" spans="1:14" x14ac:dyDescent="0.45">
      <c r="A151">
        <f t="shared" si="23"/>
        <v>150</v>
      </c>
      <c r="B151">
        <f t="shared" ca="1" si="16"/>
        <v>0.67026724478209787</v>
      </c>
      <c r="C151" t="str">
        <f ca="1">IF(B151&lt;=distribution!$D$2,distribution!$B$2,IF(B151&lt;=distribution!$D$3,distribution!$B$3,distribution!$B$4))</f>
        <v>QC</v>
      </c>
      <c r="D151">
        <f t="shared" ca="1" si="17"/>
        <v>0.11194349618368815</v>
      </c>
      <c r="E151" t="str">
        <f ca="1">IF(D151&lt;=distribution!$D$5,distribution!$B$5,distribution!$B$6)</f>
        <v>A</v>
      </c>
      <c r="F151">
        <f t="shared" ca="1" si="18"/>
        <v>0.7419495214394205</v>
      </c>
      <c r="G151" t="str">
        <f ca="1">IF(F151&lt;=distribution!$D$7,distribution!$B$7,IF(F151&lt;=distribution!$D$8,distribution!$B$8,IF(F151&lt;=distribution!$D$9,distribution!$B$9,distribution!$B$10)))</f>
        <v>45-54</v>
      </c>
      <c r="H151">
        <f ca="1">VLOOKUP(G151,age_band!$A$1:$C$5,2,FALSE)</f>
        <v>45</v>
      </c>
      <c r="I151">
        <f ca="1">VLOOKUP(G151,age_band!$A$2:$C$5,3,FALSE)</f>
        <v>54</v>
      </c>
      <c r="J151">
        <f t="shared" ca="1" si="19"/>
        <v>52</v>
      </c>
      <c r="K151">
        <f t="shared" ca="1" si="20"/>
        <v>0.12085134873983638</v>
      </c>
      <c r="L151" t="str">
        <f ca="1">IF(K151&lt;=distribution!$D$11,distribution!$B$11,distribution!$B$12)</f>
        <v>N</v>
      </c>
      <c r="M151">
        <f t="shared" ca="1" si="21"/>
        <v>86355</v>
      </c>
      <c r="N151">
        <f t="shared" ca="1" si="22"/>
        <v>86355</v>
      </c>
    </row>
    <row r="152" spans="1:14" x14ac:dyDescent="0.45">
      <c r="A152">
        <f t="shared" si="23"/>
        <v>151</v>
      </c>
      <c r="B152">
        <f t="shared" ca="1" si="16"/>
        <v>0.93075189957145754</v>
      </c>
      <c r="C152" t="str">
        <f ca="1">IF(B152&lt;=distribution!$D$2,distribution!$B$2,IF(B152&lt;=distribution!$D$3,distribution!$B$3,distribution!$B$4))</f>
        <v>BC</v>
      </c>
      <c r="D152">
        <f t="shared" ca="1" si="17"/>
        <v>0.10020744432420503</v>
      </c>
      <c r="E152" t="str">
        <f ca="1">IF(D152&lt;=distribution!$D$5,distribution!$B$5,distribution!$B$6)</f>
        <v>A</v>
      </c>
      <c r="F152">
        <f t="shared" ca="1" si="18"/>
        <v>0.55619078059752924</v>
      </c>
      <c r="G152" t="str">
        <f ca="1">IF(F152&lt;=distribution!$D$7,distribution!$B$7,IF(F152&lt;=distribution!$D$8,distribution!$B$8,IF(F152&lt;=distribution!$D$9,distribution!$B$9,distribution!$B$10)))</f>
        <v>35-44</v>
      </c>
      <c r="H152">
        <f ca="1">VLOOKUP(G152,age_band!$A$1:$C$5,2,FALSE)</f>
        <v>35</v>
      </c>
      <c r="I152">
        <f ca="1">VLOOKUP(G152,age_band!$A$2:$C$5,3,FALSE)</f>
        <v>44</v>
      </c>
      <c r="J152">
        <f t="shared" ca="1" si="19"/>
        <v>35</v>
      </c>
      <c r="K152">
        <f t="shared" ca="1" si="20"/>
        <v>0.71497423125800963</v>
      </c>
      <c r="L152" t="str">
        <f ca="1">IF(K152&lt;=distribution!$D$11,distribution!$B$11,distribution!$B$12)</f>
        <v>N</v>
      </c>
      <c r="M152">
        <f t="shared" ca="1" si="21"/>
        <v>120252</v>
      </c>
      <c r="N152">
        <f t="shared" ca="1" si="22"/>
        <v>120252</v>
      </c>
    </row>
    <row r="153" spans="1:14" x14ac:dyDescent="0.45">
      <c r="A153">
        <f t="shared" si="23"/>
        <v>152</v>
      </c>
      <c r="B153">
        <f t="shared" ca="1" si="16"/>
        <v>0.19386326700811529</v>
      </c>
      <c r="C153" t="str">
        <f ca="1">IF(B153&lt;=distribution!$D$2,distribution!$B$2,IF(B153&lt;=distribution!$D$3,distribution!$B$3,distribution!$B$4))</f>
        <v>ON</v>
      </c>
      <c r="D153">
        <f t="shared" ca="1" si="17"/>
        <v>9.4669966863627497E-3</v>
      </c>
      <c r="E153" t="str">
        <f ca="1">IF(D153&lt;=distribution!$D$5,distribution!$B$5,distribution!$B$6)</f>
        <v>A</v>
      </c>
      <c r="F153">
        <f t="shared" ca="1" si="18"/>
        <v>0.43913496079306991</v>
      </c>
      <c r="G153" t="str">
        <f ca="1">IF(F153&lt;=distribution!$D$7,distribution!$B$7,IF(F153&lt;=distribution!$D$8,distribution!$B$8,IF(F153&lt;=distribution!$D$9,distribution!$B$9,distribution!$B$10)))</f>
        <v>35-44</v>
      </c>
      <c r="H153">
        <f ca="1">VLOOKUP(G153,age_band!$A$1:$C$5,2,FALSE)</f>
        <v>35</v>
      </c>
      <c r="I153">
        <f ca="1">VLOOKUP(G153,age_band!$A$2:$C$5,3,FALSE)</f>
        <v>44</v>
      </c>
      <c r="J153">
        <f t="shared" ca="1" si="19"/>
        <v>43</v>
      </c>
      <c r="K153">
        <f t="shared" ca="1" si="20"/>
        <v>0.64574006878011425</v>
      </c>
      <c r="L153" t="str">
        <f ca="1">IF(K153&lt;=distribution!$D$11,distribution!$B$11,distribution!$B$12)</f>
        <v>N</v>
      </c>
      <c r="M153">
        <f t="shared" ca="1" si="21"/>
        <v>103365</v>
      </c>
      <c r="N153">
        <f t="shared" ca="1" si="22"/>
        <v>103365</v>
      </c>
    </row>
    <row r="154" spans="1:14" x14ac:dyDescent="0.45">
      <c r="A154">
        <f t="shared" si="23"/>
        <v>153</v>
      </c>
      <c r="B154">
        <f t="shared" ca="1" si="16"/>
        <v>0.30978910901910617</v>
      </c>
      <c r="C154" t="str">
        <f ca="1">IF(B154&lt;=distribution!$D$2,distribution!$B$2,IF(B154&lt;=distribution!$D$3,distribution!$B$3,distribution!$B$4))</f>
        <v>ON</v>
      </c>
      <c r="D154">
        <f t="shared" ca="1" si="17"/>
        <v>8.039530836441211E-2</v>
      </c>
      <c r="E154" t="str">
        <f ca="1">IF(D154&lt;=distribution!$D$5,distribution!$B$5,distribution!$B$6)</f>
        <v>A</v>
      </c>
      <c r="F154">
        <f t="shared" ca="1" si="18"/>
        <v>0.79749222866109137</v>
      </c>
      <c r="G154" t="str">
        <f ca="1">IF(F154&lt;=distribution!$D$7,distribution!$B$7,IF(F154&lt;=distribution!$D$8,distribution!$B$8,IF(F154&lt;=distribution!$D$9,distribution!$B$9,distribution!$B$10)))</f>
        <v>45-54</v>
      </c>
      <c r="H154">
        <f ca="1">VLOOKUP(G154,age_band!$A$1:$C$5,2,FALSE)</f>
        <v>45</v>
      </c>
      <c r="I154">
        <f ca="1">VLOOKUP(G154,age_band!$A$2:$C$5,3,FALSE)</f>
        <v>54</v>
      </c>
      <c r="J154">
        <f t="shared" ca="1" si="19"/>
        <v>46</v>
      </c>
      <c r="K154">
        <f t="shared" ca="1" si="20"/>
        <v>0.15207416960142961</v>
      </c>
      <c r="L154" t="str">
        <f ca="1">IF(K154&lt;=distribution!$D$11,distribution!$B$11,distribution!$B$12)</f>
        <v>N</v>
      </c>
      <c r="M154">
        <f t="shared" ca="1" si="21"/>
        <v>111774</v>
      </c>
      <c r="N154">
        <f t="shared" ca="1" si="22"/>
        <v>111774</v>
      </c>
    </row>
    <row r="155" spans="1:14" x14ac:dyDescent="0.45">
      <c r="A155">
        <f t="shared" si="23"/>
        <v>154</v>
      </c>
      <c r="B155">
        <f t="shared" ca="1" si="16"/>
        <v>5.5459018896490742E-2</v>
      </c>
      <c r="C155" t="str">
        <f ca="1">IF(B155&lt;=distribution!$D$2,distribution!$B$2,IF(B155&lt;=distribution!$D$3,distribution!$B$3,distribution!$B$4))</f>
        <v>ON</v>
      </c>
      <c r="D155">
        <f t="shared" ca="1" si="17"/>
        <v>0.38666516467256451</v>
      </c>
      <c r="E155" t="str">
        <f ca="1">IF(D155&lt;=distribution!$D$5,distribution!$B$5,distribution!$B$6)</f>
        <v>A</v>
      </c>
      <c r="F155">
        <f t="shared" ca="1" si="18"/>
        <v>9.6996109389627549E-2</v>
      </c>
      <c r="G155" t="str">
        <f ca="1">IF(F155&lt;=distribution!$D$7,distribution!$B$7,IF(F155&lt;=distribution!$D$8,distribution!$B$8,IF(F155&lt;=distribution!$D$9,distribution!$B$9,distribution!$B$10)))</f>
        <v>25-34</v>
      </c>
      <c r="H155">
        <f ca="1">VLOOKUP(G155,age_band!$A$1:$C$5,2,FALSE)</f>
        <v>25</v>
      </c>
      <c r="I155">
        <f ca="1">VLOOKUP(G155,age_band!$A$2:$C$5,3,FALSE)</f>
        <v>34</v>
      </c>
      <c r="J155">
        <f t="shared" ca="1" si="19"/>
        <v>29</v>
      </c>
      <c r="K155">
        <f t="shared" ca="1" si="20"/>
        <v>0.34969820853661049</v>
      </c>
      <c r="L155" t="str">
        <f ca="1">IF(K155&lt;=distribution!$D$11,distribution!$B$11,distribution!$B$12)</f>
        <v>N</v>
      </c>
      <c r="M155">
        <f t="shared" ca="1" si="21"/>
        <v>129292</v>
      </c>
      <c r="N155">
        <f t="shared" ca="1" si="22"/>
        <v>129292</v>
      </c>
    </row>
    <row r="156" spans="1:14" x14ac:dyDescent="0.45">
      <c r="A156">
        <f t="shared" si="23"/>
        <v>155</v>
      </c>
      <c r="B156">
        <f t="shared" ca="1" si="16"/>
        <v>0.80364278995877581</v>
      </c>
      <c r="C156" t="str">
        <f ca="1">IF(B156&lt;=distribution!$D$2,distribution!$B$2,IF(B156&lt;=distribution!$D$3,distribution!$B$3,distribution!$B$4))</f>
        <v>BC</v>
      </c>
      <c r="D156">
        <f t="shared" ca="1" si="17"/>
        <v>0.88641303039567332</v>
      </c>
      <c r="E156" t="str">
        <f ca="1">IF(D156&lt;=distribution!$D$5,distribution!$B$5,distribution!$B$6)</f>
        <v>B</v>
      </c>
      <c r="F156">
        <f t="shared" ca="1" si="18"/>
        <v>0.56683605786020763</v>
      </c>
      <c r="G156" t="str">
        <f ca="1">IF(F156&lt;=distribution!$D$7,distribution!$B$7,IF(F156&lt;=distribution!$D$8,distribution!$B$8,IF(F156&lt;=distribution!$D$9,distribution!$B$9,distribution!$B$10)))</f>
        <v>35-44</v>
      </c>
      <c r="H156">
        <f ca="1">VLOOKUP(G156,age_band!$A$1:$C$5,2,FALSE)</f>
        <v>35</v>
      </c>
      <c r="I156">
        <f ca="1">VLOOKUP(G156,age_band!$A$2:$C$5,3,FALSE)</f>
        <v>44</v>
      </c>
      <c r="J156">
        <f t="shared" ca="1" si="19"/>
        <v>44</v>
      </c>
      <c r="K156">
        <f t="shared" ca="1" si="20"/>
        <v>0.68640386228188088</v>
      </c>
      <c r="L156" t="str">
        <f ca="1">IF(K156&lt;=distribution!$D$11,distribution!$B$11,distribution!$B$12)</f>
        <v>N</v>
      </c>
      <c r="M156">
        <f t="shared" ca="1" si="21"/>
        <v>79266</v>
      </c>
      <c r="N156">
        <f t="shared" ca="1" si="22"/>
        <v>79266</v>
      </c>
    </row>
    <row r="157" spans="1:14" x14ac:dyDescent="0.45">
      <c r="A157">
        <f t="shared" si="23"/>
        <v>156</v>
      </c>
      <c r="B157">
        <f t="shared" ca="1" si="16"/>
        <v>0.57959636246979884</v>
      </c>
      <c r="C157" t="str">
        <f ca="1">IF(B157&lt;=distribution!$D$2,distribution!$B$2,IF(B157&lt;=distribution!$D$3,distribution!$B$3,distribution!$B$4))</f>
        <v>QC</v>
      </c>
      <c r="D157">
        <f t="shared" ca="1" si="17"/>
        <v>0.96522439674862259</v>
      </c>
      <c r="E157" t="str">
        <f ca="1">IF(D157&lt;=distribution!$D$5,distribution!$B$5,distribution!$B$6)</f>
        <v>B</v>
      </c>
      <c r="F157">
        <f t="shared" ca="1" si="18"/>
        <v>0.28709508158822872</v>
      </c>
      <c r="G157" t="str">
        <f ca="1">IF(F157&lt;=distribution!$D$7,distribution!$B$7,IF(F157&lt;=distribution!$D$8,distribution!$B$8,IF(F157&lt;=distribution!$D$9,distribution!$B$9,distribution!$B$10)))</f>
        <v>35-44</v>
      </c>
      <c r="H157">
        <f ca="1">VLOOKUP(G157,age_band!$A$1:$C$5,2,FALSE)</f>
        <v>35</v>
      </c>
      <c r="I157">
        <f ca="1">VLOOKUP(G157,age_band!$A$2:$C$5,3,FALSE)</f>
        <v>44</v>
      </c>
      <c r="J157">
        <f t="shared" ca="1" si="19"/>
        <v>40</v>
      </c>
      <c r="K157">
        <f t="shared" ca="1" si="20"/>
        <v>0.88664743843123595</v>
      </c>
      <c r="L157" t="str">
        <f ca="1">IF(K157&lt;=distribution!$D$11,distribution!$B$11,distribution!$B$12)</f>
        <v>Y</v>
      </c>
      <c r="M157">
        <f t="shared" ca="1" si="21"/>
        <v>49064</v>
      </c>
      <c r="N157">
        <f t="shared" ca="1" si="22"/>
        <v>49064</v>
      </c>
    </row>
    <row r="158" spans="1:14" x14ac:dyDescent="0.45">
      <c r="A158">
        <f t="shared" si="23"/>
        <v>157</v>
      </c>
      <c r="B158">
        <f t="shared" ca="1" si="16"/>
        <v>0.52418980864958875</v>
      </c>
      <c r="C158" t="str">
        <f ca="1">IF(B158&lt;=distribution!$D$2,distribution!$B$2,IF(B158&lt;=distribution!$D$3,distribution!$B$3,distribution!$B$4))</f>
        <v>ON</v>
      </c>
      <c r="D158">
        <f t="shared" ca="1" si="17"/>
        <v>0.39115649545680753</v>
      </c>
      <c r="E158" t="str">
        <f ca="1">IF(D158&lt;=distribution!$D$5,distribution!$B$5,distribution!$B$6)</f>
        <v>A</v>
      </c>
      <c r="F158">
        <f t="shared" ca="1" si="18"/>
        <v>0.6237984279701918</v>
      </c>
      <c r="G158" t="str">
        <f ca="1">IF(F158&lt;=distribution!$D$7,distribution!$B$7,IF(F158&lt;=distribution!$D$8,distribution!$B$8,IF(F158&lt;=distribution!$D$9,distribution!$B$9,distribution!$B$10)))</f>
        <v>45-54</v>
      </c>
      <c r="H158">
        <f ca="1">VLOOKUP(G158,age_band!$A$1:$C$5,2,FALSE)</f>
        <v>45</v>
      </c>
      <c r="I158">
        <f ca="1">VLOOKUP(G158,age_band!$A$2:$C$5,3,FALSE)</f>
        <v>54</v>
      </c>
      <c r="J158">
        <f t="shared" ca="1" si="19"/>
        <v>50</v>
      </c>
      <c r="K158">
        <f t="shared" ca="1" si="20"/>
        <v>0.88318519710390875</v>
      </c>
      <c r="L158" t="str">
        <f ca="1">IF(K158&lt;=distribution!$D$11,distribution!$B$11,distribution!$B$12)</f>
        <v>Y</v>
      </c>
      <c r="M158">
        <f t="shared" ca="1" si="21"/>
        <v>65627</v>
      </c>
      <c r="N158">
        <f t="shared" ca="1" si="22"/>
        <v>65627</v>
      </c>
    </row>
    <row r="159" spans="1:14" x14ac:dyDescent="0.45">
      <c r="A159">
        <f t="shared" si="23"/>
        <v>158</v>
      </c>
      <c r="B159">
        <f t="shared" ca="1" si="16"/>
        <v>0.12290258255428055</v>
      </c>
      <c r="C159" t="str">
        <f ca="1">IF(B159&lt;=distribution!$D$2,distribution!$B$2,IF(B159&lt;=distribution!$D$3,distribution!$B$3,distribution!$B$4))</f>
        <v>ON</v>
      </c>
      <c r="D159">
        <f t="shared" ca="1" si="17"/>
        <v>0.90485237607992008</v>
      </c>
      <c r="E159" t="str">
        <f ca="1">IF(D159&lt;=distribution!$D$5,distribution!$B$5,distribution!$B$6)</f>
        <v>B</v>
      </c>
      <c r="F159">
        <f t="shared" ca="1" si="18"/>
        <v>0.15064796718743834</v>
      </c>
      <c r="G159" t="str">
        <f ca="1">IF(F159&lt;=distribution!$D$7,distribution!$B$7,IF(F159&lt;=distribution!$D$8,distribution!$B$8,IF(F159&lt;=distribution!$D$9,distribution!$B$9,distribution!$B$10)))</f>
        <v>25-34</v>
      </c>
      <c r="H159">
        <f ca="1">VLOOKUP(G159,age_band!$A$1:$C$5,2,FALSE)</f>
        <v>25</v>
      </c>
      <c r="I159">
        <f ca="1">VLOOKUP(G159,age_band!$A$2:$C$5,3,FALSE)</f>
        <v>34</v>
      </c>
      <c r="J159">
        <f t="shared" ca="1" si="19"/>
        <v>32</v>
      </c>
      <c r="K159">
        <f t="shared" ca="1" si="20"/>
        <v>0.46426308691070006</v>
      </c>
      <c r="L159" t="str">
        <f ca="1">IF(K159&lt;=distribution!$D$11,distribution!$B$11,distribution!$B$12)</f>
        <v>N</v>
      </c>
      <c r="M159">
        <f t="shared" ca="1" si="21"/>
        <v>56935</v>
      </c>
      <c r="N159">
        <f t="shared" ca="1" si="22"/>
        <v>56935</v>
      </c>
    </row>
    <row r="160" spans="1:14" x14ac:dyDescent="0.45">
      <c r="A160">
        <f t="shared" si="23"/>
        <v>159</v>
      </c>
      <c r="B160">
        <f t="shared" ca="1" si="16"/>
        <v>7.5781246452819806E-2</v>
      </c>
      <c r="C160" t="str">
        <f ca="1">IF(B160&lt;=distribution!$D$2,distribution!$B$2,IF(B160&lt;=distribution!$D$3,distribution!$B$3,distribution!$B$4))</f>
        <v>ON</v>
      </c>
      <c r="D160">
        <f t="shared" ca="1" si="17"/>
        <v>0.56096156972118361</v>
      </c>
      <c r="E160" t="str">
        <f ca="1">IF(D160&lt;=distribution!$D$5,distribution!$B$5,distribution!$B$6)</f>
        <v>A</v>
      </c>
      <c r="F160">
        <f t="shared" ca="1" si="18"/>
        <v>2.8251507280165788E-2</v>
      </c>
      <c r="G160" t="str">
        <f ca="1">IF(F160&lt;=distribution!$D$7,distribution!$B$7,IF(F160&lt;=distribution!$D$8,distribution!$B$8,IF(F160&lt;=distribution!$D$9,distribution!$B$9,distribution!$B$10)))</f>
        <v>25-34</v>
      </c>
      <c r="H160">
        <f ca="1">VLOOKUP(G160,age_band!$A$1:$C$5,2,FALSE)</f>
        <v>25</v>
      </c>
      <c r="I160">
        <f ca="1">VLOOKUP(G160,age_band!$A$2:$C$5,3,FALSE)</f>
        <v>34</v>
      </c>
      <c r="J160">
        <f t="shared" ca="1" si="19"/>
        <v>32</v>
      </c>
      <c r="K160">
        <f t="shared" ca="1" si="20"/>
        <v>0.3339232609177416</v>
      </c>
      <c r="L160" t="str">
        <f ca="1">IF(K160&lt;=distribution!$D$11,distribution!$B$11,distribution!$B$12)</f>
        <v>N</v>
      </c>
      <c r="M160">
        <f t="shared" ca="1" si="21"/>
        <v>100359</v>
      </c>
      <c r="N160">
        <f t="shared" ca="1" si="22"/>
        <v>100359</v>
      </c>
    </row>
    <row r="161" spans="1:14" x14ac:dyDescent="0.45">
      <c r="A161">
        <f t="shared" si="23"/>
        <v>160</v>
      </c>
      <c r="B161">
        <f t="shared" ca="1" si="16"/>
        <v>0.1260277532026125</v>
      </c>
      <c r="C161" t="str">
        <f ca="1">IF(B161&lt;=distribution!$D$2,distribution!$B$2,IF(B161&lt;=distribution!$D$3,distribution!$B$3,distribution!$B$4))</f>
        <v>ON</v>
      </c>
      <c r="D161">
        <f t="shared" ca="1" si="17"/>
        <v>0.11719840161727035</v>
      </c>
      <c r="E161" t="str">
        <f ca="1">IF(D161&lt;=distribution!$D$5,distribution!$B$5,distribution!$B$6)</f>
        <v>A</v>
      </c>
      <c r="F161">
        <f t="shared" ca="1" si="18"/>
        <v>0.55863414557616897</v>
      </c>
      <c r="G161" t="str">
        <f ca="1">IF(F161&lt;=distribution!$D$7,distribution!$B$7,IF(F161&lt;=distribution!$D$8,distribution!$B$8,IF(F161&lt;=distribution!$D$9,distribution!$B$9,distribution!$B$10)))</f>
        <v>35-44</v>
      </c>
      <c r="H161">
        <f ca="1">VLOOKUP(G161,age_band!$A$1:$C$5,2,FALSE)</f>
        <v>35</v>
      </c>
      <c r="I161">
        <f ca="1">VLOOKUP(G161,age_band!$A$2:$C$5,3,FALSE)</f>
        <v>44</v>
      </c>
      <c r="J161">
        <f t="shared" ca="1" si="19"/>
        <v>39</v>
      </c>
      <c r="K161">
        <f t="shared" ca="1" si="20"/>
        <v>0.16310064309938754</v>
      </c>
      <c r="L161" t="str">
        <f ca="1">IF(K161&lt;=distribution!$D$11,distribution!$B$11,distribution!$B$12)</f>
        <v>N</v>
      </c>
      <c r="M161">
        <f t="shared" ca="1" si="21"/>
        <v>128715</v>
      </c>
      <c r="N161">
        <f t="shared" ca="1" si="22"/>
        <v>128715</v>
      </c>
    </row>
    <row r="162" spans="1:14" x14ac:dyDescent="0.45">
      <c r="A162">
        <f t="shared" si="23"/>
        <v>161</v>
      </c>
      <c r="B162">
        <f t="shared" ca="1" si="16"/>
        <v>0.87084591795773003</v>
      </c>
      <c r="C162" t="str">
        <f ca="1">IF(B162&lt;=distribution!$D$2,distribution!$B$2,IF(B162&lt;=distribution!$D$3,distribution!$B$3,distribution!$B$4))</f>
        <v>BC</v>
      </c>
      <c r="D162">
        <f t="shared" ca="1" si="17"/>
        <v>2.1641689195421754E-2</v>
      </c>
      <c r="E162" t="str">
        <f ca="1">IF(D162&lt;=distribution!$D$5,distribution!$B$5,distribution!$B$6)</f>
        <v>A</v>
      </c>
      <c r="F162">
        <f t="shared" ca="1" si="18"/>
        <v>0.77308215763391019</v>
      </c>
      <c r="G162" t="str">
        <f ca="1">IF(F162&lt;=distribution!$D$7,distribution!$B$7,IF(F162&lt;=distribution!$D$8,distribution!$B$8,IF(F162&lt;=distribution!$D$9,distribution!$B$9,distribution!$B$10)))</f>
        <v>45-54</v>
      </c>
      <c r="H162">
        <f ca="1">VLOOKUP(G162,age_band!$A$1:$C$5,2,FALSE)</f>
        <v>45</v>
      </c>
      <c r="I162">
        <f ca="1">VLOOKUP(G162,age_band!$A$2:$C$5,3,FALSE)</f>
        <v>54</v>
      </c>
      <c r="J162">
        <f t="shared" ca="1" si="19"/>
        <v>50</v>
      </c>
      <c r="K162">
        <f t="shared" ca="1" si="20"/>
        <v>0.70120950865955334</v>
      </c>
      <c r="L162" t="str">
        <f ca="1">IF(K162&lt;=distribution!$D$11,distribution!$B$11,distribution!$B$12)</f>
        <v>N</v>
      </c>
      <c r="M162">
        <f t="shared" ca="1" si="21"/>
        <v>109196</v>
      </c>
      <c r="N162">
        <f t="shared" ca="1" si="22"/>
        <v>109196</v>
      </c>
    </row>
    <row r="163" spans="1:14" x14ac:dyDescent="0.45">
      <c r="A163">
        <f t="shared" si="23"/>
        <v>162</v>
      </c>
      <c r="B163">
        <f t="shared" ca="1" si="16"/>
        <v>0.79882701539588019</v>
      </c>
      <c r="C163" t="str">
        <f ca="1">IF(B163&lt;=distribution!$D$2,distribution!$B$2,IF(B163&lt;=distribution!$D$3,distribution!$B$3,distribution!$B$4))</f>
        <v>BC</v>
      </c>
      <c r="D163">
        <f t="shared" ca="1" si="17"/>
        <v>0.79888453106315938</v>
      </c>
      <c r="E163" t="str">
        <f ca="1">IF(D163&lt;=distribution!$D$5,distribution!$B$5,distribution!$B$6)</f>
        <v>B</v>
      </c>
      <c r="F163">
        <f t="shared" ca="1" si="18"/>
        <v>0.15765457902475088</v>
      </c>
      <c r="G163" t="str">
        <f ca="1">IF(F163&lt;=distribution!$D$7,distribution!$B$7,IF(F163&lt;=distribution!$D$8,distribution!$B$8,IF(F163&lt;=distribution!$D$9,distribution!$B$9,distribution!$B$10)))</f>
        <v>25-34</v>
      </c>
      <c r="H163">
        <f ca="1">VLOOKUP(G163,age_band!$A$1:$C$5,2,FALSE)</f>
        <v>25</v>
      </c>
      <c r="I163">
        <f ca="1">VLOOKUP(G163,age_band!$A$2:$C$5,3,FALSE)</f>
        <v>34</v>
      </c>
      <c r="J163">
        <f t="shared" ca="1" si="19"/>
        <v>32</v>
      </c>
      <c r="K163">
        <f t="shared" ca="1" si="20"/>
        <v>0.46782148525733802</v>
      </c>
      <c r="L163" t="str">
        <f ca="1">IF(K163&lt;=distribution!$D$11,distribution!$B$11,distribution!$B$12)</f>
        <v>N</v>
      </c>
      <c r="M163">
        <f t="shared" ca="1" si="21"/>
        <v>68868</v>
      </c>
      <c r="N163">
        <f t="shared" ca="1" si="22"/>
        <v>68868</v>
      </c>
    </row>
    <row r="164" spans="1:14" x14ac:dyDescent="0.45">
      <c r="A164">
        <f t="shared" si="23"/>
        <v>163</v>
      </c>
      <c r="B164">
        <f t="shared" ca="1" si="16"/>
        <v>6.3969890392431061E-2</v>
      </c>
      <c r="C164" t="str">
        <f ca="1">IF(B164&lt;=distribution!$D$2,distribution!$B$2,IF(B164&lt;=distribution!$D$3,distribution!$B$3,distribution!$B$4))</f>
        <v>ON</v>
      </c>
      <c r="D164">
        <f t="shared" ca="1" si="17"/>
        <v>0.48871581670391795</v>
      </c>
      <c r="E164" t="str">
        <f ca="1">IF(D164&lt;=distribution!$D$5,distribution!$B$5,distribution!$B$6)</f>
        <v>A</v>
      </c>
      <c r="F164">
        <f t="shared" ca="1" si="18"/>
        <v>0.49363879781209419</v>
      </c>
      <c r="G164" t="str">
        <f ca="1">IF(F164&lt;=distribution!$D$7,distribution!$B$7,IF(F164&lt;=distribution!$D$8,distribution!$B$8,IF(F164&lt;=distribution!$D$9,distribution!$B$9,distribution!$B$10)))</f>
        <v>35-44</v>
      </c>
      <c r="H164">
        <f ca="1">VLOOKUP(G164,age_band!$A$1:$C$5,2,FALSE)</f>
        <v>35</v>
      </c>
      <c r="I164">
        <f ca="1">VLOOKUP(G164,age_band!$A$2:$C$5,3,FALSE)</f>
        <v>44</v>
      </c>
      <c r="J164">
        <f t="shared" ca="1" si="19"/>
        <v>37</v>
      </c>
      <c r="K164">
        <f t="shared" ca="1" si="20"/>
        <v>0.41546643449863907</v>
      </c>
      <c r="L164" t="str">
        <f ca="1">IF(K164&lt;=distribution!$D$11,distribution!$B$11,distribution!$B$12)</f>
        <v>N</v>
      </c>
      <c r="M164">
        <f t="shared" ca="1" si="21"/>
        <v>104736</v>
      </c>
      <c r="N164">
        <f t="shared" ca="1" si="22"/>
        <v>104736</v>
      </c>
    </row>
    <row r="165" spans="1:14" x14ac:dyDescent="0.45">
      <c r="A165">
        <f t="shared" si="23"/>
        <v>164</v>
      </c>
      <c r="B165">
        <f t="shared" ca="1" si="16"/>
        <v>0.15650295585139262</v>
      </c>
      <c r="C165" t="str">
        <f ca="1">IF(B165&lt;=distribution!$D$2,distribution!$B$2,IF(B165&lt;=distribution!$D$3,distribution!$B$3,distribution!$B$4))</f>
        <v>ON</v>
      </c>
      <c r="D165">
        <f t="shared" ca="1" si="17"/>
        <v>0.87927816323669883</v>
      </c>
      <c r="E165" t="str">
        <f ca="1">IF(D165&lt;=distribution!$D$5,distribution!$B$5,distribution!$B$6)</f>
        <v>B</v>
      </c>
      <c r="F165">
        <f t="shared" ca="1" si="18"/>
        <v>0.91178715939105159</v>
      </c>
      <c r="G165" t="str">
        <f ca="1">IF(F165&lt;=distribution!$D$7,distribution!$B$7,IF(F165&lt;=distribution!$D$8,distribution!$B$8,IF(F165&lt;=distribution!$D$9,distribution!$B$9,distribution!$B$10)))</f>
        <v>55-64</v>
      </c>
      <c r="H165">
        <f ca="1">VLOOKUP(G165,age_band!$A$1:$C$5,2,FALSE)</f>
        <v>55</v>
      </c>
      <c r="I165">
        <f ca="1">VLOOKUP(G165,age_band!$A$2:$C$5,3,FALSE)</f>
        <v>64</v>
      </c>
      <c r="J165">
        <f t="shared" ca="1" si="19"/>
        <v>59</v>
      </c>
      <c r="K165">
        <f t="shared" ca="1" si="20"/>
        <v>0.39097740405988868</v>
      </c>
      <c r="L165" t="str">
        <f ca="1">IF(K165&lt;=distribution!$D$11,distribution!$B$11,distribution!$B$12)</f>
        <v>N</v>
      </c>
      <c r="M165">
        <f t="shared" ca="1" si="21"/>
        <v>64457</v>
      </c>
      <c r="N165">
        <f t="shared" ca="1" si="22"/>
        <v>64457</v>
      </c>
    </row>
    <row r="166" spans="1:14" x14ac:dyDescent="0.45">
      <c r="A166">
        <f t="shared" si="23"/>
        <v>165</v>
      </c>
      <c r="B166">
        <f t="shared" ca="1" si="16"/>
        <v>0.64970871758430815</v>
      </c>
      <c r="C166" t="str">
        <f ca="1">IF(B166&lt;=distribution!$D$2,distribution!$B$2,IF(B166&lt;=distribution!$D$3,distribution!$B$3,distribution!$B$4))</f>
        <v>QC</v>
      </c>
      <c r="D166">
        <f t="shared" ca="1" si="17"/>
        <v>0.75073653921923433</v>
      </c>
      <c r="E166" t="str">
        <f ca="1">IF(D166&lt;=distribution!$D$5,distribution!$B$5,distribution!$B$6)</f>
        <v>B</v>
      </c>
      <c r="F166">
        <f t="shared" ca="1" si="18"/>
        <v>0.97367992711129214</v>
      </c>
      <c r="G166" t="str">
        <f ca="1">IF(F166&lt;=distribution!$D$7,distribution!$B$7,IF(F166&lt;=distribution!$D$8,distribution!$B$8,IF(F166&lt;=distribution!$D$9,distribution!$B$9,distribution!$B$10)))</f>
        <v>55-64</v>
      </c>
      <c r="H166">
        <f ca="1">VLOOKUP(G166,age_band!$A$1:$C$5,2,FALSE)</f>
        <v>55</v>
      </c>
      <c r="I166">
        <f ca="1">VLOOKUP(G166,age_band!$A$2:$C$5,3,FALSE)</f>
        <v>64</v>
      </c>
      <c r="J166">
        <f t="shared" ca="1" si="19"/>
        <v>61</v>
      </c>
      <c r="K166">
        <f t="shared" ca="1" si="20"/>
        <v>0.37960590178250408</v>
      </c>
      <c r="L166" t="str">
        <f ca="1">IF(K166&lt;=distribution!$D$11,distribution!$B$11,distribution!$B$12)</f>
        <v>N</v>
      </c>
      <c r="M166">
        <f t="shared" ca="1" si="21"/>
        <v>51766</v>
      </c>
      <c r="N166">
        <f t="shared" ca="1" si="22"/>
        <v>51766</v>
      </c>
    </row>
    <row r="167" spans="1:14" x14ac:dyDescent="0.45">
      <c r="A167">
        <f t="shared" si="23"/>
        <v>166</v>
      </c>
      <c r="B167">
        <f t="shared" ca="1" si="16"/>
        <v>4.5654369235086922E-2</v>
      </c>
      <c r="C167" t="str">
        <f ca="1">IF(B167&lt;=distribution!$D$2,distribution!$B$2,IF(B167&lt;=distribution!$D$3,distribution!$B$3,distribution!$B$4))</f>
        <v>ON</v>
      </c>
      <c r="D167">
        <f t="shared" ca="1" si="17"/>
        <v>6.3742782462889669E-2</v>
      </c>
      <c r="E167" t="str">
        <f ca="1">IF(D167&lt;=distribution!$D$5,distribution!$B$5,distribution!$B$6)</f>
        <v>A</v>
      </c>
      <c r="F167">
        <f t="shared" ca="1" si="18"/>
        <v>2.778421837779943E-2</v>
      </c>
      <c r="G167" t="str">
        <f ca="1">IF(F167&lt;=distribution!$D$7,distribution!$B$7,IF(F167&lt;=distribution!$D$8,distribution!$B$8,IF(F167&lt;=distribution!$D$9,distribution!$B$9,distribution!$B$10)))</f>
        <v>25-34</v>
      </c>
      <c r="H167">
        <f ca="1">VLOOKUP(G167,age_band!$A$1:$C$5,2,FALSE)</f>
        <v>25</v>
      </c>
      <c r="I167">
        <f ca="1">VLOOKUP(G167,age_band!$A$2:$C$5,3,FALSE)</f>
        <v>34</v>
      </c>
      <c r="J167">
        <f t="shared" ca="1" si="19"/>
        <v>33</v>
      </c>
      <c r="K167">
        <f t="shared" ca="1" si="20"/>
        <v>0.40967801509005797</v>
      </c>
      <c r="L167" t="str">
        <f ca="1">IF(K167&lt;=distribution!$D$11,distribution!$B$11,distribution!$B$12)</f>
        <v>N</v>
      </c>
      <c r="M167">
        <f t="shared" ca="1" si="21"/>
        <v>75085</v>
      </c>
      <c r="N167">
        <f t="shared" ca="1" si="22"/>
        <v>75085</v>
      </c>
    </row>
    <row r="168" spans="1:14" x14ac:dyDescent="0.45">
      <c r="A168">
        <f t="shared" si="23"/>
        <v>167</v>
      </c>
      <c r="B168">
        <f t="shared" ca="1" si="16"/>
        <v>0.55406570800620303</v>
      </c>
      <c r="C168" t="str">
        <f ca="1">IF(B168&lt;=distribution!$D$2,distribution!$B$2,IF(B168&lt;=distribution!$D$3,distribution!$B$3,distribution!$B$4))</f>
        <v>QC</v>
      </c>
      <c r="D168">
        <f t="shared" ca="1" si="17"/>
        <v>0.10462811824950535</v>
      </c>
      <c r="E168" t="str">
        <f ca="1">IF(D168&lt;=distribution!$D$5,distribution!$B$5,distribution!$B$6)</f>
        <v>A</v>
      </c>
      <c r="F168">
        <f t="shared" ca="1" si="18"/>
        <v>0.12681025234122523</v>
      </c>
      <c r="G168" t="str">
        <f ca="1">IF(F168&lt;=distribution!$D$7,distribution!$B$7,IF(F168&lt;=distribution!$D$8,distribution!$B$8,IF(F168&lt;=distribution!$D$9,distribution!$B$9,distribution!$B$10)))</f>
        <v>25-34</v>
      </c>
      <c r="H168">
        <f ca="1">VLOOKUP(G168,age_band!$A$1:$C$5,2,FALSE)</f>
        <v>25</v>
      </c>
      <c r="I168">
        <f ca="1">VLOOKUP(G168,age_band!$A$2:$C$5,3,FALSE)</f>
        <v>34</v>
      </c>
      <c r="J168">
        <f t="shared" ca="1" si="19"/>
        <v>27</v>
      </c>
      <c r="K168">
        <f t="shared" ca="1" si="20"/>
        <v>0.76315730059820963</v>
      </c>
      <c r="L168" t="str">
        <f ca="1">IF(K168&lt;=distribution!$D$11,distribution!$B$11,distribution!$B$12)</f>
        <v>N</v>
      </c>
      <c r="M168">
        <f t="shared" ca="1" si="21"/>
        <v>98992</v>
      </c>
      <c r="N168">
        <f t="shared" ca="1" si="22"/>
        <v>98992</v>
      </c>
    </row>
    <row r="169" spans="1:14" x14ac:dyDescent="0.45">
      <c r="A169">
        <f t="shared" si="23"/>
        <v>168</v>
      </c>
      <c r="B169">
        <f t="shared" ca="1" si="16"/>
        <v>2.8783843303830658E-2</v>
      </c>
      <c r="C169" t="str">
        <f ca="1">IF(B169&lt;=distribution!$D$2,distribution!$B$2,IF(B169&lt;=distribution!$D$3,distribution!$B$3,distribution!$B$4))</f>
        <v>ON</v>
      </c>
      <c r="D169">
        <f t="shared" ca="1" si="17"/>
        <v>0.87433218728549889</v>
      </c>
      <c r="E169" t="str">
        <f ca="1">IF(D169&lt;=distribution!$D$5,distribution!$B$5,distribution!$B$6)</f>
        <v>B</v>
      </c>
      <c r="F169">
        <f t="shared" ca="1" si="18"/>
        <v>0.68849054655730157</v>
      </c>
      <c r="G169" t="str">
        <f ca="1">IF(F169&lt;=distribution!$D$7,distribution!$B$7,IF(F169&lt;=distribution!$D$8,distribution!$B$8,IF(F169&lt;=distribution!$D$9,distribution!$B$9,distribution!$B$10)))</f>
        <v>45-54</v>
      </c>
      <c r="H169">
        <f ca="1">VLOOKUP(G169,age_band!$A$1:$C$5,2,FALSE)</f>
        <v>45</v>
      </c>
      <c r="I169">
        <f ca="1">VLOOKUP(G169,age_band!$A$2:$C$5,3,FALSE)</f>
        <v>54</v>
      </c>
      <c r="J169">
        <f t="shared" ca="1" si="19"/>
        <v>52</v>
      </c>
      <c r="K169">
        <f t="shared" ca="1" si="20"/>
        <v>0.50853747606020416</v>
      </c>
      <c r="L169" t="str">
        <f ca="1">IF(K169&lt;=distribution!$D$11,distribution!$B$11,distribution!$B$12)</f>
        <v>N</v>
      </c>
      <c r="M169">
        <f t="shared" ca="1" si="21"/>
        <v>76513</v>
      </c>
      <c r="N169">
        <f t="shared" ca="1" si="22"/>
        <v>76513</v>
      </c>
    </row>
    <row r="170" spans="1:14" x14ac:dyDescent="0.45">
      <c r="A170">
        <f t="shared" si="23"/>
        <v>169</v>
      </c>
      <c r="B170">
        <f t="shared" ca="1" si="16"/>
        <v>0.46026400684869673</v>
      </c>
      <c r="C170" t="str">
        <f ca="1">IF(B170&lt;=distribution!$D$2,distribution!$B$2,IF(B170&lt;=distribution!$D$3,distribution!$B$3,distribution!$B$4))</f>
        <v>ON</v>
      </c>
      <c r="D170">
        <f t="shared" ca="1" si="17"/>
        <v>0.6256884415024957</v>
      </c>
      <c r="E170" t="str">
        <f ca="1">IF(D170&lt;=distribution!$D$5,distribution!$B$5,distribution!$B$6)</f>
        <v>A</v>
      </c>
      <c r="F170">
        <f t="shared" ca="1" si="18"/>
        <v>0.2217756819990967</v>
      </c>
      <c r="G170" t="str">
        <f ca="1">IF(F170&lt;=distribution!$D$7,distribution!$B$7,IF(F170&lt;=distribution!$D$8,distribution!$B$8,IF(F170&lt;=distribution!$D$9,distribution!$B$9,distribution!$B$10)))</f>
        <v>25-34</v>
      </c>
      <c r="H170">
        <f ca="1">VLOOKUP(G170,age_band!$A$1:$C$5,2,FALSE)</f>
        <v>25</v>
      </c>
      <c r="I170">
        <f ca="1">VLOOKUP(G170,age_band!$A$2:$C$5,3,FALSE)</f>
        <v>34</v>
      </c>
      <c r="J170">
        <f t="shared" ca="1" si="19"/>
        <v>27</v>
      </c>
      <c r="K170">
        <f t="shared" ca="1" si="20"/>
        <v>0.82151939022054266</v>
      </c>
      <c r="L170" t="str">
        <f ca="1">IF(K170&lt;=distribution!$D$11,distribution!$B$11,distribution!$B$12)</f>
        <v>N</v>
      </c>
      <c r="M170">
        <f t="shared" ca="1" si="21"/>
        <v>93024</v>
      </c>
      <c r="N170">
        <f t="shared" ca="1" si="22"/>
        <v>93024</v>
      </c>
    </row>
    <row r="171" spans="1:14" x14ac:dyDescent="0.45">
      <c r="A171">
        <f t="shared" si="23"/>
        <v>170</v>
      </c>
      <c r="B171">
        <f t="shared" ca="1" si="16"/>
        <v>0.90766963020513358</v>
      </c>
      <c r="C171" t="str">
        <f ca="1">IF(B171&lt;=distribution!$D$2,distribution!$B$2,IF(B171&lt;=distribution!$D$3,distribution!$B$3,distribution!$B$4))</f>
        <v>BC</v>
      </c>
      <c r="D171">
        <f t="shared" ca="1" si="17"/>
        <v>0.69213901769874331</v>
      </c>
      <c r="E171" t="str">
        <f ca="1">IF(D171&lt;=distribution!$D$5,distribution!$B$5,distribution!$B$6)</f>
        <v>B</v>
      </c>
      <c r="F171">
        <f t="shared" ca="1" si="18"/>
        <v>0.94202369804407426</v>
      </c>
      <c r="G171" t="str">
        <f ca="1">IF(F171&lt;=distribution!$D$7,distribution!$B$7,IF(F171&lt;=distribution!$D$8,distribution!$B$8,IF(F171&lt;=distribution!$D$9,distribution!$B$9,distribution!$B$10)))</f>
        <v>55-64</v>
      </c>
      <c r="H171">
        <f ca="1">VLOOKUP(G171,age_band!$A$1:$C$5,2,FALSE)</f>
        <v>55</v>
      </c>
      <c r="I171">
        <f ca="1">VLOOKUP(G171,age_band!$A$2:$C$5,3,FALSE)</f>
        <v>64</v>
      </c>
      <c r="J171">
        <f t="shared" ca="1" si="19"/>
        <v>61</v>
      </c>
      <c r="K171">
        <f t="shared" ca="1" si="20"/>
        <v>0.63463638181222215</v>
      </c>
      <c r="L171" t="str">
        <f ca="1">IF(K171&lt;=distribution!$D$11,distribution!$B$11,distribution!$B$12)</f>
        <v>N</v>
      </c>
      <c r="M171">
        <f t="shared" ca="1" si="21"/>
        <v>74566</v>
      </c>
      <c r="N171">
        <f t="shared" ca="1" si="22"/>
        <v>74566</v>
      </c>
    </row>
    <row r="172" spans="1:14" x14ac:dyDescent="0.45">
      <c r="A172">
        <f t="shared" si="23"/>
        <v>171</v>
      </c>
      <c r="B172">
        <f t="shared" ca="1" si="16"/>
        <v>3.4360495282871328E-3</v>
      </c>
      <c r="C172" t="str">
        <f ca="1">IF(B172&lt;=distribution!$D$2,distribution!$B$2,IF(B172&lt;=distribution!$D$3,distribution!$B$3,distribution!$B$4))</f>
        <v>ON</v>
      </c>
      <c r="D172">
        <f t="shared" ca="1" si="17"/>
        <v>0.65593214248142317</v>
      </c>
      <c r="E172" t="str">
        <f ca="1">IF(D172&lt;=distribution!$D$5,distribution!$B$5,distribution!$B$6)</f>
        <v>B</v>
      </c>
      <c r="F172">
        <f t="shared" ca="1" si="18"/>
        <v>0.18209856755003606</v>
      </c>
      <c r="G172" t="str">
        <f ca="1">IF(F172&lt;=distribution!$D$7,distribution!$B$7,IF(F172&lt;=distribution!$D$8,distribution!$B$8,IF(F172&lt;=distribution!$D$9,distribution!$B$9,distribution!$B$10)))</f>
        <v>25-34</v>
      </c>
      <c r="H172">
        <f ca="1">VLOOKUP(G172,age_band!$A$1:$C$5,2,FALSE)</f>
        <v>25</v>
      </c>
      <c r="I172">
        <f ca="1">VLOOKUP(G172,age_band!$A$2:$C$5,3,FALSE)</f>
        <v>34</v>
      </c>
      <c r="J172">
        <f t="shared" ca="1" si="19"/>
        <v>27</v>
      </c>
      <c r="K172">
        <f t="shared" ca="1" si="20"/>
        <v>7.3587516500652761E-3</v>
      </c>
      <c r="L172" t="str">
        <f ca="1">IF(K172&lt;=distribution!$D$11,distribution!$B$11,distribution!$B$12)</f>
        <v>N</v>
      </c>
      <c r="M172">
        <f t="shared" ca="1" si="21"/>
        <v>59018</v>
      </c>
      <c r="N172">
        <f t="shared" ca="1" si="22"/>
        <v>59018</v>
      </c>
    </row>
    <row r="173" spans="1:14" x14ac:dyDescent="0.45">
      <c r="A173">
        <f t="shared" si="23"/>
        <v>172</v>
      </c>
      <c r="B173">
        <f t="shared" ca="1" si="16"/>
        <v>6.2758446235603449E-2</v>
      </c>
      <c r="C173" t="str">
        <f ca="1">IF(B173&lt;=distribution!$D$2,distribution!$B$2,IF(B173&lt;=distribution!$D$3,distribution!$B$3,distribution!$B$4))</f>
        <v>ON</v>
      </c>
      <c r="D173">
        <f t="shared" ca="1" si="17"/>
        <v>0.27029279113167126</v>
      </c>
      <c r="E173" t="str">
        <f ca="1">IF(D173&lt;=distribution!$D$5,distribution!$B$5,distribution!$B$6)</f>
        <v>A</v>
      </c>
      <c r="F173">
        <f t="shared" ca="1" si="18"/>
        <v>0.86808145683214832</v>
      </c>
      <c r="G173" t="str">
        <f ca="1">IF(F173&lt;=distribution!$D$7,distribution!$B$7,IF(F173&lt;=distribution!$D$8,distribution!$B$8,IF(F173&lt;=distribution!$D$9,distribution!$B$9,distribution!$B$10)))</f>
        <v>55-64</v>
      </c>
      <c r="H173">
        <f ca="1">VLOOKUP(G173,age_band!$A$1:$C$5,2,FALSE)</f>
        <v>55</v>
      </c>
      <c r="I173">
        <f ca="1">VLOOKUP(G173,age_band!$A$2:$C$5,3,FALSE)</f>
        <v>64</v>
      </c>
      <c r="J173">
        <f t="shared" ca="1" si="19"/>
        <v>63</v>
      </c>
      <c r="K173">
        <f t="shared" ca="1" si="20"/>
        <v>0.76637531918222346</v>
      </c>
      <c r="L173" t="str">
        <f ca="1">IF(K173&lt;=distribution!$D$11,distribution!$B$11,distribution!$B$12)</f>
        <v>N</v>
      </c>
      <c r="M173">
        <f t="shared" ca="1" si="21"/>
        <v>64564</v>
      </c>
      <c r="N173">
        <f t="shared" ca="1" si="22"/>
        <v>64564</v>
      </c>
    </row>
    <row r="174" spans="1:14" x14ac:dyDescent="0.45">
      <c r="A174">
        <f t="shared" si="23"/>
        <v>173</v>
      </c>
      <c r="B174">
        <f t="shared" ca="1" si="16"/>
        <v>0.51411266195768335</v>
      </c>
      <c r="C174" t="str">
        <f ca="1">IF(B174&lt;=distribution!$D$2,distribution!$B$2,IF(B174&lt;=distribution!$D$3,distribution!$B$3,distribution!$B$4))</f>
        <v>ON</v>
      </c>
      <c r="D174">
        <f t="shared" ca="1" si="17"/>
        <v>0.23921536350862738</v>
      </c>
      <c r="E174" t="str">
        <f ca="1">IF(D174&lt;=distribution!$D$5,distribution!$B$5,distribution!$B$6)</f>
        <v>A</v>
      </c>
      <c r="F174">
        <f t="shared" ca="1" si="18"/>
        <v>0.37651201671924506</v>
      </c>
      <c r="G174" t="str">
        <f ca="1">IF(F174&lt;=distribution!$D$7,distribution!$B$7,IF(F174&lt;=distribution!$D$8,distribution!$B$8,IF(F174&lt;=distribution!$D$9,distribution!$B$9,distribution!$B$10)))</f>
        <v>35-44</v>
      </c>
      <c r="H174">
        <f ca="1">VLOOKUP(G174,age_band!$A$1:$C$5,2,FALSE)</f>
        <v>35</v>
      </c>
      <c r="I174">
        <f ca="1">VLOOKUP(G174,age_band!$A$2:$C$5,3,FALSE)</f>
        <v>44</v>
      </c>
      <c r="J174">
        <f t="shared" ca="1" si="19"/>
        <v>41</v>
      </c>
      <c r="K174">
        <f t="shared" ca="1" si="20"/>
        <v>0.14785661236529779</v>
      </c>
      <c r="L174" t="str">
        <f ca="1">IF(K174&lt;=distribution!$D$11,distribution!$B$11,distribution!$B$12)</f>
        <v>N</v>
      </c>
      <c r="M174">
        <f t="shared" ca="1" si="21"/>
        <v>105215</v>
      </c>
      <c r="N174">
        <f t="shared" ca="1" si="22"/>
        <v>105215</v>
      </c>
    </row>
    <row r="175" spans="1:14" x14ac:dyDescent="0.45">
      <c r="A175">
        <f t="shared" si="23"/>
        <v>174</v>
      </c>
      <c r="B175">
        <f t="shared" ca="1" si="16"/>
        <v>0.3906177318734646</v>
      </c>
      <c r="C175" t="str">
        <f ca="1">IF(B175&lt;=distribution!$D$2,distribution!$B$2,IF(B175&lt;=distribution!$D$3,distribution!$B$3,distribution!$B$4))</f>
        <v>ON</v>
      </c>
      <c r="D175">
        <f t="shared" ca="1" si="17"/>
        <v>0.51765376887287506</v>
      </c>
      <c r="E175" t="str">
        <f ca="1">IF(D175&lt;=distribution!$D$5,distribution!$B$5,distribution!$B$6)</f>
        <v>A</v>
      </c>
      <c r="F175">
        <f t="shared" ca="1" si="18"/>
        <v>0.16845973751961774</v>
      </c>
      <c r="G175" t="str">
        <f ca="1">IF(F175&lt;=distribution!$D$7,distribution!$B$7,IF(F175&lt;=distribution!$D$8,distribution!$B$8,IF(F175&lt;=distribution!$D$9,distribution!$B$9,distribution!$B$10)))</f>
        <v>25-34</v>
      </c>
      <c r="H175">
        <f ca="1">VLOOKUP(G175,age_band!$A$1:$C$5,2,FALSE)</f>
        <v>25</v>
      </c>
      <c r="I175">
        <f ca="1">VLOOKUP(G175,age_band!$A$2:$C$5,3,FALSE)</f>
        <v>34</v>
      </c>
      <c r="J175">
        <f t="shared" ca="1" si="19"/>
        <v>26</v>
      </c>
      <c r="K175">
        <f t="shared" ca="1" si="20"/>
        <v>0.11318467055096071</v>
      </c>
      <c r="L175" t="str">
        <f ca="1">IF(K175&lt;=distribution!$D$11,distribution!$B$11,distribution!$B$12)</f>
        <v>N</v>
      </c>
      <c r="M175">
        <f t="shared" ca="1" si="21"/>
        <v>83979</v>
      </c>
      <c r="N175">
        <f t="shared" ca="1" si="22"/>
        <v>83979</v>
      </c>
    </row>
    <row r="176" spans="1:14" x14ac:dyDescent="0.45">
      <c r="A176">
        <f t="shared" si="23"/>
        <v>175</v>
      </c>
      <c r="B176">
        <f t="shared" ca="1" si="16"/>
        <v>0.23229279980927597</v>
      </c>
      <c r="C176" t="str">
        <f ca="1">IF(B176&lt;=distribution!$D$2,distribution!$B$2,IF(B176&lt;=distribution!$D$3,distribution!$B$3,distribution!$B$4))</f>
        <v>ON</v>
      </c>
      <c r="D176">
        <f t="shared" ca="1" si="17"/>
        <v>0.9789973296106852</v>
      </c>
      <c r="E176" t="str">
        <f ca="1">IF(D176&lt;=distribution!$D$5,distribution!$B$5,distribution!$B$6)</f>
        <v>B</v>
      </c>
      <c r="F176">
        <f t="shared" ca="1" si="18"/>
        <v>0.3190233618658298</v>
      </c>
      <c r="G176" t="str">
        <f ca="1">IF(F176&lt;=distribution!$D$7,distribution!$B$7,IF(F176&lt;=distribution!$D$8,distribution!$B$8,IF(F176&lt;=distribution!$D$9,distribution!$B$9,distribution!$B$10)))</f>
        <v>35-44</v>
      </c>
      <c r="H176">
        <f ca="1">VLOOKUP(G176,age_band!$A$1:$C$5,2,FALSE)</f>
        <v>35</v>
      </c>
      <c r="I176">
        <f ca="1">VLOOKUP(G176,age_band!$A$2:$C$5,3,FALSE)</f>
        <v>44</v>
      </c>
      <c r="J176">
        <f t="shared" ca="1" si="19"/>
        <v>35</v>
      </c>
      <c r="K176">
        <f t="shared" ca="1" si="20"/>
        <v>0.5243148861470226</v>
      </c>
      <c r="L176" t="str">
        <f ca="1">IF(K176&lt;=distribution!$D$11,distribution!$B$11,distribution!$B$12)</f>
        <v>N</v>
      </c>
      <c r="M176">
        <f t="shared" ca="1" si="21"/>
        <v>70653</v>
      </c>
      <c r="N176">
        <f t="shared" ca="1" si="22"/>
        <v>70653</v>
      </c>
    </row>
    <row r="177" spans="1:14" x14ac:dyDescent="0.45">
      <c r="A177">
        <f t="shared" si="23"/>
        <v>176</v>
      </c>
      <c r="B177">
        <f t="shared" ca="1" si="16"/>
        <v>0.70013814451835621</v>
      </c>
      <c r="C177" t="str">
        <f ca="1">IF(B177&lt;=distribution!$D$2,distribution!$B$2,IF(B177&lt;=distribution!$D$3,distribution!$B$3,distribution!$B$4))</f>
        <v>QC</v>
      </c>
      <c r="D177">
        <f t="shared" ca="1" si="17"/>
        <v>0.17397714963590427</v>
      </c>
      <c r="E177" t="str">
        <f ca="1">IF(D177&lt;=distribution!$D$5,distribution!$B$5,distribution!$B$6)</f>
        <v>A</v>
      </c>
      <c r="F177">
        <f t="shared" ca="1" si="18"/>
        <v>0.62569329198412316</v>
      </c>
      <c r="G177" t="str">
        <f ca="1">IF(F177&lt;=distribution!$D$7,distribution!$B$7,IF(F177&lt;=distribution!$D$8,distribution!$B$8,IF(F177&lt;=distribution!$D$9,distribution!$B$9,distribution!$B$10)))</f>
        <v>45-54</v>
      </c>
      <c r="H177">
        <f ca="1">VLOOKUP(G177,age_band!$A$1:$C$5,2,FALSE)</f>
        <v>45</v>
      </c>
      <c r="I177">
        <f ca="1">VLOOKUP(G177,age_band!$A$2:$C$5,3,FALSE)</f>
        <v>54</v>
      </c>
      <c r="J177">
        <f t="shared" ca="1" si="19"/>
        <v>54</v>
      </c>
      <c r="K177">
        <f t="shared" ca="1" si="20"/>
        <v>0.48034658278655651</v>
      </c>
      <c r="L177" t="str">
        <f ca="1">IF(K177&lt;=distribution!$D$11,distribution!$B$11,distribution!$B$12)</f>
        <v>N</v>
      </c>
      <c r="M177">
        <f t="shared" ca="1" si="21"/>
        <v>54902</v>
      </c>
      <c r="N177">
        <f t="shared" ca="1" si="22"/>
        <v>54902</v>
      </c>
    </row>
    <row r="178" spans="1:14" x14ac:dyDescent="0.45">
      <c r="A178">
        <f t="shared" si="23"/>
        <v>177</v>
      </c>
      <c r="B178">
        <f t="shared" ca="1" si="16"/>
        <v>0.54233604347775055</v>
      </c>
      <c r="C178" t="str">
        <f ca="1">IF(B178&lt;=distribution!$D$2,distribution!$B$2,IF(B178&lt;=distribution!$D$3,distribution!$B$3,distribution!$B$4))</f>
        <v>ON</v>
      </c>
      <c r="D178">
        <f t="shared" ca="1" si="17"/>
        <v>0.89234491923434445</v>
      </c>
      <c r="E178" t="str">
        <f ca="1">IF(D178&lt;=distribution!$D$5,distribution!$B$5,distribution!$B$6)</f>
        <v>B</v>
      </c>
      <c r="F178">
        <f t="shared" ca="1" si="18"/>
        <v>0.58651729301041888</v>
      </c>
      <c r="G178" t="str">
        <f ca="1">IF(F178&lt;=distribution!$D$7,distribution!$B$7,IF(F178&lt;=distribution!$D$8,distribution!$B$8,IF(F178&lt;=distribution!$D$9,distribution!$B$9,distribution!$B$10)))</f>
        <v>35-44</v>
      </c>
      <c r="H178">
        <f ca="1">VLOOKUP(G178,age_band!$A$1:$C$5,2,FALSE)</f>
        <v>35</v>
      </c>
      <c r="I178">
        <f ca="1">VLOOKUP(G178,age_band!$A$2:$C$5,3,FALSE)</f>
        <v>44</v>
      </c>
      <c r="J178">
        <f t="shared" ca="1" si="19"/>
        <v>38</v>
      </c>
      <c r="K178">
        <f t="shared" ca="1" si="20"/>
        <v>7.5618133526006104E-2</v>
      </c>
      <c r="L178" t="str">
        <f ca="1">IF(K178&lt;=distribution!$D$11,distribution!$B$11,distribution!$B$12)</f>
        <v>N</v>
      </c>
      <c r="M178">
        <f t="shared" ca="1" si="21"/>
        <v>66608</v>
      </c>
      <c r="N178">
        <f t="shared" ca="1" si="22"/>
        <v>66608</v>
      </c>
    </row>
    <row r="179" spans="1:14" x14ac:dyDescent="0.45">
      <c r="A179">
        <f t="shared" si="23"/>
        <v>178</v>
      </c>
      <c r="B179">
        <f t="shared" ca="1" si="16"/>
        <v>5.3286748993409461E-2</v>
      </c>
      <c r="C179" t="str">
        <f ca="1">IF(B179&lt;=distribution!$D$2,distribution!$B$2,IF(B179&lt;=distribution!$D$3,distribution!$B$3,distribution!$B$4))</f>
        <v>ON</v>
      </c>
      <c r="D179">
        <f t="shared" ca="1" si="17"/>
        <v>0.74014043762511661</v>
      </c>
      <c r="E179" t="str">
        <f ca="1">IF(D179&lt;=distribution!$D$5,distribution!$B$5,distribution!$B$6)</f>
        <v>B</v>
      </c>
      <c r="F179">
        <f t="shared" ca="1" si="18"/>
        <v>0.59152302273202773</v>
      </c>
      <c r="G179" t="str">
        <f ca="1">IF(F179&lt;=distribution!$D$7,distribution!$B$7,IF(F179&lt;=distribution!$D$8,distribution!$B$8,IF(F179&lt;=distribution!$D$9,distribution!$B$9,distribution!$B$10)))</f>
        <v>35-44</v>
      </c>
      <c r="H179">
        <f ca="1">VLOOKUP(G179,age_band!$A$1:$C$5,2,FALSE)</f>
        <v>35</v>
      </c>
      <c r="I179">
        <f ca="1">VLOOKUP(G179,age_band!$A$2:$C$5,3,FALSE)</f>
        <v>44</v>
      </c>
      <c r="J179">
        <f t="shared" ca="1" si="19"/>
        <v>39</v>
      </c>
      <c r="K179">
        <f t="shared" ca="1" si="20"/>
        <v>0.47453452317760525</v>
      </c>
      <c r="L179" t="str">
        <f ca="1">IF(K179&lt;=distribution!$D$11,distribution!$B$11,distribution!$B$12)</f>
        <v>N</v>
      </c>
      <c r="M179">
        <f t="shared" ca="1" si="21"/>
        <v>59552</v>
      </c>
      <c r="N179">
        <f t="shared" ca="1" si="22"/>
        <v>59552</v>
      </c>
    </row>
    <row r="180" spans="1:14" x14ac:dyDescent="0.45">
      <c r="A180">
        <f t="shared" si="23"/>
        <v>179</v>
      </c>
      <c r="B180">
        <f t="shared" ca="1" si="16"/>
        <v>0.93449401360101969</v>
      </c>
      <c r="C180" t="str">
        <f ca="1">IF(B180&lt;=distribution!$D$2,distribution!$B$2,IF(B180&lt;=distribution!$D$3,distribution!$B$3,distribution!$B$4))</f>
        <v>BC</v>
      </c>
      <c r="D180">
        <f t="shared" ca="1" si="17"/>
        <v>0.23916267964167581</v>
      </c>
      <c r="E180" t="str">
        <f ca="1">IF(D180&lt;=distribution!$D$5,distribution!$B$5,distribution!$B$6)</f>
        <v>A</v>
      </c>
      <c r="F180">
        <f t="shared" ca="1" si="18"/>
        <v>0.35914894877395243</v>
      </c>
      <c r="G180" t="str">
        <f ca="1">IF(F180&lt;=distribution!$D$7,distribution!$B$7,IF(F180&lt;=distribution!$D$8,distribution!$B$8,IF(F180&lt;=distribution!$D$9,distribution!$B$9,distribution!$B$10)))</f>
        <v>35-44</v>
      </c>
      <c r="H180">
        <f ca="1">VLOOKUP(G180,age_band!$A$1:$C$5,2,FALSE)</f>
        <v>35</v>
      </c>
      <c r="I180">
        <f ca="1">VLOOKUP(G180,age_band!$A$2:$C$5,3,FALSE)</f>
        <v>44</v>
      </c>
      <c r="J180">
        <f t="shared" ca="1" si="19"/>
        <v>40</v>
      </c>
      <c r="K180">
        <f t="shared" ca="1" si="20"/>
        <v>0.503014050808129</v>
      </c>
      <c r="L180" t="str">
        <f ca="1">IF(K180&lt;=distribution!$D$11,distribution!$B$11,distribution!$B$12)</f>
        <v>N</v>
      </c>
      <c r="M180">
        <f t="shared" ca="1" si="21"/>
        <v>58996</v>
      </c>
      <c r="N180">
        <f t="shared" ca="1" si="22"/>
        <v>58996</v>
      </c>
    </row>
    <row r="181" spans="1:14" x14ac:dyDescent="0.45">
      <c r="A181">
        <f t="shared" si="23"/>
        <v>180</v>
      </c>
      <c r="B181">
        <f t="shared" ca="1" si="16"/>
        <v>5.1178986028791895E-2</v>
      </c>
      <c r="C181" t="str">
        <f ca="1">IF(B181&lt;=distribution!$D$2,distribution!$B$2,IF(B181&lt;=distribution!$D$3,distribution!$B$3,distribution!$B$4))</f>
        <v>ON</v>
      </c>
      <c r="D181">
        <f t="shared" ca="1" si="17"/>
        <v>0.76239656359428543</v>
      </c>
      <c r="E181" t="str">
        <f ca="1">IF(D181&lt;=distribution!$D$5,distribution!$B$5,distribution!$B$6)</f>
        <v>B</v>
      </c>
      <c r="F181">
        <f t="shared" ca="1" si="18"/>
        <v>0.11736560460458134</v>
      </c>
      <c r="G181" t="str">
        <f ca="1">IF(F181&lt;=distribution!$D$7,distribution!$B$7,IF(F181&lt;=distribution!$D$8,distribution!$B$8,IF(F181&lt;=distribution!$D$9,distribution!$B$9,distribution!$B$10)))</f>
        <v>25-34</v>
      </c>
      <c r="H181">
        <f ca="1">VLOOKUP(G181,age_band!$A$1:$C$5,2,FALSE)</f>
        <v>25</v>
      </c>
      <c r="I181">
        <f ca="1">VLOOKUP(G181,age_band!$A$2:$C$5,3,FALSE)</f>
        <v>34</v>
      </c>
      <c r="J181">
        <f t="shared" ca="1" si="19"/>
        <v>26</v>
      </c>
      <c r="K181">
        <f t="shared" ca="1" si="20"/>
        <v>0.11718437777291546</v>
      </c>
      <c r="L181" t="str">
        <f ca="1">IF(K181&lt;=distribution!$D$11,distribution!$B$11,distribution!$B$12)</f>
        <v>N</v>
      </c>
      <c r="M181">
        <f t="shared" ca="1" si="21"/>
        <v>70874</v>
      </c>
      <c r="N181">
        <f t="shared" ca="1" si="22"/>
        <v>70874</v>
      </c>
    </row>
    <row r="182" spans="1:14" x14ac:dyDescent="0.45">
      <c r="A182">
        <f t="shared" si="23"/>
        <v>181</v>
      </c>
      <c r="B182">
        <f t="shared" ca="1" si="16"/>
        <v>6.1271571215334997E-2</v>
      </c>
      <c r="C182" t="str">
        <f ca="1">IF(B182&lt;=distribution!$D$2,distribution!$B$2,IF(B182&lt;=distribution!$D$3,distribution!$B$3,distribution!$B$4))</f>
        <v>ON</v>
      </c>
      <c r="D182">
        <f t="shared" ca="1" si="17"/>
        <v>0.92530995449148756</v>
      </c>
      <c r="E182" t="str">
        <f ca="1">IF(D182&lt;=distribution!$D$5,distribution!$B$5,distribution!$B$6)</f>
        <v>B</v>
      </c>
      <c r="F182">
        <f t="shared" ca="1" si="18"/>
        <v>0.90797346147777847</v>
      </c>
      <c r="G182" t="str">
        <f ca="1">IF(F182&lt;=distribution!$D$7,distribution!$B$7,IF(F182&lt;=distribution!$D$8,distribution!$B$8,IF(F182&lt;=distribution!$D$9,distribution!$B$9,distribution!$B$10)))</f>
        <v>55-64</v>
      </c>
      <c r="H182">
        <f ca="1">VLOOKUP(G182,age_band!$A$1:$C$5,2,FALSE)</f>
        <v>55</v>
      </c>
      <c r="I182">
        <f ca="1">VLOOKUP(G182,age_band!$A$2:$C$5,3,FALSE)</f>
        <v>64</v>
      </c>
      <c r="J182">
        <f t="shared" ca="1" si="19"/>
        <v>64</v>
      </c>
      <c r="K182">
        <f t="shared" ca="1" si="20"/>
        <v>0.21660627280185818</v>
      </c>
      <c r="L182" t="str">
        <f ca="1">IF(K182&lt;=distribution!$D$11,distribution!$B$11,distribution!$B$12)</f>
        <v>N</v>
      </c>
      <c r="M182">
        <f t="shared" ca="1" si="21"/>
        <v>66803</v>
      </c>
      <c r="N182">
        <f t="shared" ca="1" si="22"/>
        <v>66803</v>
      </c>
    </row>
    <row r="183" spans="1:14" x14ac:dyDescent="0.45">
      <c r="A183">
        <f t="shared" si="23"/>
        <v>182</v>
      </c>
      <c r="B183">
        <f t="shared" ca="1" si="16"/>
        <v>0.5236134692685166</v>
      </c>
      <c r="C183" t="str">
        <f ca="1">IF(B183&lt;=distribution!$D$2,distribution!$B$2,IF(B183&lt;=distribution!$D$3,distribution!$B$3,distribution!$B$4))</f>
        <v>ON</v>
      </c>
      <c r="D183">
        <f t="shared" ca="1" si="17"/>
        <v>0.14178396621232103</v>
      </c>
      <c r="E183" t="str">
        <f ca="1">IF(D183&lt;=distribution!$D$5,distribution!$B$5,distribution!$B$6)</f>
        <v>A</v>
      </c>
      <c r="F183">
        <f t="shared" ca="1" si="18"/>
        <v>0.96089330928520755</v>
      </c>
      <c r="G183" t="str">
        <f ca="1">IF(F183&lt;=distribution!$D$7,distribution!$B$7,IF(F183&lt;=distribution!$D$8,distribution!$B$8,IF(F183&lt;=distribution!$D$9,distribution!$B$9,distribution!$B$10)))</f>
        <v>55-64</v>
      </c>
      <c r="H183">
        <f ca="1">VLOOKUP(G183,age_band!$A$1:$C$5,2,FALSE)</f>
        <v>55</v>
      </c>
      <c r="I183">
        <f ca="1">VLOOKUP(G183,age_band!$A$2:$C$5,3,FALSE)</f>
        <v>64</v>
      </c>
      <c r="J183">
        <f t="shared" ca="1" si="19"/>
        <v>63</v>
      </c>
      <c r="K183">
        <f t="shared" ca="1" si="20"/>
        <v>0.50437368316502851</v>
      </c>
      <c r="L183" t="str">
        <f ca="1">IF(K183&lt;=distribution!$D$11,distribution!$B$11,distribution!$B$12)</f>
        <v>N</v>
      </c>
      <c r="M183">
        <f t="shared" ca="1" si="21"/>
        <v>81572</v>
      </c>
      <c r="N183">
        <f t="shared" ca="1" si="22"/>
        <v>81572</v>
      </c>
    </row>
    <row r="184" spans="1:14" x14ac:dyDescent="0.45">
      <c r="A184">
        <f t="shared" si="23"/>
        <v>183</v>
      </c>
      <c r="B184">
        <f t="shared" ca="1" si="16"/>
        <v>0.95939072924305691</v>
      </c>
      <c r="C184" t="str">
        <f ca="1">IF(B184&lt;=distribution!$D$2,distribution!$B$2,IF(B184&lt;=distribution!$D$3,distribution!$B$3,distribution!$B$4))</f>
        <v>BC</v>
      </c>
      <c r="D184">
        <f t="shared" ca="1" si="17"/>
        <v>0.33955665198933327</v>
      </c>
      <c r="E184" t="str">
        <f ca="1">IF(D184&lt;=distribution!$D$5,distribution!$B$5,distribution!$B$6)</f>
        <v>A</v>
      </c>
      <c r="F184">
        <f t="shared" ca="1" si="18"/>
        <v>0.27022227740874016</v>
      </c>
      <c r="G184" t="str">
        <f ca="1">IF(F184&lt;=distribution!$D$7,distribution!$B$7,IF(F184&lt;=distribution!$D$8,distribution!$B$8,IF(F184&lt;=distribution!$D$9,distribution!$B$9,distribution!$B$10)))</f>
        <v>35-44</v>
      </c>
      <c r="H184">
        <f ca="1">VLOOKUP(G184,age_band!$A$1:$C$5,2,FALSE)</f>
        <v>35</v>
      </c>
      <c r="I184">
        <f ca="1">VLOOKUP(G184,age_band!$A$2:$C$5,3,FALSE)</f>
        <v>44</v>
      </c>
      <c r="J184">
        <f t="shared" ca="1" si="19"/>
        <v>39</v>
      </c>
      <c r="K184">
        <f t="shared" ca="1" si="20"/>
        <v>0.8277257589938013</v>
      </c>
      <c r="L184" t="str">
        <f ca="1">IF(K184&lt;=distribution!$D$11,distribution!$B$11,distribution!$B$12)</f>
        <v>N</v>
      </c>
      <c r="M184">
        <f t="shared" ca="1" si="21"/>
        <v>63195</v>
      </c>
      <c r="N184">
        <f t="shared" ca="1" si="22"/>
        <v>63195</v>
      </c>
    </row>
    <row r="185" spans="1:14" x14ac:dyDescent="0.45">
      <c r="A185">
        <f t="shared" si="23"/>
        <v>184</v>
      </c>
      <c r="B185">
        <f t="shared" ca="1" si="16"/>
        <v>0.82536864495813922</v>
      </c>
      <c r="C185" t="str">
        <f ca="1">IF(B185&lt;=distribution!$D$2,distribution!$B$2,IF(B185&lt;=distribution!$D$3,distribution!$B$3,distribution!$B$4))</f>
        <v>BC</v>
      </c>
      <c r="D185">
        <f t="shared" ca="1" si="17"/>
        <v>0.51914354644565708</v>
      </c>
      <c r="E185" t="str">
        <f ca="1">IF(D185&lt;=distribution!$D$5,distribution!$B$5,distribution!$B$6)</f>
        <v>A</v>
      </c>
      <c r="F185">
        <f t="shared" ca="1" si="18"/>
        <v>0.24321891328130207</v>
      </c>
      <c r="G185" t="str">
        <f ca="1">IF(F185&lt;=distribution!$D$7,distribution!$B$7,IF(F185&lt;=distribution!$D$8,distribution!$B$8,IF(F185&lt;=distribution!$D$9,distribution!$B$9,distribution!$B$10)))</f>
        <v>25-34</v>
      </c>
      <c r="H185">
        <f ca="1">VLOOKUP(G185,age_band!$A$1:$C$5,2,FALSE)</f>
        <v>25</v>
      </c>
      <c r="I185">
        <f ca="1">VLOOKUP(G185,age_band!$A$2:$C$5,3,FALSE)</f>
        <v>34</v>
      </c>
      <c r="J185">
        <f t="shared" ca="1" si="19"/>
        <v>31</v>
      </c>
      <c r="K185">
        <f t="shared" ca="1" si="20"/>
        <v>0.93284777551315767</v>
      </c>
      <c r="L185" t="str">
        <f ca="1">IF(K185&lt;=distribution!$D$11,distribution!$B$11,distribution!$B$12)</f>
        <v>Y</v>
      </c>
      <c r="M185">
        <f t="shared" ca="1" si="21"/>
        <v>66720</v>
      </c>
      <c r="N185">
        <f t="shared" ca="1" si="22"/>
        <v>66720</v>
      </c>
    </row>
    <row r="186" spans="1:14" x14ac:dyDescent="0.45">
      <c r="A186">
        <f t="shared" si="23"/>
        <v>185</v>
      </c>
      <c r="B186">
        <f t="shared" ca="1" si="16"/>
        <v>0.68321866571448897</v>
      </c>
      <c r="C186" t="str">
        <f ca="1">IF(B186&lt;=distribution!$D$2,distribution!$B$2,IF(B186&lt;=distribution!$D$3,distribution!$B$3,distribution!$B$4))</f>
        <v>QC</v>
      </c>
      <c r="D186">
        <f t="shared" ca="1" si="17"/>
        <v>0.71608333600069118</v>
      </c>
      <c r="E186" t="str">
        <f ca="1">IF(D186&lt;=distribution!$D$5,distribution!$B$5,distribution!$B$6)</f>
        <v>B</v>
      </c>
      <c r="F186">
        <f t="shared" ca="1" si="18"/>
        <v>0.72237826263038041</v>
      </c>
      <c r="G186" t="str">
        <f ca="1">IF(F186&lt;=distribution!$D$7,distribution!$B$7,IF(F186&lt;=distribution!$D$8,distribution!$B$8,IF(F186&lt;=distribution!$D$9,distribution!$B$9,distribution!$B$10)))</f>
        <v>45-54</v>
      </c>
      <c r="H186">
        <f ca="1">VLOOKUP(G186,age_band!$A$1:$C$5,2,FALSE)</f>
        <v>45</v>
      </c>
      <c r="I186">
        <f ca="1">VLOOKUP(G186,age_band!$A$2:$C$5,3,FALSE)</f>
        <v>54</v>
      </c>
      <c r="J186">
        <f t="shared" ca="1" si="19"/>
        <v>51</v>
      </c>
      <c r="K186">
        <f t="shared" ca="1" si="20"/>
        <v>0.54078363656341599</v>
      </c>
      <c r="L186" t="str">
        <f ca="1">IF(K186&lt;=distribution!$D$11,distribution!$B$11,distribution!$B$12)</f>
        <v>N</v>
      </c>
      <c r="M186">
        <f t="shared" ca="1" si="21"/>
        <v>49925</v>
      </c>
      <c r="N186">
        <f t="shared" ca="1" si="22"/>
        <v>49925</v>
      </c>
    </row>
    <row r="187" spans="1:14" x14ac:dyDescent="0.45">
      <c r="A187">
        <f t="shared" si="23"/>
        <v>186</v>
      </c>
      <c r="B187">
        <f t="shared" ca="1" si="16"/>
        <v>5.9720213775193987E-4</v>
      </c>
      <c r="C187" t="str">
        <f ca="1">IF(B187&lt;=distribution!$D$2,distribution!$B$2,IF(B187&lt;=distribution!$D$3,distribution!$B$3,distribution!$B$4))</f>
        <v>ON</v>
      </c>
      <c r="D187">
        <f t="shared" ca="1" si="17"/>
        <v>0.24375909973126331</v>
      </c>
      <c r="E187" t="str">
        <f ca="1">IF(D187&lt;=distribution!$D$5,distribution!$B$5,distribution!$B$6)</f>
        <v>A</v>
      </c>
      <c r="F187">
        <f t="shared" ca="1" si="18"/>
        <v>0.89454306660567173</v>
      </c>
      <c r="G187" t="str">
        <f ca="1">IF(F187&lt;=distribution!$D$7,distribution!$B$7,IF(F187&lt;=distribution!$D$8,distribution!$B$8,IF(F187&lt;=distribution!$D$9,distribution!$B$9,distribution!$B$10)))</f>
        <v>55-64</v>
      </c>
      <c r="H187">
        <f ca="1">VLOOKUP(G187,age_band!$A$1:$C$5,2,FALSE)</f>
        <v>55</v>
      </c>
      <c r="I187">
        <f ca="1">VLOOKUP(G187,age_band!$A$2:$C$5,3,FALSE)</f>
        <v>64</v>
      </c>
      <c r="J187">
        <f t="shared" ca="1" si="19"/>
        <v>55</v>
      </c>
      <c r="K187">
        <f t="shared" ca="1" si="20"/>
        <v>0.81642187024630763</v>
      </c>
      <c r="L187" t="str">
        <f ca="1">IF(K187&lt;=distribution!$D$11,distribution!$B$11,distribution!$B$12)</f>
        <v>N</v>
      </c>
      <c r="M187">
        <f t="shared" ca="1" si="21"/>
        <v>71429</v>
      </c>
      <c r="N187">
        <f t="shared" ca="1" si="22"/>
        <v>71429</v>
      </c>
    </row>
    <row r="188" spans="1:14" x14ac:dyDescent="0.45">
      <c r="A188">
        <f t="shared" si="23"/>
        <v>187</v>
      </c>
      <c r="B188">
        <f t="shared" ca="1" si="16"/>
        <v>0.53585470884560837</v>
      </c>
      <c r="C188" t="str">
        <f ca="1">IF(B188&lt;=distribution!$D$2,distribution!$B$2,IF(B188&lt;=distribution!$D$3,distribution!$B$3,distribution!$B$4))</f>
        <v>ON</v>
      </c>
      <c r="D188">
        <f t="shared" ca="1" si="17"/>
        <v>0.21748943044744584</v>
      </c>
      <c r="E188" t="str">
        <f ca="1">IF(D188&lt;=distribution!$D$5,distribution!$B$5,distribution!$B$6)</f>
        <v>A</v>
      </c>
      <c r="F188">
        <f t="shared" ca="1" si="18"/>
        <v>0.92462546188961436</v>
      </c>
      <c r="G188" t="str">
        <f ca="1">IF(F188&lt;=distribution!$D$7,distribution!$B$7,IF(F188&lt;=distribution!$D$8,distribution!$B$8,IF(F188&lt;=distribution!$D$9,distribution!$B$9,distribution!$B$10)))</f>
        <v>55-64</v>
      </c>
      <c r="H188">
        <f ca="1">VLOOKUP(G188,age_band!$A$1:$C$5,2,FALSE)</f>
        <v>55</v>
      </c>
      <c r="I188">
        <f ca="1">VLOOKUP(G188,age_band!$A$2:$C$5,3,FALSE)</f>
        <v>64</v>
      </c>
      <c r="J188">
        <f t="shared" ca="1" si="19"/>
        <v>63</v>
      </c>
      <c r="K188">
        <f t="shared" ca="1" si="20"/>
        <v>0.90371123985662216</v>
      </c>
      <c r="L188" t="str">
        <f ca="1">IF(K188&lt;=distribution!$D$11,distribution!$B$11,distribution!$B$12)</f>
        <v>Y</v>
      </c>
      <c r="M188">
        <f t="shared" ca="1" si="21"/>
        <v>106526</v>
      </c>
      <c r="N188">
        <f t="shared" ca="1" si="22"/>
        <v>106526</v>
      </c>
    </row>
    <row r="189" spans="1:14" x14ac:dyDescent="0.45">
      <c r="A189">
        <f t="shared" si="23"/>
        <v>188</v>
      </c>
      <c r="B189">
        <f t="shared" ca="1" si="16"/>
        <v>0.98294309864575202</v>
      </c>
      <c r="C189" t="str">
        <f ca="1">IF(B189&lt;=distribution!$D$2,distribution!$B$2,IF(B189&lt;=distribution!$D$3,distribution!$B$3,distribution!$B$4))</f>
        <v>BC</v>
      </c>
      <c r="D189">
        <f t="shared" ca="1" si="17"/>
        <v>0.99332639883700302</v>
      </c>
      <c r="E189" t="str">
        <f ca="1">IF(D189&lt;=distribution!$D$5,distribution!$B$5,distribution!$B$6)</f>
        <v>B</v>
      </c>
      <c r="F189">
        <f t="shared" ca="1" si="18"/>
        <v>0.96579108297609517</v>
      </c>
      <c r="G189" t="str">
        <f ca="1">IF(F189&lt;=distribution!$D$7,distribution!$B$7,IF(F189&lt;=distribution!$D$8,distribution!$B$8,IF(F189&lt;=distribution!$D$9,distribution!$B$9,distribution!$B$10)))</f>
        <v>55-64</v>
      </c>
      <c r="H189">
        <f ca="1">VLOOKUP(G189,age_band!$A$1:$C$5,2,FALSE)</f>
        <v>55</v>
      </c>
      <c r="I189">
        <f ca="1">VLOOKUP(G189,age_band!$A$2:$C$5,3,FALSE)</f>
        <v>64</v>
      </c>
      <c r="J189">
        <f t="shared" ca="1" si="19"/>
        <v>55</v>
      </c>
      <c r="K189">
        <f t="shared" ca="1" si="20"/>
        <v>0.52431590052972976</v>
      </c>
      <c r="L189" t="str">
        <f ca="1">IF(K189&lt;=distribution!$D$11,distribution!$B$11,distribution!$B$12)</f>
        <v>N</v>
      </c>
      <c r="M189">
        <f t="shared" ca="1" si="21"/>
        <v>49924</v>
      </c>
      <c r="N189">
        <f t="shared" ca="1" si="22"/>
        <v>49924</v>
      </c>
    </row>
    <row r="190" spans="1:14" x14ac:dyDescent="0.45">
      <c r="A190">
        <f t="shared" si="23"/>
        <v>189</v>
      </c>
      <c r="B190">
        <f t="shared" ca="1" si="16"/>
        <v>0.38564962511700873</v>
      </c>
      <c r="C190" t="str">
        <f ca="1">IF(B190&lt;=distribution!$D$2,distribution!$B$2,IF(B190&lt;=distribution!$D$3,distribution!$B$3,distribution!$B$4))</f>
        <v>ON</v>
      </c>
      <c r="D190">
        <f t="shared" ca="1" si="17"/>
        <v>2.270721273301235E-2</v>
      </c>
      <c r="E190" t="str">
        <f ca="1">IF(D190&lt;=distribution!$D$5,distribution!$B$5,distribution!$B$6)</f>
        <v>A</v>
      </c>
      <c r="F190">
        <f t="shared" ca="1" si="18"/>
        <v>0.85507514261407613</v>
      </c>
      <c r="G190" t="str">
        <f ca="1">IF(F190&lt;=distribution!$D$7,distribution!$B$7,IF(F190&lt;=distribution!$D$8,distribution!$B$8,IF(F190&lt;=distribution!$D$9,distribution!$B$9,distribution!$B$10)))</f>
        <v>55-64</v>
      </c>
      <c r="H190">
        <f ca="1">VLOOKUP(G190,age_band!$A$1:$C$5,2,FALSE)</f>
        <v>55</v>
      </c>
      <c r="I190">
        <f ca="1">VLOOKUP(G190,age_band!$A$2:$C$5,3,FALSE)</f>
        <v>64</v>
      </c>
      <c r="J190">
        <f t="shared" ca="1" si="19"/>
        <v>64</v>
      </c>
      <c r="K190">
        <f t="shared" ca="1" si="20"/>
        <v>0.55914672888825878</v>
      </c>
      <c r="L190" t="str">
        <f ca="1">IF(K190&lt;=distribution!$D$11,distribution!$B$11,distribution!$B$12)</f>
        <v>N</v>
      </c>
      <c r="M190">
        <f t="shared" ca="1" si="21"/>
        <v>113257</v>
      </c>
      <c r="N190">
        <f t="shared" ca="1" si="22"/>
        <v>113257</v>
      </c>
    </row>
    <row r="191" spans="1:14" x14ac:dyDescent="0.45">
      <c r="A191">
        <f t="shared" si="23"/>
        <v>190</v>
      </c>
      <c r="B191">
        <f t="shared" ca="1" si="16"/>
        <v>0.31602089101344077</v>
      </c>
      <c r="C191" t="str">
        <f ca="1">IF(B191&lt;=distribution!$D$2,distribution!$B$2,IF(B191&lt;=distribution!$D$3,distribution!$B$3,distribution!$B$4))</f>
        <v>ON</v>
      </c>
      <c r="D191">
        <f t="shared" ca="1" si="17"/>
        <v>0.90167671516873804</v>
      </c>
      <c r="E191" t="str">
        <f ca="1">IF(D191&lt;=distribution!$D$5,distribution!$B$5,distribution!$B$6)</f>
        <v>B</v>
      </c>
      <c r="F191">
        <f t="shared" ca="1" si="18"/>
        <v>0.64958703339315527</v>
      </c>
      <c r="G191" t="str">
        <f ca="1">IF(F191&lt;=distribution!$D$7,distribution!$B$7,IF(F191&lt;=distribution!$D$8,distribution!$B$8,IF(F191&lt;=distribution!$D$9,distribution!$B$9,distribution!$B$10)))</f>
        <v>45-54</v>
      </c>
      <c r="H191">
        <f ca="1">VLOOKUP(G191,age_band!$A$1:$C$5,2,FALSE)</f>
        <v>45</v>
      </c>
      <c r="I191">
        <f ca="1">VLOOKUP(G191,age_band!$A$2:$C$5,3,FALSE)</f>
        <v>54</v>
      </c>
      <c r="J191">
        <f t="shared" ca="1" si="19"/>
        <v>50</v>
      </c>
      <c r="K191">
        <f t="shared" ca="1" si="20"/>
        <v>7.1766090254744119E-2</v>
      </c>
      <c r="L191" t="str">
        <f ca="1">IF(K191&lt;=distribution!$D$11,distribution!$B$11,distribution!$B$12)</f>
        <v>N</v>
      </c>
      <c r="M191">
        <f t="shared" ca="1" si="21"/>
        <v>46495</v>
      </c>
      <c r="N191">
        <f t="shared" ca="1" si="22"/>
        <v>46495</v>
      </c>
    </row>
    <row r="192" spans="1:14" x14ac:dyDescent="0.45">
      <c r="A192">
        <f t="shared" si="23"/>
        <v>191</v>
      </c>
      <c r="B192">
        <f t="shared" ca="1" si="16"/>
        <v>0.22706129151189236</v>
      </c>
      <c r="C192" t="str">
        <f ca="1">IF(B192&lt;=distribution!$D$2,distribution!$B$2,IF(B192&lt;=distribution!$D$3,distribution!$B$3,distribution!$B$4))</f>
        <v>ON</v>
      </c>
      <c r="D192">
        <f t="shared" ca="1" si="17"/>
        <v>0.35524482500875276</v>
      </c>
      <c r="E192" t="str">
        <f ca="1">IF(D192&lt;=distribution!$D$5,distribution!$B$5,distribution!$B$6)</f>
        <v>A</v>
      </c>
      <c r="F192">
        <f t="shared" ca="1" si="18"/>
        <v>0.91995482127388395</v>
      </c>
      <c r="G192" t="str">
        <f ca="1">IF(F192&lt;=distribution!$D$7,distribution!$B$7,IF(F192&lt;=distribution!$D$8,distribution!$B$8,IF(F192&lt;=distribution!$D$9,distribution!$B$9,distribution!$B$10)))</f>
        <v>55-64</v>
      </c>
      <c r="H192">
        <f ca="1">VLOOKUP(G192,age_band!$A$1:$C$5,2,FALSE)</f>
        <v>55</v>
      </c>
      <c r="I192">
        <f ca="1">VLOOKUP(G192,age_band!$A$2:$C$5,3,FALSE)</f>
        <v>64</v>
      </c>
      <c r="J192">
        <f t="shared" ca="1" si="19"/>
        <v>59</v>
      </c>
      <c r="K192">
        <f t="shared" ca="1" si="20"/>
        <v>0.13543019327092531</v>
      </c>
      <c r="L192" t="str">
        <f ca="1">IF(K192&lt;=distribution!$D$11,distribution!$B$11,distribution!$B$12)</f>
        <v>N</v>
      </c>
      <c r="M192">
        <f t="shared" ca="1" si="21"/>
        <v>106868</v>
      </c>
      <c r="N192">
        <f t="shared" ca="1" si="22"/>
        <v>106868</v>
      </c>
    </row>
    <row r="193" spans="1:14" x14ac:dyDescent="0.45">
      <c r="A193">
        <f t="shared" si="23"/>
        <v>192</v>
      </c>
      <c r="B193">
        <f t="shared" ca="1" si="16"/>
        <v>0.41346986350630477</v>
      </c>
      <c r="C193" t="str">
        <f ca="1">IF(B193&lt;=distribution!$D$2,distribution!$B$2,IF(B193&lt;=distribution!$D$3,distribution!$B$3,distribution!$B$4))</f>
        <v>ON</v>
      </c>
      <c r="D193">
        <f t="shared" ca="1" si="17"/>
        <v>2.4308594056992927E-2</v>
      </c>
      <c r="E193" t="str">
        <f ca="1">IF(D193&lt;=distribution!$D$5,distribution!$B$5,distribution!$B$6)</f>
        <v>A</v>
      </c>
      <c r="F193">
        <f t="shared" ca="1" si="18"/>
        <v>4.226253195297458E-4</v>
      </c>
      <c r="G193" t="str">
        <f ca="1">IF(F193&lt;=distribution!$D$7,distribution!$B$7,IF(F193&lt;=distribution!$D$8,distribution!$B$8,IF(F193&lt;=distribution!$D$9,distribution!$B$9,distribution!$B$10)))</f>
        <v>25-34</v>
      </c>
      <c r="H193">
        <f ca="1">VLOOKUP(G193,age_band!$A$1:$C$5,2,FALSE)</f>
        <v>25</v>
      </c>
      <c r="I193">
        <f ca="1">VLOOKUP(G193,age_band!$A$2:$C$5,3,FALSE)</f>
        <v>34</v>
      </c>
      <c r="J193">
        <f t="shared" ca="1" si="19"/>
        <v>29</v>
      </c>
      <c r="K193">
        <f t="shared" ca="1" si="20"/>
        <v>0.46997839122804708</v>
      </c>
      <c r="L193" t="str">
        <f ca="1">IF(K193&lt;=distribution!$D$11,distribution!$B$11,distribution!$B$12)</f>
        <v>N</v>
      </c>
      <c r="M193">
        <f t="shared" ca="1" si="21"/>
        <v>100914</v>
      </c>
      <c r="N193">
        <f t="shared" ca="1" si="22"/>
        <v>100914</v>
      </c>
    </row>
    <row r="194" spans="1:14" x14ac:dyDescent="0.45">
      <c r="A194">
        <f t="shared" si="23"/>
        <v>193</v>
      </c>
      <c r="B194">
        <f t="shared" ca="1" si="16"/>
        <v>0.60493558606252484</v>
      </c>
      <c r="C194" t="str">
        <f ca="1">IF(B194&lt;=distribution!$D$2,distribution!$B$2,IF(B194&lt;=distribution!$D$3,distribution!$B$3,distribution!$B$4))</f>
        <v>QC</v>
      </c>
      <c r="D194">
        <f t="shared" ca="1" si="17"/>
        <v>0.42340720274751342</v>
      </c>
      <c r="E194" t="str">
        <f ca="1">IF(D194&lt;=distribution!$D$5,distribution!$B$5,distribution!$B$6)</f>
        <v>A</v>
      </c>
      <c r="F194">
        <f t="shared" ca="1" si="18"/>
        <v>0.84740281161805087</v>
      </c>
      <c r="G194" t="str">
        <f ca="1">IF(F194&lt;=distribution!$D$7,distribution!$B$7,IF(F194&lt;=distribution!$D$8,distribution!$B$8,IF(F194&lt;=distribution!$D$9,distribution!$B$9,distribution!$B$10)))</f>
        <v>45-54</v>
      </c>
      <c r="H194">
        <f ca="1">VLOOKUP(G194,age_band!$A$1:$C$5,2,FALSE)</f>
        <v>45</v>
      </c>
      <c r="I194">
        <f ca="1">VLOOKUP(G194,age_band!$A$2:$C$5,3,FALSE)</f>
        <v>54</v>
      </c>
      <c r="J194">
        <f t="shared" ca="1" si="19"/>
        <v>52</v>
      </c>
      <c r="K194">
        <f t="shared" ca="1" si="20"/>
        <v>0.41721721387952626</v>
      </c>
      <c r="L194" t="str">
        <f ca="1">IF(K194&lt;=distribution!$D$11,distribution!$B$11,distribution!$B$12)</f>
        <v>N</v>
      </c>
      <c r="M194">
        <f t="shared" ca="1" si="21"/>
        <v>62843</v>
      </c>
      <c r="N194">
        <f t="shared" ca="1" si="22"/>
        <v>62843</v>
      </c>
    </row>
    <row r="195" spans="1:14" x14ac:dyDescent="0.45">
      <c r="A195">
        <f t="shared" si="23"/>
        <v>194</v>
      </c>
      <c r="B195">
        <f t="shared" ref="B195:B258" ca="1" si="24">RAND()</f>
        <v>0.32235080512122838</v>
      </c>
      <c r="C195" t="str">
        <f ca="1">IF(B195&lt;=distribution!$D$2,distribution!$B$2,IF(B195&lt;=distribution!$D$3,distribution!$B$3,distribution!$B$4))</f>
        <v>ON</v>
      </c>
      <c r="D195">
        <f t="shared" ref="D195:D258" ca="1" si="25">RAND()</f>
        <v>0.63921501242247647</v>
      </c>
      <c r="E195" t="str">
        <f ca="1">IF(D195&lt;=distribution!$D$5,distribution!$B$5,distribution!$B$6)</f>
        <v>A</v>
      </c>
      <c r="F195">
        <f t="shared" ref="F195:F258" ca="1" si="26">RAND()</f>
        <v>0.84161714886117156</v>
      </c>
      <c r="G195" t="str">
        <f ca="1">IF(F195&lt;=distribution!$D$7,distribution!$B$7,IF(F195&lt;=distribution!$D$8,distribution!$B$8,IF(F195&lt;=distribution!$D$9,distribution!$B$9,distribution!$B$10)))</f>
        <v>45-54</v>
      </c>
      <c r="H195">
        <f ca="1">VLOOKUP(G195,age_band!$A$1:$C$5,2,FALSE)</f>
        <v>45</v>
      </c>
      <c r="I195">
        <f ca="1">VLOOKUP(G195,age_band!$A$2:$C$5,3,FALSE)</f>
        <v>54</v>
      </c>
      <c r="J195">
        <f t="shared" ref="J195:J258" ca="1" si="27">RANDBETWEEN(H195,I195)</f>
        <v>54</v>
      </c>
      <c r="K195">
        <f t="shared" ref="K195:K258" ca="1" si="28">RAND()</f>
        <v>0.72658773823463463</v>
      </c>
      <c r="L195" t="str">
        <f ca="1">IF(K195&lt;=distribution!$D$11,distribution!$B$11,distribution!$B$12)</f>
        <v>N</v>
      </c>
      <c r="M195">
        <f t="shared" ref="M195:M258" ca="1" si="29">IF(E195="A",RANDBETWEEN(50000,130000),RANDBETWEEN(45000,80000))</f>
        <v>117877</v>
      </c>
      <c r="N195">
        <f t="shared" ref="N195:N258" ca="1" si="30">MIN(M195*1,200000)</f>
        <v>117877</v>
      </c>
    </row>
    <row r="196" spans="1:14" x14ac:dyDescent="0.45">
      <c r="A196">
        <f t="shared" ref="A196:A259" si="31">A195+1</f>
        <v>195</v>
      </c>
      <c r="B196">
        <f t="shared" ca="1" si="24"/>
        <v>0.70938483140862663</v>
      </c>
      <c r="C196" t="str">
        <f ca="1">IF(B196&lt;=distribution!$D$2,distribution!$B$2,IF(B196&lt;=distribution!$D$3,distribution!$B$3,distribution!$B$4))</f>
        <v>QC</v>
      </c>
      <c r="D196">
        <f t="shared" ca="1" si="25"/>
        <v>0.84563082210615492</v>
      </c>
      <c r="E196" t="str">
        <f ca="1">IF(D196&lt;=distribution!$D$5,distribution!$B$5,distribution!$B$6)</f>
        <v>B</v>
      </c>
      <c r="F196">
        <f t="shared" ca="1" si="26"/>
        <v>8.7081168446878965E-2</v>
      </c>
      <c r="G196" t="str">
        <f ca="1">IF(F196&lt;=distribution!$D$7,distribution!$B$7,IF(F196&lt;=distribution!$D$8,distribution!$B$8,IF(F196&lt;=distribution!$D$9,distribution!$B$9,distribution!$B$10)))</f>
        <v>25-34</v>
      </c>
      <c r="H196">
        <f ca="1">VLOOKUP(G196,age_band!$A$1:$C$5,2,FALSE)</f>
        <v>25</v>
      </c>
      <c r="I196">
        <f ca="1">VLOOKUP(G196,age_band!$A$2:$C$5,3,FALSE)</f>
        <v>34</v>
      </c>
      <c r="J196">
        <f t="shared" ca="1" si="27"/>
        <v>32</v>
      </c>
      <c r="K196">
        <f t="shared" ca="1" si="28"/>
        <v>0.98425468274106254</v>
      </c>
      <c r="L196" t="str">
        <f ca="1">IF(K196&lt;=distribution!$D$11,distribution!$B$11,distribution!$B$12)</f>
        <v>Y</v>
      </c>
      <c r="M196">
        <f t="shared" ca="1" si="29"/>
        <v>69296</v>
      </c>
      <c r="N196">
        <f t="shared" ca="1" si="30"/>
        <v>69296</v>
      </c>
    </row>
    <row r="197" spans="1:14" x14ac:dyDescent="0.45">
      <c r="A197">
        <f t="shared" si="31"/>
        <v>196</v>
      </c>
      <c r="B197">
        <f t="shared" ca="1" si="24"/>
        <v>0.33326726085366765</v>
      </c>
      <c r="C197" t="str">
        <f ca="1">IF(B197&lt;=distribution!$D$2,distribution!$B$2,IF(B197&lt;=distribution!$D$3,distribution!$B$3,distribution!$B$4))</f>
        <v>ON</v>
      </c>
      <c r="D197">
        <f t="shared" ca="1" si="25"/>
        <v>0.57455739643516146</v>
      </c>
      <c r="E197" t="str">
        <f ca="1">IF(D197&lt;=distribution!$D$5,distribution!$B$5,distribution!$B$6)</f>
        <v>A</v>
      </c>
      <c r="F197">
        <f t="shared" ca="1" si="26"/>
        <v>0.84983998077813916</v>
      </c>
      <c r="G197" t="str">
        <f ca="1">IF(F197&lt;=distribution!$D$7,distribution!$B$7,IF(F197&lt;=distribution!$D$8,distribution!$B$8,IF(F197&lt;=distribution!$D$9,distribution!$B$9,distribution!$B$10)))</f>
        <v>45-54</v>
      </c>
      <c r="H197">
        <f ca="1">VLOOKUP(G197,age_band!$A$1:$C$5,2,FALSE)</f>
        <v>45</v>
      </c>
      <c r="I197">
        <f ca="1">VLOOKUP(G197,age_band!$A$2:$C$5,3,FALSE)</f>
        <v>54</v>
      </c>
      <c r="J197">
        <f t="shared" ca="1" si="27"/>
        <v>49</v>
      </c>
      <c r="K197">
        <f t="shared" ca="1" si="28"/>
        <v>0.38211174610995613</v>
      </c>
      <c r="L197" t="str">
        <f ca="1">IF(K197&lt;=distribution!$D$11,distribution!$B$11,distribution!$B$12)</f>
        <v>N</v>
      </c>
      <c r="M197">
        <f t="shared" ca="1" si="29"/>
        <v>89071</v>
      </c>
      <c r="N197">
        <f t="shared" ca="1" si="30"/>
        <v>89071</v>
      </c>
    </row>
    <row r="198" spans="1:14" x14ac:dyDescent="0.45">
      <c r="A198">
        <f t="shared" si="31"/>
        <v>197</v>
      </c>
      <c r="B198">
        <f t="shared" ca="1" si="24"/>
        <v>0.80457894337461222</v>
      </c>
      <c r="C198" t="str">
        <f ca="1">IF(B198&lt;=distribution!$D$2,distribution!$B$2,IF(B198&lt;=distribution!$D$3,distribution!$B$3,distribution!$B$4))</f>
        <v>BC</v>
      </c>
      <c r="D198">
        <f t="shared" ca="1" si="25"/>
        <v>0.84258556093505754</v>
      </c>
      <c r="E198" t="str">
        <f ca="1">IF(D198&lt;=distribution!$D$5,distribution!$B$5,distribution!$B$6)</f>
        <v>B</v>
      </c>
      <c r="F198">
        <f t="shared" ca="1" si="26"/>
        <v>0.21219651091519121</v>
      </c>
      <c r="G198" t="str">
        <f ca="1">IF(F198&lt;=distribution!$D$7,distribution!$B$7,IF(F198&lt;=distribution!$D$8,distribution!$B$8,IF(F198&lt;=distribution!$D$9,distribution!$B$9,distribution!$B$10)))</f>
        <v>25-34</v>
      </c>
      <c r="H198">
        <f ca="1">VLOOKUP(G198,age_band!$A$1:$C$5,2,FALSE)</f>
        <v>25</v>
      </c>
      <c r="I198">
        <f ca="1">VLOOKUP(G198,age_band!$A$2:$C$5,3,FALSE)</f>
        <v>34</v>
      </c>
      <c r="J198">
        <f t="shared" ca="1" si="27"/>
        <v>28</v>
      </c>
      <c r="K198">
        <f t="shared" ca="1" si="28"/>
        <v>0.66173933725881606</v>
      </c>
      <c r="L198" t="str">
        <f ca="1">IF(K198&lt;=distribution!$D$11,distribution!$B$11,distribution!$B$12)</f>
        <v>N</v>
      </c>
      <c r="M198">
        <f t="shared" ca="1" si="29"/>
        <v>64875</v>
      </c>
      <c r="N198">
        <f t="shared" ca="1" si="30"/>
        <v>64875</v>
      </c>
    </row>
    <row r="199" spans="1:14" x14ac:dyDescent="0.45">
      <c r="A199">
        <f t="shared" si="31"/>
        <v>198</v>
      </c>
      <c r="B199">
        <f t="shared" ca="1" si="24"/>
        <v>0.86351077199268833</v>
      </c>
      <c r="C199" t="str">
        <f ca="1">IF(B199&lt;=distribution!$D$2,distribution!$B$2,IF(B199&lt;=distribution!$D$3,distribution!$B$3,distribution!$B$4))</f>
        <v>BC</v>
      </c>
      <c r="D199">
        <f t="shared" ca="1" si="25"/>
        <v>3.6059175612730754E-2</v>
      </c>
      <c r="E199" t="str">
        <f ca="1">IF(D199&lt;=distribution!$D$5,distribution!$B$5,distribution!$B$6)</f>
        <v>A</v>
      </c>
      <c r="F199">
        <f t="shared" ca="1" si="26"/>
        <v>0.96478984073613694</v>
      </c>
      <c r="G199" t="str">
        <f ca="1">IF(F199&lt;=distribution!$D$7,distribution!$B$7,IF(F199&lt;=distribution!$D$8,distribution!$B$8,IF(F199&lt;=distribution!$D$9,distribution!$B$9,distribution!$B$10)))</f>
        <v>55-64</v>
      </c>
      <c r="H199">
        <f ca="1">VLOOKUP(G199,age_band!$A$1:$C$5,2,FALSE)</f>
        <v>55</v>
      </c>
      <c r="I199">
        <f ca="1">VLOOKUP(G199,age_band!$A$2:$C$5,3,FALSE)</f>
        <v>64</v>
      </c>
      <c r="J199">
        <f t="shared" ca="1" si="27"/>
        <v>56</v>
      </c>
      <c r="K199">
        <f t="shared" ca="1" si="28"/>
        <v>0.27573338846176088</v>
      </c>
      <c r="L199" t="str">
        <f ca="1">IF(K199&lt;=distribution!$D$11,distribution!$B$11,distribution!$B$12)</f>
        <v>N</v>
      </c>
      <c r="M199">
        <f t="shared" ca="1" si="29"/>
        <v>73369</v>
      </c>
      <c r="N199">
        <f t="shared" ca="1" si="30"/>
        <v>73369</v>
      </c>
    </row>
    <row r="200" spans="1:14" x14ac:dyDescent="0.45">
      <c r="A200">
        <f t="shared" si="31"/>
        <v>199</v>
      </c>
      <c r="B200">
        <f t="shared" ca="1" si="24"/>
        <v>1.0153702888357263E-2</v>
      </c>
      <c r="C200" t="str">
        <f ca="1">IF(B200&lt;=distribution!$D$2,distribution!$B$2,IF(B200&lt;=distribution!$D$3,distribution!$B$3,distribution!$B$4))</f>
        <v>ON</v>
      </c>
      <c r="D200">
        <f t="shared" ca="1" si="25"/>
        <v>0.69244016274811571</v>
      </c>
      <c r="E200" t="str">
        <f ca="1">IF(D200&lt;=distribution!$D$5,distribution!$B$5,distribution!$B$6)</f>
        <v>B</v>
      </c>
      <c r="F200">
        <f t="shared" ca="1" si="26"/>
        <v>3.5974395776700252E-2</v>
      </c>
      <c r="G200" t="str">
        <f ca="1">IF(F200&lt;=distribution!$D$7,distribution!$B$7,IF(F200&lt;=distribution!$D$8,distribution!$B$8,IF(F200&lt;=distribution!$D$9,distribution!$B$9,distribution!$B$10)))</f>
        <v>25-34</v>
      </c>
      <c r="H200">
        <f ca="1">VLOOKUP(G200,age_band!$A$1:$C$5,2,FALSE)</f>
        <v>25</v>
      </c>
      <c r="I200">
        <f ca="1">VLOOKUP(G200,age_band!$A$2:$C$5,3,FALSE)</f>
        <v>34</v>
      </c>
      <c r="J200">
        <f t="shared" ca="1" si="27"/>
        <v>31</v>
      </c>
      <c r="K200">
        <f t="shared" ca="1" si="28"/>
        <v>0.71446154961290687</v>
      </c>
      <c r="L200" t="str">
        <f ca="1">IF(K200&lt;=distribution!$D$11,distribution!$B$11,distribution!$B$12)</f>
        <v>N</v>
      </c>
      <c r="M200">
        <f t="shared" ca="1" si="29"/>
        <v>67075</v>
      </c>
      <c r="N200">
        <f t="shared" ca="1" si="30"/>
        <v>67075</v>
      </c>
    </row>
    <row r="201" spans="1:14" x14ac:dyDescent="0.45">
      <c r="A201">
        <f t="shared" si="31"/>
        <v>200</v>
      </c>
      <c r="B201">
        <f t="shared" ca="1" si="24"/>
        <v>0.50110458768333666</v>
      </c>
      <c r="C201" t="str">
        <f ca="1">IF(B201&lt;=distribution!$D$2,distribution!$B$2,IF(B201&lt;=distribution!$D$3,distribution!$B$3,distribution!$B$4))</f>
        <v>ON</v>
      </c>
      <c r="D201">
        <f t="shared" ca="1" si="25"/>
        <v>0.262668060004564</v>
      </c>
      <c r="E201" t="str">
        <f ca="1">IF(D201&lt;=distribution!$D$5,distribution!$B$5,distribution!$B$6)</f>
        <v>A</v>
      </c>
      <c r="F201">
        <f t="shared" ca="1" si="26"/>
        <v>0.9762030708736319</v>
      </c>
      <c r="G201" t="str">
        <f ca="1">IF(F201&lt;=distribution!$D$7,distribution!$B$7,IF(F201&lt;=distribution!$D$8,distribution!$B$8,IF(F201&lt;=distribution!$D$9,distribution!$B$9,distribution!$B$10)))</f>
        <v>55-64</v>
      </c>
      <c r="H201">
        <f ca="1">VLOOKUP(G201,age_band!$A$1:$C$5,2,FALSE)</f>
        <v>55</v>
      </c>
      <c r="I201">
        <f ca="1">VLOOKUP(G201,age_band!$A$2:$C$5,3,FALSE)</f>
        <v>64</v>
      </c>
      <c r="J201">
        <f t="shared" ca="1" si="27"/>
        <v>58</v>
      </c>
      <c r="K201">
        <f t="shared" ca="1" si="28"/>
        <v>0.95989526364540723</v>
      </c>
      <c r="L201" t="str">
        <f ca="1">IF(K201&lt;=distribution!$D$11,distribution!$B$11,distribution!$B$12)</f>
        <v>Y</v>
      </c>
      <c r="M201">
        <f t="shared" ca="1" si="29"/>
        <v>60316</v>
      </c>
      <c r="N201">
        <f t="shared" ca="1" si="30"/>
        <v>60316</v>
      </c>
    </row>
    <row r="202" spans="1:14" x14ac:dyDescent="0.45">
      <c r="A202">
        <f t="shared" si="31"/>
        <v>201</v>
      </c>
      <c r="B202">
        <f t="shared" ca="1" si="24"/>
        <v>1.9262119676914047E-2</v>
      </c>
      <c r="C202" t="str">
        <f ca="1">IF(B202&lt;=distribution!$D$2,distribution!$B$2,IF(B202&lt;=distribution!$D$3,distribution!$B$3,distribution!$B$4))</f>
        <v>ON</v>
      </c>
      <c r="D202">
        <f t="shared" ca="1" si="25"/>
        <v>0.16427859574943038</v>
      </c>
      <c r="E202" t="str">
        <f ca="1">IF(D202&lt;=distribution!$D$5,distribution!$B$5,distribution!$B$6)</f>
        <v>A</v>
      </c>
      <c r="F202">
        <f t="shared" ca="1" si="26"/>
        <v>0.84869316340482404</v>
      </c>
      <c r="G202" t="str">
        <f ca="1">IF(F202&lt;=distribution!$D$7,distribution!$B$7,IF(F202&lt;=distribution!$D$8,distribution!$B$8,IF(F202&lt;=distribution!$D$9,distribution!$B$9,distribution!$B$10)))</f>
        <v>45-54</v>
      </c>
      <c r="H202">
        <f ca="1">VLOOKUP(G202,age_band!$A$1:$C$5,2,FALSE)</f>
        <v>45</v>
      </c>
      <c r="I202">
        <f ca="1">VLOOKUP(G202,age_band!$A$2:$C$5,3,FALSE)</f>
        <v>54</v>
      </c>
      <c r="J202">
        <f t="shared" ca="1" si="27"/>
        <v>54</v>
      </c>
      <c r="K202">
        <f t="shared" ca="1" si="28"/>
        <v>0.96146424837145605</v>
      </c>
      <c r="L202" t="str">
        <f ca="1">IF(K202&lt;=distribution!$D$11,distribution!$B$11,distribution!$B$12)</f>
        <v>Y</v>
      </c>
      <c r="M202">
        <f t="shared" ca="1" si="29"/>
        <v>81034</v>
      </c>
      <c r="N202">
        <f t="shared" ca="1" si="30"/>
        <v>81034</v>
      </c>
    </row>
    <row r="203" spans="1:14" x14ac:dyDescent="0.45">
      <c r="A203">
        <f t="shared" si="31"/>
        <v>202</v>
      </c>
      <c r="B203">
        <f t="shared" ca="1" si="24"/>
        <v>0.97872379689390909</v>
      </c>
      <c r="C203" t="str">
        <f ca="1">IF(B203&lt;=distribution!$D$2,distribution!$B$2,IF(B203&lt;=distribution!$D$3,distribution!$B$3,distribution!$B$4))</f>
        <v>BC</v>
      </c>
      <c r="D203">
        <f t="shared" ca="1" si="25"/>
        <v>0.93384345012137293</v>
      </c>
      <c r="E203" t="str">
        <f ca="1">IF(D203&lt;=distribution!$D$5,distribution!$B$5,distribution!$B$6)</f>
        <v>B</v>
      </c>
      <c r="F203">
        <f t="shared" ca="1" si="26"/>
        <v>9.6183424392160211E-2</v>
      </c>
      <c r="G203" t="str">
        <f ca="1">IF(F203&lt;=distribution!$D$7,distribution!$B$7,IF(F203&lt;=distribution!$D$8,distribution!$B$8,IF(F203&lt;=distribution!$D$9,distribution!$B$9,distribution!$B$10)))</f>
        <v>25-34</v>
      </c>
      <c r="H203">
        <f ca="1">VLOOKUP(G203,age_band!$A$1:$C$5,2,FALSE)</f>
        <v>25</v>
      </c>
      <c r="I203">
        <f ca="1">VLOOKUP(G203,age_band!$A$2:$C$5,3,FALSE)</f>
        <v>34</v>
      </c>
      <c r="J203">
        <f t="shared" ca="1" si="27"/>
        <v>28</v>
      </c>
      <c r="K203">
        <f t="shared" ca="1" si="28"/>
        <v>0.1599217215756682</v>
      </c>
      <c r="L203" t="str">
        <f ca="1">IF(K203&lt;=distribution!$D$11,distribution!$B$11,distribution!$B$12)</f>
        <v>N</v>
      </c>
      <c r="M203">
        <f t="shared" ca="1" si="29"/>
        <v>65970</v>
      </c>
      <c r="N203">
        <f t="shared" ca="1" si="30"/>
        <v>65970</v>
      </c>
    </row>
    <row r="204" spans="1:14" x14ac:dyDescent="0.45">
      <c r="A204">
        <f t="shared" si="31"/>
        <v>203</v>
      </c>
      <c r="B204">
        <f t="shared" ca="1" si="24"/>
        <v>0.78665959579441724</v>
      </c>
      <c r="C204" t="str">
        <f ca="1">IF(B204&lt;=distribution!$D$2,distribution!$B$2,IF(B204&lt;=distribution!$D$3,distribution!$B$3,distribution!$B$4))</f>
        <v>BC</v>
      </c>
      <c r="D204">
        <f t="shared" ca="1" si="25"/>
        <v>0.98770995053601929</v>
      </c>
      <c r="E204" t="str">
        <f ca="1">IF(D204&lt;=distribution!$D$5,distribution!$B$5,distribution!$B$6)</f>
        <v>B</v>
      </c>
      <c r="F204">
        <f t="shared" ca="1" si="26"/>
        <v>0.7778482094404201</v>
      </c>
      <c r="G204" t="str">
        <f ca="1">IF(F204&lt;=distribution!$D$7,distribution!$B$7,IF(F204&lt;=distribution!$D$8,distribution!$B$8,IF(F204&lt;=distribution!$D$9,distribution!$B$9,distribution!$B$10)))</f>
        <v>45-54</v>
      </c>
      <c r="H204">
        <f ca="1">VLOOKUP(G204,age_band!$A$1:$C$5,2,FALSE)</f>
        <v>45</v>
      </c>
      <c r="I204">
        <f ca="1">VLOOKUP(G204,age_band!$A$2:$C$5,3,FALSE)</f>
        <v>54</v>
      </c>
      <c r="J204">
        <f t="shared" ca="1" si="27"/>
        <v>53</v>
      </c>
      <c r="K204">
        <f t="shared" ca="1" si="28"/>
        <v>0.32599703973908067</v>
      </c>
      <c r="L204" t="str">
        <f ca="1">IF(K204&lt;=distribution!$D$11,distribution!$B$11,distribution!$B$12)</f>
        <v>N</v>
      </c>
      <c r="M204">
        <f t="shared" ca="1" si="29"/>
        <v>72296</v>
      </c>
      <c r="N204">
        <f t="shared" ca="1" si="30"/>
        <v>72296</v>
      </c>
    </row>
    <row r="205" spans="1:14" x14ac:dyDescent="0.45">
      <c r="A205">
        <f t="shared" si="31"/>
        <v>204</v>
      </c>
      <c r="B205">
        <f t="shared" ca="1" si="24"/>
        <v>0.11592080216336043</v>
      </c>
      <c r="C205" t="str">
        <f ca="1">IF(B205&lt;=distribution!$D$2,distribution!$B$2,IF(B205&lt;=distribution!$D$3,distribution!$B$3,distribution!$B$4))</f>
        <v>ON</v>
      </c>
      <c r="D205">
        <f t="shared" ca="1" si="25"/>
        <v>0.21414411054657845</v>
      </c>
      <c r="E205" t="str">
        <f ca="1">IF(D205&lt;=distribution!$D$5,distribution!$B$5,distribution!$B$6)</f>
        <v>A</v>
      </c>
      <c r="F205">
        <f t="shared" ca="1" si="26"/>
        <v>0.14222799592581081</v>
      </c>
      <c r="G205" t="str">
        <f ca="1">IF(F205&lt;=distribution!$D$7,distribution!$B$7,IF(F205&lt;=distribution!$D$8,distribution!$B$8,IF(F205&lt;=distribution!$D$9,distribution!$B$9,distribution!$B$10)))</f>
        <v>25-34</v>
      </c>
      <c r="H205">
        <f ca="1">VLOOKUP(G205,age_band!$A$1:$C$5,2,FALSE)</f>
        <v>25</v>
      </c>
      <c r="I205">
        <f ca="1">VLOOKUP(G205,age_band!$A$2:$C$5,3,FALSE)</f>
        <v>34</v>
      </c>
      <c r="J205">
        <f t="shared" ca="1" si="27"/>
        <v>31</v>
      </c>
      <c r="K205">
        <f t="shared" ca="1" si="28"/>
        <v>0.1602628593179265</v>
      </c>
      <c r="L205" t="str">
        <f ca="1">IF(K205&lt;=distribution!$D$11,distribution!$B$11,distribution!$B$12)</f>
        <v>N</v>
      </c>
      <c r="M205">
        <f t="shared" ca="1" si="29"/>
        <v>99687</v>
      </c>
      <c r="N205">
        <f t="shared" ca="1" si="30"/>
        <v>99687</v>
      </c>
    </row>
    <row r="206" spans="1:14" x14ac:dyDescent="0.45">
      <c r="A206">
        <f t="shared" si="31"/>
        <v>205</v>
      </c>
      <c r="B206">
        <f t="shared" ca="1" si="24"/>
        <v>0.90750601163050038</v>
      </c>
      <c r="C206" t="str">
        <f ca="1">IF(B206&lt;=distribution!$D$2,distribution!$B$2,IF(B206&lt;=distribution!$D$3,distribution!$B$3,distribution!$B$4))</f>
        <v>BC</v>
      </c>
      <c r="D206">
        <f t="shared" ca="1" si="25"/>
        <v>0.40356285729663732</v>
      </c>
      <c r="E206" t="str">
        <f ca="1">IF(D206&lt;=distribution!$D$5,distribution!$B$5,distribution!$B$6)</f>
        <v>A</v>
      </c>
      <c r="F206">
        <f t="shared" ca="1" si="26"/>
        <v>9.9141863025667298E-2</v>
      </c>
      <c r="G206" t="str">
        <f ca="1">IF(F206&lt;=distribution!$D$7,distribution!$B$7,IF(F206&lt;=distribution!$D$8,distribution!$B$8,IF(F206&lt;=distribution!$D$9,distribution!$B$9,distribution!$B$10)))</f>
        <v>25-34</v>
      </c>
      <c r="H206">
        <f ca="1">VLOOKUP(G206,age_band!$A$1:$C$5,2,FALSE)</f>
        <v>25</v>
      </c>
      <c r="I206">
        <f ca="1">VLOOKUP(G206,age_band!$A$2:$C$5,3,FALSE)</f>
        <v>34</v>
      </c>
      <c r="J206">
        <f t="shared" ca="1" si="27"/>
        <v>34</v>
      </c>
      <c r="K206">
        <f t="shared" ca="1" si="28"/>
        <v>0.25054043741295895</v>
      </c>
      <c r="L206" t="str">
        <f ca="1">IF(K206&lt;=distribution!$D$11,distribution!$B$11,distribution!$B$12)</f>
        <v>N</v>
      </c>
      <c r="M206">
        <f t="shared" ca="1" si="29"/>
        <v>119437</v>
      </c>
      <c r="N206">
        <f t="shared" ca="1" si="30"/>
        <v>119437</v>
      </c>
    </row>
    <row r="207" spans="1:14" x14ac:dyDescent="0.45">
      <c r="A207">
        <f t="shared" si="31"/>
        <v>206</v>
      </c>
      <c r="B207">
        <f t="shared" ca="1" si="24"/>
        <v>0.21074687343479459</v>
      </c>
      <c r="C207" t="str">
        <f ca="1">IF(B207&lt;=distribution!$D$2,distribution!$B$2,IF(B207&lt;=distribution!$D$3,distribution!$B$3,distribution!$B$4))</f>
        <v>ON</v>
      </c>
      <c r="D207">
        <f t="shared" ca="1" si="25"/>
        <v>0.67201033334831906</v>
      </c>
      <c r="E207" t="str">
        <f ca="1">IF(D207&lt;=distribution!$D$5,distribution!$B$5,distribution!$B$6)</f>
        <v>B</v>
      </c>
      <c r="F207">
        <f t="shared" ca="1" si="26"/>
        <v>7.8182819690843619E-2</v>
      </c>
      <c r="G207" t="str">
        <f ca="1">IF(F207&lt;=distribution!$D$7,distribution!$B$7,IF(F207&lt;=distribution!$D$8,distribution!$B$8,IF(F207&lt;=distribution!$D$9,distribution!$B$9,distribution!$B$10)))</f>
        <v>25-34</v>
      </c>
      <c r="H207">
        <f ca="1">VLOOKUP(G207,age_band!$A$1:$C$5,2,FALSE)</f>
        <v>25</v>
      </c>
      <c r="I207">
        <f ca="1">VLOOKUP(G207,age_band!$A$2:$C$5,3,FALSE)</f>
        <v>34</v>
      </c>
      <c r="J207">
        <f t="shared" ca="1" si="27"/>
        <v>32</v>
      </c>
      <c r="K207">
        <f t="shared" ca="1" si="28"/>
        <v>0.24720534226055768</v>
      </c>
      <c r="L207" t="str">
        <f ca="1">IF(K207&lt;=distribution!$D$11,distribution!$B$11,distribution!$B$12)</f>
        <v>N</v>
      </c>
      <c r="M207">
        <f t="shared" ca="1" si="29"/>
        <v>68785</v>
      </c>
      <c r="N207">
        <f t="shared" ca="1" si="30"/>
        <v>68785</v>
      </c>
    </row>
    <row r="208" spans="1:14" x14ac:dyDescent="0.45">
      <c r="A208">
        <f t="shared" si="31"/>
        <v>207</v>
      </c>
      <c r="B208">
        <f t="shared" ca="1" si="24"/>
        <v>0.98550661957535635</v>
      </c>
      <c r="C208" t="str">
        <f ca="1">IF(B208&lt;=distribution!$D$2,distribution!$B$2,IF(B208&lt;=distribution!$D$3,distribution!$B$3,distribution!$B$4))</f>
        <v>BC</v>
      </c>
      <c r="D208">
        <f t="shared" ca="1" si="25"/>
        <v>0.83115164738969349</v>
      </c>
      <c r="E208" t="str">
        <f ca="1">IF(D208&lt;=distribution!$D$5,distribution!$B$5,distribution!$B$6)</f>
        <v>B</v>
      </c>
      <c r="F208">
        <f t="shared" ca="1" si="26"/>
        <v>0.48993757711414587</v>
      </c>
      <c r="G208" t="str">
        <f ca="1">IF(F208&lt;=distribution!$D$7,distribution!$B$7,IF(F208&lt;=distribution!$D$8,distribution!$B$8,IF(F208&lt;=distribution!$D$9,distribution!$B$9,distribution!$B$10)))</f>
        <v>35-44</v>
      </c>
      <c r="H208">
        <f ca="1">VLOOKUP(G208,age_band!$A$1:$C$5,2,FALSE)</f>
        <v>35</v>
      </c>
      <c r="I208">
        <f ca="1">VLOOKUP(G208,age_band!$A$2:$C$5,3,FALSE)</f>
        <v>44</v>
      </c>
      <c r="J208">
        <f t="shared" ca="1" si="27"/>
        <v>44</v>
      </c>
      <c r="K208">
        <f t="shared" ca="1" si="28"/>
        <v>0.43958558559780458</v>
      </c>
      <c r="L208" t="str">
        <f ca="1">IF(K208&lt;=distribution!$D$11,distribution!$B$11,distribution!$B$12)</f>
        <v>N</v>
      </c>
      <c r="M208">
        <f t="shared" ca="1" si="29"/>
        <v>61289</v>
      </c>
      <c r="N208">
        <f t="shared" ca="1" si="30"/>
        <v>61289</v>
      </c>
    </row>
    <row r="209" spans="1:14" x14ac:dyDescent="0.45">
      <c r="A209">
        <f t="shared" si="31"/>
        <v>208</v>
      </c>
      <c r="B209">
        <f t="shared" ca="1" si="24"/>
        <v>0.54629779295877445</v>
      </c>
      <c r="C209" t="str">
        <f ca="1">IF(B209&lt;=distribution!$D$2,distribution!$B$2,IF(B209&lt;=distribution!$D$3,distribution!$B$3,distribution!$B$4))</f>
        <v>ON</v>
      </c>
      <c r="D209">
        <f t="shared" ca="1" si="25"/>
        <v>0.95117921592834009</v>
      </c>
      <c r="E209" t="str">
        <f ca="1">IF(D209&lt;=distribution!$D$5,distribution!$B$5,distribution!$B$6)</f>
        <v>B</v>
      </c>
      <c r="F209">
        <f t="shared" ca="1" si="26"/>
        <v>0.5076124014653135</v>
      </c>
      <c r="G209" t="str">
        <f ca="1">IF(F209&lt;=distribution!$D$7,distribution!$B$7,IF(F209&lt;=distribution!$D$8,distribution!$B$8,IF(F209&lt;=distribution!$D$9,distribution!$B$9,distribution!$B$10)))</f>
        <v>35-44</v>
      </c>
      <c r="H209">
        <f ca="1">VLOOKUP(G209,age_band!$A$1:$C$5,2,FALSE)</f>
        <v>35</v>
      </c>
      <c r="I209">
        <f ca="1">VLOOKUP(G209,age_band!$A$2:$C$5,3,FALSE)</f>
        <v>44</v>
      </c>
      <c r="J209">
        <f t="shared" ca="1" si="27"/>
        <v>43</v>
      </c>
      <c r="K209">
        <f t="shared" ca="1" si="28"/>
        <v>0.4057911030812511</v>
      </c>
      <c r="L209" t="str">
        <f ca="1">IF(K209&lt;=distribution!$D$11,distribution!$B$11,distribution!$B$12)</f>
        <v>N</v>
      </c>
      <c r="M209">
        <f t="shared" ca="1" si="29"/>
        <v>61242</v>
      </c>
      <c r="N209">
        <f t="shared" ca="1" si="30"/>
        <v>61242</v>
      </c>
    </row>
    <row r="210" spans="1:14" x14ac:dyDescent="0.45">
      <c r="A210">
        <f t="shared" si="31"/>
        <v>209</v>
      </c>
      <c r="B210">
        <f t="shared" ca="1" si="24"/>
        <v>0.73620699980328996</v>
      </c>
      <c r="C210" t="str">
        <f ca="1">IF(B210&lt;=distribution!$D$2,distribution!$B$2,IF(B210&lt;=distribution!$D$3,distribution!$B$3,distribution!$B$4))</f>
        <v>QC</v>
      </c>
      <c r="D210">
        <f t="shared" ca="1" si="25"/>
        <v>0.93075223992686196</v>
      </c>
      <c r="E210" t="str">
        <f ca="1">IF(D210&lt;=distribution!$D$5,distribution!$B$5,distribution!$B$6)</f>
        <v>B</v>
      </c>
      <c r="F210">
        <f t="shared" ca="1" si="26"/>
        <v>0.46709653902307091</v>
      </c>
      <c r="G210" t="str">
        <f ca="1">IF(F210&lt;=distribution!$D$7,distribution!$B$7,IF(F210&lt;=distribution!$D$8,distribution!$B$8,IF(F210&lt;=distribution!$D$9,distribution!$B$9,distribution!$B$10)))</f>
        <v>35-44</v>
      </c>
      <c r="H210">
        <f ca="1">VLOOKUP(G210,age_band!$A$1:$C$5,2,FALSE)</f>
        <v>35</v>
      </c>
      <c r="I210">
        <f ca="1">VLOOKUP(G210,age_band!$A$2:$C$5,3,FALSE)</f>
        <v>44</v>
      </c>
      <c r="J210">
        <f t="shared" ca="1" si="27"/>
        <v>38</v>
      </c>
      <c r="K210">
        <f t="shared" ca="1" si="28"/>
        <v>0.44410515916944082</v>
      </c>
      <c r="L210" t="str">
        <f ca="1">IF(K210&lt;=distribution!$D$11,distribution!$B$11,distribution!$B$12)</f>
        <v>N</v>
      </c>
      <c r="M210">
        <f t="shared" ca="1" si="29"/>
        <v>56632</v>
      </c>
      <c r="N210">
        <f t="shared" ca="1" si="30"/>
        <v>56632</v>
      </c>
    </row>
    <row r="211" spans="1:14" x14ac:dyDescent="0.45">
      <c r="A211">
        <f t="shared" si="31"/>
        <v>210</v>
      </c>
      <c r="B211">
        <f t="shared" ca="1" si="24"/>
        <v>0.75625174601014833</v>
      </c>
      <c r="C211" t="str">
        <f ca="1">IF(B211&lt;=distribution!$D$2,distribution!$B$2,IF(B211&lt;=distribution!$D$3,distribution!$B$3,distribution!$B$4))</f>
        <v>BC</v>
      </c>
      <c r="D211">
        <f t="shared" ca="1" si="25"/>
        <v>0.83973498955740999</v>
      </c>
      <c r="E211" t="str">
        <f ca="1">IF(D211&lt;=distribution!$D$5,distribution!$B$5,distribution!$B$6)</f>
        <v>B</v>
      </c>
      <c r="F211">
        <f t="shared" ca="1" si="26"/>
        <v>0.26626717051560544</v>
      </c>
      <c r="G211" t="str">
        <f ca="1">IF(F211&lt;=distribution!$D$7,distribution!$B$7,IF(F211&lt;=distribution!$D$8,distribution!$B$8,IF(F211&lt;=distribution!$D$9,distribution!$B$9,distribution!$B$10)))</f>
        <v>35-44</v>
      </c>
      <c r="H211">
        <f ca="1">VLOOKUP(G211,age_band!$A$1:$C$5,2,FALSE)</f>
        <v>35</v>
      </c>
      <c r="I211">
        <f ca="1">VLOOKUP(G211,age_band!$A$2:$C$5,3,FALSE)</f>
        <v>44</v>
      </c>
      <c r="J211">
        <f t="shared" ca="1" si="27"/>
        <v>43</v>
      </c>
      <c r="K211">
        <f t="shared" ca="1" si="28"/>
        <v>4.3019004301851127E-2</v>
      </c>
      <c r="L211" t="str">
        <f ca="1">IF(K211&lt;=distribution!$D$11,distribution!$B$11,distribution!$B$12)</f>
        <v>N</v>
      </c>
      <c r="M211">
        <f t="shared" ca="1" si="29"/>
        <v>64493</v>
      </c>
      <c r="N211">
        <f t="shared" ca="1" si="30"/>
        <v>64493</v>
      </c>
    </row>
    <row r="212" spans="1:14" x14ac:dyDescent="0.45">
      <c r="A212">
        <f t="shared" si="31"/>
        <v>211</v>
      </c>
      <c r="B212">
        <f t="shared" ca="1" si="24"/>
        <v>0.27611412898685295</v>
      </c>
      <c r="C212" t="str">
        <f ca="1">IF(B212&lt;=distribution!$D$2,distribution!$B$2,IF(B212&lt;=distribution!$D$3,distribution!$B$3,distribution!$B$4))</f>
        <v>ON</v>
      </c>
      <c r="D212">
        <f t="shared" ca="1" si="25"/>
        <v>0.47724381513618364</v>
      </c>
      <c r="E212" t="str">
        <f ca="1">IF(D212&lt;=distribution!$D$5,distribution!$B$5,distribution!$B$6)</f>
        <v>A</v>
      </c>
      <c r="F212">
        <f t="shared" ca="1" si="26"/>
        <v>0.17736593033164028</v>
      </c>
      <c r="G212" t="str">
        <f ca="1">IF(F212&lt;=distribution!$D$7,distribution!$B$7,IF(F212&lt;=distribution!$D$8,distribution!$B$8,IF(F212&lt;=distribution!$D$9,distribution!$B$9,distribution!$B$10)))</f>
        <v>25-34</v>
      </c>
      <c r="H212">
        <f ca="1">VLOOKUP(G212,age_band!$A$1:$C$5,2,FALSE)</f>
        <v>25</v>
      </c>
      <c r="I212">
        <f ca="1">VLOOKUP(G212,age_band!$A$2:$C$5,3,FALSE)</f>
        <v>34</v>
      </c>
      <c r="J212">
        <f t="shared" ca="1" si="27"/>
        <v>27</v>
      </c>
      <c r="K212">
        <f t="shared" ca="1" si="28"/>
        <v>0.89646141031359061</v>
      </c>
      <c r="L212" t="str">
        <f ca="1">IF(K212&lt;=distribution!$D$11,distribution!$B$11,distribution!$B$12)</f>
        <v>Y</v>
      </c>
      <c r="M212">
        <f t="shared" ca="1" si="29"/>
        <v>85650</v>
      </c>
      <c r="N212">
        <f t="shared" ca="1" si="30"/>
        <v>85650</v>
      </c>
    </row>
    <row r="213" spans="1:14" x14ac:dyDescent="0.45">
      <c r="A213">
        <f t="shared" si="31"/>
        <v>212</v>
      </c>
      <c r="B213">
        <f t="shared" ca="1" si="24"/>
        <v>4.3013253016120689E-2</v>
      </c>
      <c r="C213" t="str">
        <f ca="1">IF(B213&lt;=distribution!$D$2,distribution!$B$2,IF(B213&lt;=distribution!$D$3,distribution!$B$3,distribution!$B$4))</f>
        <v>ON</v>
      </c>
      <c r="D213">
        <f t="shared" ca="1" si="25"/>
        <v>4.6639550370757288E-2</v>
      </c>
      <c r="E213" t="str">
        <f ca="1">IF(D213&lt;=distribution!$D$5,distribution!$B$5,distribution!$B$6)</f>
        <v>A</v>
      </c>
      <c r="F213">
        <f t="shared" ca="1" si="26"/>
        <v>0.4066123020825706</v>
      </c>
      <c r="G213" t="str">
        <f ca="1">IF(F213&lt;=distribution!$D$7,distribution!$B$7,IF(F213&lt;=distribution!$D$8,distribution!$B$8,IF(F213&lt;=distribution!$D$9,distribution!$B$9,distribution!$B$10)))</f>
        <v>35-44</v>
      </c>
      <c r="H213">
        <f ca="1">VLOOKUP(G213,age_band!$A$1:$C$5,2,FALSE)</f>
        <v>35</v>
      </c>
      <c r="I213">
        <f ca="1">VLOOKUP(G213,age_band!$A$2:$C$5,3,FALSE)</f>
        <v>44</v>
      </c>
      <c r="J213">
        <f t="shared" ca="1" si="27"/>
        <v>37</v>
      </c>
      <c r="K213">
        <f t="shared" ca="1" si="28"/>
        <v>0.70808272250633431</v>
      </c>
      <c r="L213" t="str">
        <f ca="1">IF(K213&lt;=distribution!$D$11,distribution!$B$11,distribution!$B$12)</f>
        <v>N</v>
      </c>
      <c r="M213">
        <f t="shared" ca="1" si="29"/>
        <v>86728</v>
      </c>
      <c r="N213">
        <f t="shared" ca="1" si="30"/>
        <v>86728</v>
      </c>
    </row>
    <row r="214" spans="1:14" x14ac:dyDescent="0.45">
      <c r="A214">
        <f t="shared" si="31"/>
        <v>213</v>
      </c>
      <c r="B214">
        <f t="shared" ca="1" si="24"/>
        <v>0.28228437109917282</v>
      </c>
      <c r="C214" t="str">
        <f ca="1">IF(B214&lt;=distribution!$D$2,distribution!$B$2,IF(B214&lt;=distribution!$D$3,distribution!$B$3,distribution!$B$4))</f>
        <v>ON</v>
      </c>
      <c r="D214">
        <f t="shared" ca="1" si="25"/>
        <v>0.20969319725396318</v>
      </c>
      <c r="E214" t="str">
        <f ca="1">IF(D214&lt;=distribution!$D$5,distribution!$B$5,distribution!$B$6)</f>
        <v>A</v>
      </c>
      <c r="F214">
        <f t="shared" ca="1" si="26"/>
        <v>0.14750754161171631</v>
      </c>
      <c r="G214" t="str">
        <f ca="1">IF(F214&lt;=distribution!$D$7,distribution!$B$7,IF(F214&lt;=distribution!$D$8,distribution!$B$8,IF(F214&lt;=distribution!$D$9,distribution!$B$9,distribution!$B$10)))</f>
        <v>25-34</v>
      </c>
      <c r="H214">
        <f ca="1">VLOOKUP(G214,age_band!$A$1:$C$5,2,FALSE)</f>
        <v>25</v>
      </c>
      <c r="I214">
        <f ca="1">VLOOKUP(G214,age_band!$A$2:$C$5,3,FALSE)</f>
        <v>34</v>
      </c>
      <c r="J214">
        <f t="shared" ca="1" si="27"/>
        <v>29</v>
      </c>
      <c r="K214">
        <f t="shared" ca="1" si="28"/>
        <v>0.54553353747886724</v>
      </c>
      <c r="L214" t="str">
        <f ca="1">IF(K214&lt;=distribution!$D$11,distribution!$B$11,distribution!$B$12)</f>
        <v>N</v>
      </c>
      <c r="M214">
        <f t="shared" ca="1" si="29"/>
        <v>109728</v>
      </c>
      <c r="N214">
        <f t="shared" ca="1" si="30"/>
        <v>109728</v>
      </c>
    </row>
    <row r="215" spans="1:14" x14ac:dyDescent="0.45">
      <c r="A215">
        <f t="shared" si="31"/>
        <v>214</v>
      </c>
      <c r="B215">
        <f t="shared" ca="1" si="24"/>
        <v>0.12355211596923732</v>
      </c>
      <c r="C215" t="str">
        <f ca="1">IF(B215&lt;=distribution!$D$2,distribution!$B$2,IF(B215&lt;=distribution!$D$3,distribution!$B$3,distribution!$B$4))</f>
        <v>ON</v>
      </c>
      <c r="D215">
        <f t="shared" ca="1" si="25"/>
        <v>7.3160276468083096E-2</v>
      </c>
      <c r="E215" t="str">
        <f ca="1">IF(D215&lt;=distribution!$D$5,distribution!$B$5,distribution!$B$6)</f>
        <v>A</v>
      </c>
      <c r="F215">
        <f t="shared" ca="1" si="26"/>
        <v>0.61436660699837486</v>
      </c>
      <c r="G215" t="str">
        <f ca="1">IF(F215&lt;=distribution!$D$7,distribution!$B$7,IF(F215&lt;=distribution!$D$8,distribution!$B$8,IF(F215&lt;=distribution!$D$9,distribution!$B$9,distribution!$B$10)))</f>
        <v>45-54</v>
      </c>
      <c r="H215">
        <f ca="1">VLOOKUP(G215,age_band!$A$1:$C$5,2,FALSE)</f>
        <v>45</v>
      </c>
      <c r="I215">
        <f ca="1">VLOOKUP(G215,age_band!$A$2:$C$5,3,FALSE)</f>
        <v>54</v>
      </c>
      <c r="J215">
        <f t="shared" ca="1" si="27"/>
        <v>45</v>
      </c>
      <c r="K215">
        <f t="shared" ca="1" si="28"/>
        <v>0.16376159378386046</v>
      </c>
      <c r="L215" t="str">
        <f ca="1">IF(K215&lt;=distribution!$D$11,distribution!$B$11,distribution!$B$12)</f>
        <v>N</v>
      </c>
      <c r="M215">
        <f t="shared" ca="1" si="29"/>
        <v>61541</v>
      </c>
      <c r="N215">
        <f t="shared" ca="1" si="30"/>
        <v>61541</v>
      </c>
    </row>
    <row r="216" spans="1:14" x14ac:dyDescent="0.45">
      <c r="A216">
        <f t="shared" si="31"/>
        <v>215</v>
      </c>
      <c r="B216">
        <f t="shared" ca="1" si="24"/>
        <v>0.97832471983167946</v>
      </c>
      <c r="C216" t="str">
        <f ca="1">IF(B216&lt;=distribution!$D$2,distribution!$B$2,IF(B216&lt;=distribution!$D$3,distribution!$B$3,distribution!$B$4))</f>
        <v>BC</v>
      </c>
      <c r="D216">
        <f t="shared" ca="1" si="25"/>
        <v>0.16393883806636544</v>
      </c>
      <c r="E216" t="str">
        <f ca="1">IF(D216&lt;=distribution!$D$5,distribution!$B$5,distribution!$B$6)</f>
        <v>A</v>
      </c>
      <c r="F216">
        <f t="shared" ca="1" si="26"/>
        <v>0.68246131558637058</v>
      </c>
      <c r="G216" t="str">
        <f ca="1">IF(F216&lt;=distribution!$D$7,distribution!$B$7,IF(F216&lt;=distribution!$D$8,distribution!$B$8,IF(F216&lt;=distribution!$D$9,distribution!$B$9,distribution!$B$10)))</f>
        <v>45-54</v>
      </c>
      <c r="H216">
        <f ca="1">VLOOKUP(G216,age_band!$A$1:$C$5,2,FALSE)</f>
        <v>45</v>
      </c>
      <c r="I216">
        <f ca="1">VLOOKUP(G216,age_band!$A$2:$C$5,3,FALSE)</f>
        <v>54</v>
      </c>
      <c r="J216">
        <f t="shared" ca="1" si="27"/>
        <v>50</v>
      </c>
      <c r="K216">
        <f t="shared" ca="1" si="28"/>
        <v>0.61855958332285799</v>
      </c>
      <c r="L216" t="str">
        <f ca="1">IF(K216&lt;=distribution!$D$11,distribution!$B$11,distribution!$B$12)</f>
        <v>N</v>
      </c>
      <c r="M216">
        <f t="shared" ca="1" si="29"/>
        <v>121764</v>
      </c>
      <c r="N216">
        <f t="shared" ca="1" si="30"/>
        <v>121764</v>
      </c>
    </row>
    <row r="217" spans="1:14" x14ac:dyDescent="0.45">
      <c r="A217">
        <f t="shared" si="31"/>
        <v>216</v>
      </c>
      <c r="B217">
        <f t="shared" ca="1" si="24"/>
        <v>0.87854583662328123</v>
      </c>
      <c r="C217" t="str">
        <f ca="1">IF(B217&lt;=distribution!$D$2,distribution!$B$2,IF(B217&lt;=distribution!$D$3,distribution!$B$3,distribution!$B$4))</f>
        <v>BC</v>
      </c>
      <c r="D217">
        <f t="shared" ca="1" si="25"/>
        <v>0.57631159097063533</v>
      </c>
      <c r="E217" t="str">
        <f ca="1">IF(D217&lt;=distribution!$D$5,distribution!$B$5,distribution!$B$6)</f>
        <v>A</v>
      </c>
      <c r="F217">
        <f t="shared" ca="1" si="26"/>
        <v>0.76037785234433108</v>
      </c>
      <c r="G217" t="str">
        <f ca="1">IF(F217&lt;=distribution!$D$7,distribution!$B$7,IF(F217&lt;=distribution!$D$8,distribution!$B$8,IF(F217&lt;=distribution!$D$9,distribution!$B$9,distribution!$B$10)))</f>
        <v>45-54</v>
      </c>
      <c r="H217">
        <f ca="1">VLOOKUP(G217,age_band!$A$1:$C$5,2,FALSE)</f>
        <v>45</v>
      </c>
      <c r="I217">
        <f ca="1">VLOOKUP(G217,age_band!$A$2:$C$5,3,FALSE)</f>
        <v>54</v>
      </c>
      <c r="J217">
        <f t="shared" ca="1" si="27"/>
        <v>49</v>
      </c>
      <c r="K217">
        <f t="shared" ca="1" si="28"/>
        <v>0.14119225337713237</v>
      </c>
      <c r="L217" t="str">
        <f ca="1">IF(K217&lt;=distribution!$D$11,distribution!$B$11,distribution!$B$12)</f>
        <v>N</v>
      </c>
      <c r="M217">
        <f t="shared" ca="1" si="29"/>
        <v>94477</v>
      </c>
      <c r="N217">
        <f t="shared" ca="1" si="30"/>
        <v>94477</v>
      </c>
    </row>
    <row r="218" spans="1:14" x14ac:dyDescent="0.45">
      <c r="A218">
        <f t="shared" si="31"/>
        <v>217</v>
      </c>
      <c r="B218">
        <f t="shared" ca="1" si="24"/>
        <v>0.72628987969575121</v>
      </c>
      <c r="C218" t="str">
        <f ca="1">IF(B218&lt;=distribution!$D$2,distribution!$B$2,IF(B218&lt;=distribution!$D$3,distribution!$B$3,distribution!$B$4))</f>
        <v>QC</v>
      </c>
      <c r="D218">
        <f t="shared" ca="1" si="25"/>
        <v>0.68280723470001681</v>
      </c>
      <c r="E218" t="str">
        <f ca="1">IF(D218&lt;=distribution!$D$5,distribution!$B$5,distribution!$B$6)</f>
        <v>B</v>
      </c>
      <c r="F218">
        <f t="shared" ca="1" si="26"/>
        <v>0.3286790618508314</v>
      </c>
      <c r="G218" t="str">
        <f ca="1">IF(F218&lt;=distribution!$D$7,distribution!$B$7,IF(F218&lt;=distribution!$D$8,distribution!$B$8,IF(F218&lt;=distribution!$D$9,distribution!$B$9,distribution!$B$10)))</f>
        <v>35-44</v>
      </c>
      <c r="H218">
        <f ca="1">VLOOKUP(G218,age_band!$A$1:$C$5,2,FALSE)</f>
        <v>35</v>
      </c>
      <c r="I218">
        <f ca="1">VLOOKUP(G218,age_band!$A$2:$C$5,3,FALSE)</f>
        <v>44</v>
      </c>
      <c r="J218">
        <f t="shared" ca="1" si="27"/>
        <v>44</v>
      </c>
      <c r="K218">
        <f t="shared" ca="1" si="28"/>
        <v>0.76353478212482184</v>
      </c>
      <c r="L218" t="str">
        <f ca="1">IF(K218&lt;=distribution!$D$11,distribution!$B$11,distribution!$B$12)</f>
        <v>N</v>
      </c>
      <c r="M218">
        <f t="shared" ca="1" si="29"/>
        <v>51248</v>
      </c>
      <c r="N218">
        <f t="shared" ca="1" si="30"/>
        <v>51248</v>
      </c>
    </row>
    <row r="219" spans="1:14" x14ac:dyDescent="0.45">
      <c r="A219">
        <f t="shared" si="31"/>
        <v>218</v>
      </c>
      <c r="B219">
        <f t="shared" ca="1" si="24"/>
        <v>0.40789714256270604</v>
      </c>
      <c r="C219" t="str">
        <f ca="1">IF(B219&lt;=distribution!$D$2,distribution!$B$2,IF(B219&lt;=distribution!$D$3,distribution!$B$3,distribution!$B$4))</f>
        <v>ON</v>
      </c>
      <c r="D219">
        <f t="shared" ca="1" si="25"/>
        <v>7.4041495395169798E-2</v>
      </c>
      <c r="E219" t="str">
        <f ca="1">IF(D219&lt;=distribution!$D$5,distribution!$B$5,distribution!$B$6)</f>
        <v>A</v>
      </c>
      <c r="F219">
        <f t="shared" ca="1" si="26"/>
        <v>0.88326689909353351</v>
      </c>
      <c r="G219" t="str">
        <f ca="1">IF(F219&lt;=distribution!$D$7,distribution!$B$7,IF(F219&lt;=distribution!$D$8,distribution!$B$8,IF(F219&lt;=distribution!$D$9,distribution!$B$9,distribution!$B$10)))</f>
        <v>55-64</v>
      </c>
      <c r="H219">
        <f ca="1">VLOOKUP(G219,age_band!$A$1:$C$5,2,FALSE)</f>
        <v>55</v>
      </c>
      <c r="I219">
        <f ca="1">VLOOKUP(G219,age_band!$A$2:$C$5,3,FALSE)</f>
        <v>64</v>
      </c>
      <c r="J219">
        <f t="shared" ca="1" si="27"/>
        <v>57</v>
      </c>
      <c r="K219">
        <f t="shared" ca="1" si="28"/>
        <v>0.46459099728191899</v>
      </c>
      <c r="L219" t="str">
        <f ca="1">IF(K219&lt;=distribution!$D$11,distribution!$B$11,distribution!$B$12)</f>
        <v>N</v>
      </c>
      <c r="M219">
        <f t="shared" ca="1" si="29"/>
        <v>116975</v>
      </c>
      <c r="N219">
        <f t="shared" ca="1" si="30"/>
        <v>116975</v>
      </c>
    </row>
    <row r="220" spans="1:14" x14ac:dyDescent="0.45">
      <c r="A220">
        <f t="shared" si="31"/>
        <v>219</v>
      </c>
      <c r="B220">
        <f t="shared" ca="1" si="24"/>
        <v>0.23689613851887126</v>
      </c>
      <c r="C220" t="str">
        <f ca="1">IF(B220&lt;=distribution!$D$2,distribution!$B$2,IF(B220&lt;=distribution!$D$3,distribution!$B$3,distribution!$B$4))</f>
        <v>ON</v>
      </c>
      <c r="D220">
        <f t="shared" ca="1" si="25"/>
        <v>0.41945105365547064</v>
      </c>
      <c r="E220" t="str">
        <f ca="1">IF(D220&lt;=distribution!$D$5,distribution!$B$5,distribution!$B$6)</f>
        <v>A</v>
      </c>
      <c r="F220">
        <f t="shared" ca="1" si="26"/>
        <v>0.68280813547250363</v>
      </c>
      <c r="G220" t="str">
        <f ca="1">IF(F220&lt;=distribution!$D$7,distribution!$B$7,IF(F220&lt;=distribution!$D$8,distribution!$B$8,IF(F220&lt;=distribution!$D$9,distribution!$B$9,distribution!$B$10)))</f>
        <v>45-54</v>
      </c>
      <c r="H220">
        <f ca="1">VLOOKUP(G220,age_band!$A$1:$C$5,2,FALSE)</f>
        <v>45</v>
      </c>
      <c r="I220">
        <f ca="1">VLOOKUP(G220,age_band!$A$2:$C$5,3,FALSE)</f>
        <v>54</v>
      </c>
      <c r="J220">
        <f t="shared" ca="1" si="27"/>
        <v>45</v>
      </c>
      <c r="K220">
        <f t="shared" ca="1" si="28"/>
        <v>0.71056622192033914</v>
      </c>
      <c r="L220" t="str">
        <f ca="1">IF(K220&lt;=distribution!$D$11,distribution!$B$11,distribution!$B$12)</f>
        <v>N</v>
      </c>
      <c r="M220">
        <f t="shared" ca="1" si="29"/>
        <v>74125</v>
      </c>
      <c r="N220">
        <f t="shared" ca="1" si="30"/>
        <v>74125</v>
      </c>
    </row>
    <row r="221" spans="1:14" x14ac:dyDescent="0.45">
      <c r="A221">
        <f t="shared" si="31"/>
        <v>220</v>
      </c>
      <c r="B221">
        <f t="shared" ca="1" si="24"/>
        <v>0.22684352430187071</v>
      </c>
      <c r="C221" t="str">
        <f ca="1">IF(B221&lt;=distribution!$D$2,distribution!$B$2,IF(B221&lt;=distribution!$D$3,distribution!$B$3,distribution!$B$4))</f>
        <v>ON</v>
      </c>
      <c r="D221">
        <f t="shared" ca="1" si="25"/>
        <v>0.58250180579454647</v>
      </c>
      <c r="E221" t="str">
        <f ca="1">IF(D221&lt;=distribution!$D$5,distribution!$B$5,distribution!$B$6)</f>
        <v>A</v>
      </c>
      <c r="F221">
        <f t="shared" ca="1" si="26"/>
        <v>0.2012531308412282</v>
      </c>
      <c r="G221" t="str">
        <f ca="1">IF(F221&lt;=distribution!$D$7,distribution!$B$7,IF(F221&lt;=distribution!$D$8,distribution!$B$8,IF(F221&lt;=distribution!$D$9,distribution!$B$9,distribution!$B$10)))</f>
        <v>25-34</v>
      </c>
      <c r="H221">
        <f ca="1">VLOOKUP(G221,age_band!$A$1:$C$5,2,FALSE)</f>
        <v>25</v>
      </c>
      <c r="I221">
        <f ca="1">VLOOKUP(G221,age_band!$A$2:$C$5,3,FALSE)</f>
        <v>34</v>
      </c>
      <c r="J221">
        <f t="shared" ca="1" si="27"/>
        <v>33</v>
      </c>
      <c r="K221">
        <f t="shared" ca="1" si="28"/>
        <v>0.70243651779756533</v>
      </c>
      <c r="L221" t="str">
        <f ca="1">IF(K221&lt;=distribution!$D$11,distribution!$B$11,distribution!$B$12)</f>
        <v>N</v>
      </c>
      <c r="M221">
        <f t="shared" ca="1" si="29"/>
        <v>127576</v>
      </c>
      <c r="N221">
        <f t="shared" ca="1" si="30"/>
        <v>127576</v>
      </c>
    </row>
    <row r="222" spans="1:14" x14ac:dyDescent="0.45">
      <c r="A222">
        <f t="shared" si="31"/>
        <v>221</v>
      </c>
      <c r="B222">
        <f t="shared" ca="1" si="24"/>
        <v>0.70169608417475382</v>
      </c>
      <c r="C222" t="str">
        <f ca="1">IF(B222&lt;=distribution!$D$2,distribution!$B$2,IF(B222&lt;=distribution!$D$3,distribution!$B$3,distribution!$B$4))</f>
        <v>QC</v>
      </c>
      <c r="D222">
        <f t="shared" ca="1" si="25"/>
        <v>0.67384819626852044</v>
      </c>
      <c r="E222" t="str">
        <f ca="1">IF(D222&lt;=distribution!$D$5,distribution!$B$5,distribution!$B$6)</f>
        <v>B</v>
      </c>
      <c r="F222">
        <f t="shared" ca="1" si="26"/>
        <v>0.16358935639239769</v>
      </c>
      <c r="G222" t="str">
        <f ca="1">IF(F222&lt;=distribution!$D$7,distribution!$B$7,IF(F222&lt;=distribution!$D$8,distribution!$B$8,IF(F222&lt;=distribution!$D$9,distribution!$B$9,distribution!$B$10)))</f>
        <v>25-34</v>
      </c>
      <c r="H222">
        <f ca="1">VLOOKUP(G222,age_band!$A$1:$C$5,2,FALSE)</f>
        <v>25</v>
      </c>
      <c r="I222">
        <f ca="1">VLOOKUP(G222,age_band!$A$2:$C$5,3,FALSE)</f>
        <v>34</v>
      </c>
      <c r="J222">
        <f t="shared" ca="1" si="27"/>
        <v>31</v>
      </c>
      <c r="K222">
        <f t="shared" ca="1" si="28"/>
        <v>0.90066883853944468</v>
      </c>
      <c r="L222" t="str">
        <f ca="1">IF(K222&lt;=distribution!$D$11,distribution!$B$11,distribution!$B$12)</f>
        <v>Y</v>
      </c>
      <c r="M222">
        <f t="shared" ca="1" si="29"/>
        <v>58165</v>
      </c>
      <c r="N222">
        <f t="shared" ca="1" si="30"/>
        <v>58165</v>
      </c>
    </row>
    <row r="223" spans="1:14" x14ac:dyDescent="0.45">
      <c r="A223">
        <f t="shared" si="31"/>
        <v>222</v>
      </c>
      <c r="B223">
        <f t="shared" ca="1" si="24"/>
        <v>0.83412923270895223</v>
      </c>
      <c r="C223" t="str">
        <f ca="1">IF(B223&lt;=distribution!$D$2,distribution!$B$2,IF(B223&lt;=distribution!$D$3,distribution!$B$3,distribution!$B$4))</f>
        <v>BC</v>
      </c>
      <c r="D223">
        <f t="shared" ca="1" si="25"/>
        <v>0.5314313096765777</v>
      </c>
      <c r="E223" t="str">
        <f ca="1">IF(D223&lt;=distribution!$D$5,distribution!$B$5,distribution!$B$6)</f>
        <v>A</v>
      </c>
      <c r="F223">
        <f t="shared" ca="1" si="26"/>
        <v>0.72338455805770707</v>
      </c>
      <c r="G223" t="str">
        <f ca="1">IF(F223&lt;=distribution!$D$7,distribution!$B$7,IF(F223&lt;=distribution!$D$8,distribution!$B$8,IF(F223&lt;=distribution!$D$9,distribution!$B$9,distribution!$B$10)))</f>
        <v>45-54</v>
      </c>
      <c r="H223">
        <f ca="1">VLOOKUP(G223,age_band!$A$1:$C$5,2,FALSE)</f>
        <v>45</v>
      </c>
      <c r="I223">
        <f ca="1">VLOOKUP(G223,age_band!$A$2:$C$5,3,FALSE)</f>
        <v>54</v>
      </c>
      <c r="J223">
        <f t="shared" ca="1" si="27"/>
        <v>53</v>
      </c>
      <c r="K223">
        <f t="shared" ca="1" si="28"/>
        <v>0.33643338612467721</v>
      </c>
      <c r="L223" t="str">
        <f ca="1">IF(K223&lt;=distribution!$D$11,distribution!$B$11,distribution!$B$12)</f>
        <v>N</v>
      </c>
      <c r="M223">
        <f t="shared" ca="1" si="29"/>
        <v>99677</v>
      </c>
      <c r="N223">
        <f t="shared" ca="1" si="30"/>
        <v>99677</v>
      </c>
    </row>
    <row r="224" spans="1:14" x14ac:dyDescent="0.45">
      <c r="A224">
        <f t="shared" si="31"/>
        <v>223</v>
      </c>
      <c r="B224">
        <f t="shared" ca="1" si="24"/>
        <v>0.13903738906789975</v>
      </c>
      <c r="C224" t="str">
        <f ca="1">IF(B224&lt;=distribution!$D$2,distribution!$B$2,IF(B224&lt;=distribution!$D$3,distribution!$B$3,distribution!$B$4))</f>
        <v>ON</v>
      </c>
      <c r="D224">
        <f t="shared" ca="1" si="25"/>
        <v>0.82839232765501403</v>
      </c>
      <c r="E224" t="str">
        <f ca="1">IF(D224&lt;=distribution!$D$5,distribution!$B$5,distribution!$B$6)</f>
        <v>B</v>
      </c>
      <c r="F224">
        <f t="shared" ca="1" si="26"/>
        <v>0.72418934547925262</v>
      </c>
      <c r="G224" t="str">
        <f ca="1">IF(F224&lt;=distribution!$D$7,distribution!$B$7,IF(F224&lt;=distribution!$D$8,distribution!$B$8,IF(F224&lt;=distribution!$D$9,distribution!$B$9,distribution!$B$10)))</f>
        <v>45-54</v>
      </c>
      <c r="H224">
        <f ca="1">VLOOKUP(G224,age_band!$A$1:$C$5,2,FALSE)</f>
        <v>45</v>
      </c>
      <c r="I224">
        <f ca="1">VLOOKUP(G224,age_band!$A$2:$C$5,3,FALSE)</f>
        <v>54</v>
      </c>
      <c r="J224">
        <f t="shared" ca="1" si="27"/>
        <v>53</v>
      </c>
      <c r="K224">
        <f t="shared" ca="1" si="28"/>
        <v>0.34708872946009084</v>
      </c>
      <c r="L224" t="str">
        <f ca="1">IF(K224&lt;=distribution!$D$11,distribution!$B$11,distribution!$B$12)</f>
        <v>N</v>
      </c>
      <c r="M224">
        <f t="shared" ca="1" si="29"/>
        <v>68733</v>
      </c>
      <c r="N224">
        <f t="shared" ca="1" si="30"/>
        <v>68733</v>
      </c>
    </row>
    <row r="225" spans="1:14" x14ac:dyDescent="0.45">
      <c r="A225">
        <f t="shared" si="31"/>
        <v>224</v>
      </c>
      <c r="B225">
        <f t="shared" ca="1" si="24"/>
        <v>0.16978222027317336</v>
      </c>
      <c r="C225" t="str">
        <f ca="1">IF(B225&lt;=distribution!$D$2,distribution!$B$2,IF(B225&lt;=distribution!$D$3,distribution!$B$3,distribution!$B$4))</f>
        <v>ON</v>
      </c>
      <c r="D225">
        <f t="shared" ca="1" si="25"/>
        <v>0.3199702399566311</v>
      </c>
      <c r="E225" t="str">
        <f ca="1">IF(D225&lt;=distribution!$D$5,distribution!$B$5,distribution!$B$6)</f>
        <v>A</v>
      </c>
      <c r="F225">
        <f t="shared" ca="1" si="26"/>
        <v>0.40870465240504006</v>
      </c>
      <c r="G225" t="str">
        <f ca="1">IF(F225&lt;=distribution!$D$7,distribution!$B$7,IF(F225&lt;=distribution!$D$8,distribution!$B$8,IF(F225&lt;=distribution!$D$9,distribution!$B$9,distribution!$B$10)))</f>
        <v>35-44</v>
      </c>
      <c r="H225">
        <f ca="1">VLOOKUP(G225,age_band!$A$1:$C$5,2,FALSE)</f>
        <v>35</v>
      </c>
      <c r="I225">
        <f ca="1">VLOOKUP(G225,age_band!$A$2:$C$5,3,FALSE)</f>
        <v>44</v>
      </c>
      <c r="J225">
        <f t="shared" ca="1" si="27"/>
        <v>43</v>
      </c>
      <c r="K225">
        <f t="shared" ca="1" si="28"/>
        <v>0.91020786031377632</v>
      </c>
      <c r="L225" t="str">
        <f ca="1">IF(K225&lt;=distribution!$D$11,distribution!$B$11,distribution!$B$12)</f>
        <v>Y</v>
      </c>
      <c r="M225">
        <f t="shared" ca="1" si="29"/>
        <v>103804</v>
      </c>
      <c r="N225">
        <f t="shared" ca="1" si="30"/>
        <v>103804</v>
      </c>
    </row>
    <row r="226" spans="1:14" x14ac:dyDescent="0.45">
      <c r="A226">
        <f t="shared" si="31"/>
        <v>225</v>
      </c>
      <c r="B226">
        <f t="shared" ca="1" si="24"/>
        <v>9.9458099462832239E-2</v>
      </c>
      <c r="C226" t="str">
        <f ca="1">IF(B226&lt;=distribution!$D$2,distribution!$B$2,IF(B226&lt;=distribution!$D$3,distribution!$B$3,distribution!$B$4))</f>
        <v>ON</v>
      </c>
      <c r="D226">
        <f t="shared" ca="1" si="25"/>
        <v>0.90461475405700786</v>
      </c>
      <c r="E226" t="str">
        <f ca="1">IF(D226&lt;=distribution!$D$5,distribution!$B$5,distribution!$B$6)</f>
        <v>B</v>
      </c>
      <c r="F226">
        <f t="shared" ca="1" si="26"/>
        <v>0.36364060093492445</v>
      </c>
      <c r="G226" t="str">
        <f ca="1">IF(F226&lt;=distribution!$D$7,distribution!$B$7,IF(F226&lt;=distribution!$D$8,distribution!$B$8,IF(F226&lt;=distribution!$D$9,distribution!$B$9,distribution!$B$10)))</f>
        <v>35-44</v>
      </c>
      <c r="H226">
        <f ca="1">VLOOKUP(G226,age_band!$A$1:$C$5,2,FALSE)</f>
        <v>35</v>
      </c>
      <c r="I226">
        <f ca="1">VLOOKUP(G226,age_band!$A$2:$C$5,3,FALSE)</f>
        <v>44</v>
      </c>
      <c r="J226">
        <f t="shared" ca="1" si="27"/>
        <v>39</v>
      </c>
      <c r="K226">
        <f t="shared" ca="1" si="28"/>
        <v>0.2911040530558876</v>
      </c>
      <c r="L226" t="str">
        <f ca="1">IF(K226&lt;=distribution!$D$11,distribution!$B$11,distribution!$B$12)</f>
        <v>N</v>
      </c>
      <c r="M226">
        <f t="shared" ca="1" si="29"/>
        <v>71663</v>
      </c>
      <c r="N226">
        <f t="shared" ca="1" si="30"/>
        <v>71663</v>
      </c>
    </row>
    <row r="227" spans="1:14" x14ac:dyDescent="0.45">
      <c r="A227">
        <f t="shared" si="31"/>
        <v>226</v>
      </c>
      <c r="B227">
        <f t="shared" ca="1" si="24"/>
        <v>9.5097807734331519E-2</v>
      </c>
      <c r="C227" t="str">
        <f ca="1">IF(B227&lt;=distribution!$D$2,distribution!$B$2,IF(B227&lt;=distribution!$D$3,distribution!$B$3,distribution!$B$4))</f>
        <v>ON</v>
      </c>
      <c r="D227">
        <f t="shared" ca="1" si="25"/>
        <v>0.84366588755637983</v>
      </c>
      <c r="E227" t="str">
        <f ca="1">IF(D227&lt;=distribution!$D$5,distribution!$B$5,distribution!$B$6)</f>
        <v>B</v>
      </c>
      <c r="F227">
        <f t="shared" ca="1" si="26"/>
        <v>4.9370383712679544E-2</v>
      </c>
      <c r="G227" t="str">
        <f ca="1">IF(F227&lt;=distribution!$D$7,distribution!$B$7,IF(F227&lt;=distribution!$D$8,distribution!$B$8,IF(F227&lt;=distribution!$D$9,distribution!$B$9,distribution!$B$10)))</f>
        <v>25-34</v>
      </c>
      <c r="H227">
        <f ca="1">VLOOKUP(G227,age_band!$A$1:$C$5,2,FALSE)</f>
        <v>25</v>
      </c>
      <c r="I227">
        <f ca="1">VLOOKUP(G227,age_band!$A$2:$C$5,3,FALSE)</f>
        <v>34</v>
      </c>
      <c r="J227">
        <f t="shared" ca="1" si="27"/>
        <v>30</v>
      </c>
      <c r="K227">
        <f t="shared" ca="1" si="28"/>
        <v>0.61892115970340444</v>
      </c>
      <c r="L227" t="str">
        <f ca="1">IF(K227&lt;=distribution!$D$11,distribution!$B$11,distribution!$B$12)</f>
        <v>N</v>
      </c>
      <c r="M227">
        <f t="shared" ca="1" si="29"/>
        <v>72266</v>
      </c>
      <c r="N227">
        <f t="shared" ca="1" si="30"/>
        <v>72266</v>
      </c>
    </row>
    <row r="228" spans="1:14" x14ac:dyDescent="0.45">
      <c r="A228">
        <f t="shared" si="31"/>
        <v>227</v>
      </c>
      <c r="B228">
        <f t="shared" ca="1" si="24"/>
        <v>0.72511245778120392</v>
      </c>
      <c r="C228" t="str">
        <f ca="1">IF(B228&lt;=distribution!$D$2,distribution!$B$2,IF(B228&lt;=distribution!$D$3,distribution!$B$3,distribution!$B$4))</f>
        <v>QC</v>
      </c>
      <c r="D228">
        <f t="shared" ca="1" si="25"/>
        <v>0.6899760162821994</v>
      </c>
      <c r="E228" t="str">
        <f ca="1">IF(D228&lt;=distribution!$D$5,distribution!$B$5,distribution!$B$6)</f>
        <v>B</v>
      </c>
      <c r="F228">
        <f t="shared" ca="1" si="26"/>
        <v>0.27088333107919205</v>
      </c>
      <c r="G228" t="str">
        <f ca="1">IF(F228&lt;=distribution!$D$7,distribution!$B$7,IF(F228&lt;=distribution!$D$8,distribution!$B$8,IF(F228&lt;=distribution!$D$9,distribution!$B$9,distribution!$B$10)))</f>
        <v>35-44</v>
      </c>
      <c r="H228">
        <f ca="1">VLOOKUP(G228,age_band!$A$1:$C$5,2,FALSE)</f>
        <v>35</v>
      </c>
      <c r="I228">
        <f ca="1">VLOOKUP(G228,age_band!$A$2:$C$5,3,FALSE)</f>
        <v>44</v>
      </c>
      <c r="J228">
        <f t="shared" ca="1" si="27"/>
        <v>42</v>
      </c>
      <c r="K228">
        <f t="shared" ca="1" si="28"/>
        <v>0.27411347914181861</v>
      </c>
      <c r="L228" t="str">
        <f ca="1">IF(K228&lt;=distribution!$D$11,distribution!$B$11,distribution!$B$12)</f>
        <v>N</v>
      </c>
      <c r="M228">
        <f t="shared" ca="1" si="29"/>
        <v>79833</v>
      </c>
      <c r="N228">
        <f t="shared" ca="1" si="30"/>
        <v>79833</v>
      </c>
    </row>
    <row r="229" spans="1:14" x14ac:dyDescent="0.45">
      <c r="A229">
        <f t="shared" si="31"/>
        <v>228</v>
      </c>
      <c r="B229">
        <f t="shared" ca="1" si="24"/>
        <v>0.29252788061202695</v>
      </c>
      <c r="C229" t="str">
        <f ca="1">IF(B229&lt;=distribution!$D$2,distribution!$B$2,IF(B229&lt;=distribution!$D$3,distribution!$B$3,distribution!$B$4))</f>
        <v>ON</v>
      </c>
      <c r="D229">
        <f t="shared" ca="1" si="25"/>
        <v>0.53663439962207904</v>
      </c>
      <c r="E229" t="str">
        <f ca="1">IF(D229&lt;=distribution!$D$5,distribution!$B$5,distribution!$B$6)</f>
        <v>A</v>
      </c>
      <c r="F229">
        <f t="shared" ca="1" si="26"/>
        <v>0.12077932414219228</v>
      </c>
      <c r="G229" t="str">
        <f ca="1">IF(F229&lt;=distribution!$D$7,distribution!$B$7,IF(F229&lt;=distribution!$D$8,distribution!$B$8,IF(F229&lt;=distribution!$D$9,distribution!$B$9,distribution!$B$10)))</f>
        <v>25-34</v>
      </c>
      <c r="H229">
        <f ca="1">VLOOKUP(G229,age_band!$A$1:$C$5,2,FALSE)</f>
        <v>25</v>
      </c>
      <c r="I229">
        <f ca="1">VLOOKUP(G229,age_band!$A$2:$C$5,3,FALSE)</f>
        <v>34</v>
      </c>
      <c r="J229">
        <f t="shared" ca="1" si="27"/>
        <v>32</v>
      </c>
      <c r="K229">
        <f t="shared" ca="1" si="28"/>
        <v>0.26959327459185145</v>
      </c>
      <c r="L229" t="str">
        <f ca="1">IF(K229&lt;=distribution!$D$11,distribution!$B$11,distribution!$B$12)</f>
        <v>N</v>
      </c>
      <c r="M229">
        <f t="shared" ca="1" si="29"/>
        <v>82960</v>
      </c>
      <c r="N229">
        <f t="shared" ca="1" si="30"/>
        <v>82960</v>
      </c>
    </row>
    <row r="230" spans="1:14" x14ac:dyDescent="0.45">
      <c r="A230">
        <f t="shared" si="31"/>
        <v>229</v>
      </c>
      <c r="B230">
        <f t="shared" ca="1" si="24"/>
        <v>0.95526407444793282</v>
      </c>
      <c r="C230" t="str">
        <f ca="1">IF(B230&lt;=distribution!$D$2,distribution!$B$2,IF(B230&lt;=distribution!$D$3,distribution!$B$3,distribution!$B$4))</f>
        <v>BC</v>
      </c>
      <c r="D230">
        <f t="shared" ca="1" si="25"/>
        <v>0.40411958551784755</v>
      </c>
      <c r="E230" t="str">
        <f ca="1">IF(D230&lt;=distribution!$D$5,distribution!$B$5,distribution!$B$6)</f>
        <v>A</v>
      </c>
      <c r="F230">
        <f t="shared" ca="1" si="26"/>
        <v>0.73971786208384138</v>
      </c>
      <c r="G230" t="str">
        <f ca="1">IF(F230&lt;=distribution!$D$7,distribution!$B$7,IF(F230&lt;=distribution!$D$8,distribution!$B$8,IF(F230&lt;=distribution!$D$9,distribution!$B$9,distribution!$B$10)))</f>
        <v>45-54</v>
      </c>
      <c r="H230">
        <f ca="1">VLOOKUP(G230,age_band!$A$1:$C$5,2,FALSE)</f>
        <v>45</v>
      </c>
      <c r="I230">
        <f ca="1">VLOOKUP(G230,age_band!$A$2:$C$5,3,FALSE)</f>
        <v>54</v>
      </c>
      <c r="J230">
        <f t="shared" ca="1" si="27"/>
        <v>47</v>
      </c>
      <c r="K230">
        <f t="shared" ca="1" si="28"/>
        <v>0.38029576576700874</v>
      </c>
      <c r="L230" t="str">
        <f ca="1">IF(K230&lt;=distribution!$D$11,distribution!$B$11,distribution!$B$12)</f>
        <v>N</v>
      </c>
      <c r="M230">
        <f t="shared" ca="1" si="29"/>
        <v>96739</v>
      </c>
      <c r="N230">
        <f t="shared" ca="1" si="30"/>
        <v>96739</v>
      </c>
    </row>
    <row r="231" spans="1:14" x14ac:dyDescent="0.45">
      <c r="A231">
        <f t="shared" si="31"/>
        <v>230</v>
      </c>
      <c r="B231">
        <f t="shared" ca="1" si="24"/>
        <v>0.26133297470495953</v>
      </c>
      <c r="C231" t="str">
        <f ca="1">IF(B231&lt;=distribution!$D$2,distribution!$B$2,IF(B231&lt;=distribution!$D$3,distribution!$B$3,distribution!$B$4))</f>
        <v>ON</v>
      </c>
      <c r="D231">
        <f t="shared" ca="1" si="25"/>
        <v>0.55724619916293416</v>
      </c>
      <c r="E231" t="str">
        <f ca="1">IF(D231&lt;=distribution!$D$5,distribution!$B$5,distribution!$B$6)</f>
        <v>A</v>
      </c>
      <c r="F231">
        <f t="shared" ca="1" si="26"/>
        <v>0.49926053263181391</v>
      </c>
      <c r="G231" t="str">
        <f ca="1">IF(F231&lt;=distribution!$D$7,distribution!$B$7,IF(F231&lt;=distribution!$D$8,distribution!$B$8,IF(F231&lt;=distribution!$D$9,distribution!$B$9,distribution!$B$10)))</f>
        <v>35-44</v>
      </c>
      <c r="H231">
        <f ca="1">VLOOKUP(G231,age_band!$A$1:$C$5,2,FALSE)</f>
        <v>35</v>
      </c>
      <c r="I231">
        <f ca="1">VLOOKUP(G231,age_band!$A$2:$C$5,3,FALSE)</f>
        <v>44</v>
      </c>
      <c r="J231">
        <f t="shared" ca="1" si="27"/>
        <v>42</v>
      </c>
      <c r="K231">
        <f t="shared" ca="1" si="28"/>
        <v>0.51016914355298881</v>
      </c>
      <c r="L231" t="str">
        <f ca="1">IF(K231&lt;=distribution!$D$11,distribution!$B$11,distribution!$B$12)</f>
        <v>N</v>
      </c>
      <c r="M231">
        <f t="shared" ca="1" si="29"/>
        <v>65576</v>
      </c>
      <c r="N231">
        <f t="shared" ca="1" si="30"/>
        <v>65576</v>
      </c>
    </row>
    <row r="232" spans="1:14" x14ac:dyDescent="0.45">
      <c r="A232">
        <f t="shared" si="31"/>
        <v>231</v>
      </c>
      <c r="B232">
        <f t="shared" ca="1" si="24"/>
        <v>0.22919194368605522</v>
      </c>
      <c r="C232" t="str">
        <f ca="1">IF(B232&lt;=distribution!$D$2,distribution!$B$2,IF(B232&lt;=distribution!$D$3,distribution!$B$3,distribution!$B$4))</f>
        <v>ON</v>
      </c>
      <c r="D232">
        <f t="shared" ca="1" si="25"/>
        <v>9.8860693447590298E-2</v>
      </c>
      <c r="E232" t="str">
        <f ca="1">IF(D232&lt;=distribution!$D$5,distribution!$B$5,distribution!$B$6)</f>
        <v>A</v>
      </c>
      <c r="F232">
        <f t="shared" ca="1" si="26"/>
        <v>0.56084882019832805</v>
      </c>
      <c r="G232" t="str">
        <f ca="1">IF(F232&lt;=distribution!$D$7,distribution!$B$7,IF(F232&lt;=distribution!$D$8,distribution!$B$8,IF(F232&lt;=distribution!$D$9,distribution!$B$9,distribution!$B$10)))</f>
        <v>35-44</v>
      </c>
      <c r="H232">
        <f ca="1">VLOOKUP(G232,age_band!$A$1:$C$5,2,FALSE)</f>
        <v>35</v>
      </c>
      <c r="I232">
        <f ca="1">VLOOKUP(G232,age_band!$A$2:$C$5,3,FALSE)</f>
        <v>44</v>
      </c>
      <c r="J232">
        <f t="shared" ca="1" si="27"/>
        <v>37</v>
      </c>
      <c r="K232">
        <f t="shared" ca="1" si="28"/>
        <v>0.16709691199436483</v>
      </c>
      <c r="L232" t="str">
        <f ca="1">IF(K232&lt;=distribution!$D$11,distribution!$B$11,distribution!$B$12)</f>
        <v>N</v>
      </c>
      <c r="M232">
        <f t="shared" ca="1" si="29"/>
        <v>58527</v>
      </c>
      <c r="N232">
        <f t="shared" ca="1" si="30"/>
        <v>58527</v>
      </c>
    </row>
    <row r="233" spans="1:14" x14ac:dyDescent="0.45">
      <c r="A233">
        <f t="shared" si="31"/>
        <v>232</v>
      </c>
      <c r="B233">
        <f t="shared" ca="1" si="24"/>
        <v>2.0029196837904162E-2</v>
      </c>
      <c r="C233" t="str">
        <f ca="1">IF(B233&lt;=distribution!$D$2,distribution!$B$2,IF(B233&lt;=distribution!$D$3,distribution!$B$3,distribution!$B$4))</f>
        <v>ON</v>
      </c>
      <c r="D233">
        <f t="shared" ca="1" si="25"/>
        <v>0.75725145504841118</v>
      </c>
      <c r="E233" t="str">
        <f ca="1">IF(D233&lt;=distribution!$D$5,distribution!$B$5,distribution!$B$6)</f>
        <v>B</v>
      </c>
      <c r="F233">
        <f t="shared" ca="1" si="26"/>
        <v>0.81432534076306939</v>
      </c>
      <c r="G233" t="str">
        <f ca="1">IF(F233&lt;=distribution!$D$7,distribution!$B$7,IF(F233&lt;=distribution!$D$8,distribution!$B$8,IF(F233&lt;=distribution!$D$9,distribution!$B$9,distribution!$B$10)))</f>
        <v>45-54</v>
      </c>
      <c r="H233">
        <f ca="1">VLOOKUP(G233,age_band!$A$1:$C$5,2,FALSE)</f>
        <v>45</v>
      </c>
      <c r="I233">
        <f ca="1">VLOOKUP(G233,age_band!$A$2:$C$5,3,FALSE)</f>
        <v>54</v>
      </c>
      <c r="J233">
        <f t="shared" ca="1" si="27"/>
        <v>52</v>
      </c>
      <c r="K233">
        <f t="shared" ca="1" si="28"/>
        <v>0.58881466635504853</v>
      </c>
      <c r="L233" t="str">
        <f ca="1">IF(K233&lt;=distribution!$D$11,distribution!$B$11,distribution!$B$12)</f>
        <v>N</v>
      </c>
      <c r="M233">
        <f t="shared" ca="1" si="29"/>
        <v>48222</v>
      </c>
      <c r="N233">
        <f t="shared" ca="1" si="30"/>
        <v>48222</v>
      </c>
    </row>
    <row r="234" spans="1:14" x14ac:dyDescent="0.45">
      <c r="A234">
        <f t="shared" si="31"/>
        <v>233</v>
      </c>
      <c r="B234">
        <f t="shared" ca="1" si="24"/>
        <v>0.27274201682122212</v>
      </c>
      <c r="C234" t="str">
        <f ca="1">IF(B234&lt;=distribution!$D$2,distribution!$B$2,IF(B234&lt;=distribution!$D$3,distribution!$B$3,distribution!$B$4))</f>
        <v>ON</v>
      </c>
      <c r="D234">
        <f t="shared" ca="1" si="25"/>
        <v>0.57643775518291274</v>
      </c>
      <c r="E234" t="str">
        <f ca="1">IF(D234&lt;=distribution!$D$5,distribution!$B$5,distribution!$B$6)</f>
        <v>A</v>
      </c>
      <c r="F234">
        <f t="shared" ca="1" si="26"/>
        <v>0.3468639098974251</v>
      </c>
      <c r="G234" t="str">
        <f ca="1">IF(F234&lt;=distribution!$D$7,distribution!$B$7,IF(F234&lt;=distribution!$D$8,distribution!$B$8,IF(F234&lt;=distribution!$D$9,distribution!$B$9,distribution!$B$10)))</f>
        <v>35-44</v>
      </c>
      <c r="H234">
        <f ca="1">VLOOKUP(G234,age_band!$A$1:$C$5,2,FALSE)</f>
        <v>35</v>
      </c>
      <c r="I234">
        <f ca="1">VLOOKUP(G234,age_band!$A$2:$C$5,3,FALSE)</f>
        <v>44</v>
      </c>
      <c r="J234">
        <f t="shared" ca="1" si="27"/>
        <v>39</v>
      </c>
      <c r="K234">
        <f t="shared" ca="1" si="28"/>
        <v>0.99330081153032757</v>
      </c>
      <c r="L234" t="str">
        <f ca="1">IF(K234&lt;=distribution!$D$11,distribution!$B$11,distribution!$B$12)</f>
        <v>Y</v>
      </c>
      <c r="M234">
        <f t="shared" ca="1" si="29"/>
        <v>97555</v>
      </c>
      <c r="N234">
        <f t="shared" ca="1" si="30"/>
        <v>97555</v>
      </c>
    </row>
    <row r="235" spans="1:14" x14ac:dyDescent="0.45">
      <c r="A235">
        <f t="shared" si="31"/>
        <v>234</v>
      </c>
      <c r="B235">
        <f t="shared" ca="1" si="24"/>
        <v>0.19514465454884067</v>
      </c>
      <c r="C235" t="str">
        <f ca="1">IF(B235&lt;=distribution!$D$2,distribution!$B$2,IF(B235&lt;=distribution!$D$3,distribution!$B$3,distribution!$B$4))</f>
        <v>ON</v>
      </c>
      <c r="D235">
        <f t="shared" ca="1" si="25"/>
        <v>0.51498305974053349</v>
      </c>
      <c r="E235" t="str">
        <f ca="1">IF(D235&lt;=distribution!$D$5,distribution!$B$5,distribution!$B$6)</f>
        <v>A</v>
      </c>
      <c r="F235">
        <f t="shared" ca="1" si="26"/>
        <v>0.33023983406093615</v>
      </c>
      <c r="G235" t="str">
        <f ca="1">IF(F235&lt;=distribution!$D$7,distribution!$B$7,IF(F235&lt;=distribution!$D$8,distribution!$B$8,IF(F235&lt;=distribution!$D$9,distribution!$B$9,distribution!$B$10)))</f>
        <v>35-44</v>
      </c>
      <c r="H235">
        <f ca="1">VLOOKUP(G235,age_band!$A$1:$C$5,2,FALSE)</f>
        <v>35</v>
      </c>
      <c r="I235">
        <f ca="1">VLOOKUP(G235,age_band!$A$2:$C$5,3,FALSE)</f>
        <v>44</v>
      </c>
      <c r="J235">
        <f t="shared" ca="1" si="27"/>
        <v>43</v>
      </c>
      <c r="K235">
        <f t="shared" ca="1" si="28"/>
        <v>0.69069783506233362</v>
      </c>
      <c r="L235" t="str">
        <f ca="1">IF(K235&lt;=distribution!$D$11,distribution!$B$11,distribution!$B$12)</f>
        <v>N</v>
      </c>
      <c r="M235">
        <f t="shared" ca="1" si="29"/>
        <v>80248</v>
      </c>
      <c r="N235">
        <f t="shared" ca="1" si="30"/>
        <v>80248</v>
      </c>
    </row>
    <row r="236" spans="1:14" x14ac:dyDescent="0.45">
      <c r="A236">
        <f t="shared" si="31"/>
        <v>235</v>
      </c>
      <c r="B236">
        <f t="shared" ca="1" si="24"/>
        <v>0.5024989009165689</v>
      </c>
      <c r="C236" t="str">
        <f ca="1">IF(B236&lt;=distribution!$D$2,distribution!$B$2,IF(B236&lt;=distribution!$D$3,distribution!$B$3,distribution!$B$4))</f>
        <v>ON</v>
      </c>
      <c r="D236">
        <f t="shared" ca="1" si="25"/>
        <v>0.73734611212694845</v>
      </c>
      <c r="E236" t="str">
        <f ca="1">IF(D236&lt;=distribution!$D$5,distribution!$B$5,distribution!$B$6)</f>
        <v>B</v>
      </c>
      <c r="F236">
        <f t="shared" ca="1" si="26"/>
        <v>0.95618021101496953</v>
      </c>
      <c r="G236" t="str">
        <f ca="1">IF(F236&lt;=distribution!$D$7,distribution!$B$7,IF(F236&lt;=distribution!$D$8,distribution!$B$8,IF(F236&lt;=distribution!$D$9,distribution!$B$9,distribution!$B$10)))</f>
        <v>55-64</v>
      </c>
      <c r="H236">
        <f ca="1">VLOOKUP(G236,age_band!$A$1:$C$5,2,FALSE)</f>
        <v>55</v>
      </c>
      <c r="I236">
        <f ca="1">VLOOKUP(G236,age_band!$A$2:$C$5,3,FALSE)</f>
        <v>64</v>
      </c>
      <c r="J236">
        <f t="shared" ca="1" si="27"/>
        <v>55</v>
      </c>
      <c r="K236">
        <f t="shared" ca="1" si="28"/>
        <v>9.2146707345338807E-2</v>
      </c>
      <c r="L236" t="str">
        <f ca="1">IF(K236&lt;=distribution!$D$11,distribution!$B$11,distribution!$B$12)</f>
        <v>N</v>
      </c>
      <c r="M236">
        <f t="shared" ca="1" si="29"/>
        <v>75129</v>
      </c>
      <c r="N236">
        <f t="shared" ca="1" si="30"/>
        <v>75129</v>
      </c>
    </row>
    <row r="237" spans="1:14" x14ac:dyDescent="0.45">
      <c r="A237">
        <f t="shared" si="31"/>
        <v>236</v>
      </c>
      <c r="B237">
        <f t="shared" ca="1" si="24"/>
        <v>2.8347261610978114E-3</v>
      </c>
      <c r="C237" t="str">
        <f ca="1">IF(B237&lt;=distribution!$D$2,distribution!$B$2,IF(B237&lt;=distribution!$D$3,distribution!$B$3,distribution!$B$4))</f>
        <v>ON</v>
      </c>
      <c r="D237">
        <f t="shared" ca="1" si="25"/>
        <v>0.83289524791427672</v>
      </c>
      <c r="E237" t="str">
        <f ca="1">IF(D237&lt;=distribution!$D$5,distribution!$B$5,distribution!$B$6)</f>
        <v>B</v>
      </c>
      <c r="F237">
        <f t="shared" ca="1" si="26"/>
        <v>0.16813294820036429</v>
      </c>
      <c r="G237" t="str">
        <f ca="1">IF(F237&lt;=distribution!$D$7,distribution!$B$7,IF(F237&lt;=distribution!$D$8,distribution!$B$8,IF(F237&lt;=distribution!$D$9,distribution!$B$9,distribution!$B$10)))</f>
        <v>25-34</v>
      </c>
      <c r="H237">
        <f ca="1">VLOOKUP(G237,age_band!$A$1:$C$5,2,FALSE)</f>
        <v>25</v>
      </c>
      <c r="I237">
        <f ca="1">VLOOKUP(G237,age_band!$A$2:$C$5,3,FALSE)</f>
        <v>34</v>
      </c>
      <c r="J237">
        <f t="shared" ca="1" si="27"/>
        <v>33</v>
      </c>
      <c r="K237">
        <f t="shared" ca="1" si="28"/>
        <v>0.45886048506004695</v>
      </c>
      <c r="L237" t="str">
        <f ca="1">IF(K237&lt;=distribution!$D$11,distribution!$B$11,distribution!$B$12)</f>
        <v>N</v>
      </c>
      <c r="M237">
        <f t="shared" ca="1" si="29"/>
        <v>74498</v>
      </c>
      <c r="N237">
        <f t="shared" ca="1" si="30"/>
        <v>74498</v>
      </c>
    </row>
    <row r="238" spans="1:14" x14ac:dyDescent="0.45">
      <c r="A238">
        <f t="shared" si="31"/>
        <v>237</v>
      </c>
      <c r="B238">
        <f t="shared" ca="1" si="24"/>
        <v>0.684753012207451</v>
      </c>
      <c r="C238" t="str">
        <f ca="1">IF(B238&lt;=distribution!$D$2,distribution!$B$2,IF(B238&lt;=distribution!$D$3,distribution!$B$3,distribution!$B$4))</f>
        <v>QC</v>
      </c>
      <c r="D238">
        <f t="shared" ca="1" si="25"/>
        <v>0.10441600088419312</v>
      </c>
      <c r="E238" t="str">
        <f ca="1">IF(D238&lt;=distribution!$D$5,distribution!$B$5,distribution!$B$6)</f>
        <v>A</v>
      </c>
      <c r="F238">
        <f t="shared" ca="1" si="26"/>
        <v>0.65911284045139229</v>
      </c>
      <c r="G238" t="str">
        <f ca="1">IF(F238&lt;=distribution!$D$7,distribution!$B$7,IF(F238&lt;=distribution!$D$8,distribution!$B$8,IF(F238&lt;=distribution!$D$9,distribution!$B$9,distribution!$B$10)))</f>
        <v>45-54</v>
      </c>
      <c r="H238">
        <f ca="1">VLOOKUP(G238,age_band!$A$1:$C$5,2,FALSE)</f>
        <v>45</v>
      </c>
      <c r="I238">
        <f ca="1">VLOOKUP(G238,age_band!$A$2:$C$5,3,FALSE)</f>
        <v>54</v>
      </c>
      <c r="J238">
        <f t="shared" ca="1" si="27"/>
        <v>45</v>
      </c>
      <c r="K238">
        <f t="shared" ca="1" si="28"/>
        <v>0.42225223653320931</v>
      </c>
      <c r="L238" t="str">
        <f ca="1">IF(K238&lt;=distribution!$D$11,distribution!$B$11,distribution!$B$12)</f>
        <v>N</v>
      </c>
      <c r="M238">
        <f t="shared" ca="1" si="29"/>
        <v>118336</v>
      </c>
      <c r="N238">
        <f t="shared" ca="1" si="30"/>
        <v>118336</v>
      </c>
    </row>
    <row r="239" spans="1:14" x14ac:dyDescent="0.45">
      <c r="A239">
        <f t="shared" si="31"/>
        <v>238</v>
      </c>
      <c r="B239">
        <f t="shared" ca="1" si="24"/>
        <v>0.84635148047797037</v>
      </c>
      <c r="C239" t="str">
        <f ca="1">IF(B239&lt;=distribution!$D$2,distribution!$B$2,IF(B239&lt;=distribution!$D$3,distribution!$B$3,distribution!$B$4))</f>
        <v>BC</v>
      </c>
      <c r="D239">
        <f t="shared" ca="1" si="25"/>
        <v>7.918996702372072E-2</v>
      </c>
      <c r="E239" t="str">
        <f ca="1">IF(D239&lt;=distribution!$D$5,distribution!$B$5,distribution!$B$6)</f>
        <v>A</v>
      </c>
      <c r="F239">
        <f t="shared" ca="1" si="26"/>
        <v>0.86668313823211462</v>
      </c>
      <c r="G239" t="str">
        <f ca="1">IF(F239&lt;=distribution!$D$7,distribution!$B$7,IF(F239&lt;=distribution!$D$8,distribution!$B$8,IF(F239&lt;=distribution!$D$9,distribution!$B$9,distribution!$B$10)))</f>
        <v>55-64</v>
      </c>
      <c r="H239">
        <f ca="1">VLOOKUP(G239,age_band!$A$1:$C$5,2,FALSE)</f>
        <v>55</v>
      </c>
      <c r="I239">
        <f ca="1">VLOOKUP(G239,age_band!$A$2:$C$5,3,FALSE)</f>
        <v>64</v>
      </c>
      <c r="J239">
        <f t="shared" ca="1" si="27"/>
        <v>55</v>
      </c>
      <c r="K239">
        <f t="shared" ca="1" si="28"/>
        <v>2.6902475569236417E-2</v>
      </c>
      <c r="L239" t="str">
        <f ca="1">IF(K239&lt;=distribution!$D$11,distribution!$B$11,distribution!$B$12)</f>
        <v>N</v>
      </c>
      <c r="M239">
        <f t="shared" ca="1" si="29"/>
        <v>103311</v>
      </c>
      <c r="N239">
        <f t="shared" ca="1" si="30"/>
        <v>103311</v>
      </c>
    </row>
    <row r="240" spans="1:14" x14ac:dyDescent="0.45">
      <c r="A240">
        <f t="shared" si="31"/>
        <v>239</v>
      </c>
      <c r="B240">
        <f t="shared" ca="1" si="24"/>
        <v>1.0047205822351302E-2</v>
      </c>
      <c r="C240" t="str">
        <f ca="1">IF(B240&lt;=distribution!$D$2,distribution!$B$2,IF(B240&lt;=distribution!$D$3,distribution!$B$3,distribution!$B$4))</f>
        <v>ON</v>
      </c>
      <c r="D240">
        <f t="shared" ca="1" si="25"/>
        <v>0.63737478140718296</v>
      </c>
      <c r="E240" t="str">
        <f ca="1">IF(D240&lt;=distribution!$D$5,distribution!$B$5,distribution!$B$6)</f>
        <v>A</v>
      </c>
      <c r="F240">
        <f t="shared" ca="1" si="26"/>
        <v>0.79932936421825185</v>
      </c>
      <c r="G240" t="str">
        <f ca="1">IF(F240&lt;=distribution!$D$7,distribution!$B$7,IF(F240&lt;=distribution!$D$8,distribution!$B$8,IF(F240&lt;=distribution!$D$9,distribution!$B$9,distribution!$B$10)))</f>
        <v>45-54</v>
      </c>
      <c r="H240">
        <f ca="1">VLOOKUP(G240,age_band!$A$1:$C$5,2,FALSE)</f>
        <v>45</v>
      </c>
      <c r="I240">
        <f ca="1">VLOOKUP(G240,age_band!$A$2:$C$5,3,FALSE)</f>
        <v>54</v>
      </c>
      <c r="J240">
        <f t="shared" ca="1" si="27"/>
        <v>52</v>
      </c>
      <c r="K240">
        <f t="shared" ca="1" si="28"/>
        <v>0.47909731378638665</v>
      </c>
      <c r="L240" t="str">
        <f ca="1">IF(K240&lt;=distribution!$D$11,distribution!$B$11,distribution!$B$12)</f>
        <v>N</v>
      </c>
      <c r="M240">
        <f t="shared" ca="1" si="29"/>
        <v>127391</v>
      </c>
      <c r="N240">
        <f t="shared" ca="1" si="30"/>
        <v>127391</v>
      </c>
    </row>
    <row r="241" spans="1:14" x14ac:dyDescent="0.45">
      <c r="A241">
        <f t="shared" si="31"/>
        <v>240</v>
      </c>
      <c r="B241">
        <f t="shared" ca="1" si="24"/>
        <v>0.88174728024595039</v>
      </c>
      <c r="C241" t="str">
        <f ca="1">IF(B241&lt;=distribution!$D$2,distribution!$B$2,IF(B241&lt;=distribution!$D$3,distribution!$B$3,distribution!$B$4))</f>
        <v>BC</v>
      </c>
      <c r="D241">
        <f t="shared" ca="1" si="25"/>
        <v>0.17149228344569278</v>
      </c>
      <c r="E241" t="str">
        <f ca="1">IF(D241&lt;=distribution!$D$5,distribution!$B$5,distribution!$B$6)</f>
        <v>A</v>
      </c>
      <c r="F241">
        <f t="shared" ca="1" si="26"/>
        <v>0.44925025980673772</v>
      </c>
      <c r="G241" t="str">
        <f ca="1">IF(F241&lt;=distribution!$D$7,distribution!$B$7,IF(F241&lt;=distribution!$D$8,distribution!$B$8,IF(F241&lt;=distribution!$D$9,distribution!$B$9,distribution!$B$10)))</f>
        <v>35-44</v>
      </c>
      <c r="H241">
        <f ca="1">VLOOKUP(G241,age_band!$A$1:$C$5,2,FALSE)</f>
        <v>35</v>
      </c>
      <c r="I241">
        <f ca="1">VLOOKUP(G241,age_band!$A$2:$C$5,3,FALSE)</f>
        <v>44</v>
      </c>
      <c r="J241">
        <f t="shared" ca="1" si="27"/>
        <v>39</v>
      </c>
      <c r="K241">
        <f t="shared" ca="1" si="28"/>
        <v>0.11654283577683688</v>
      </c>
      <c r="L241" t="str">
        <f ca="1">IF(K241&lt;=distribution!$D$11,distribution!$B$11,distribution!$B$12)</f>
        <v>N</v>
      </c>
      <c r="M241">
        <f t="shared" ca="1" si="29"/>
        <v>56128</v>
      </c>
      <c r="N241">
        <f t="shared" ca="1" si="30"/>
        <v>56128</v>
      </c>
    </row>
    <row r="242" spans="1:14" x14ac:dyDescent="0.45">
      <c r="A242">
        <f t="shared" si="31"/>
        <v>241</v>
      </c>
      <c r="B242">
        <f t="shared" ca="1" si="24"/>
        <v>1.5006322296770014E-3</v>
      </c>
      <c r="C242" t="str">
        <f ca="1">IF(B242&lt;=distribution!$D$2,distribution!$B$2,IF(B242&lt;=distribution!$D$3,distribution!$B$3,distribution!$B$4))</f>
        <v>ON</v>
      </c>
      <c r="D242">
        <f t="shared" ca="1" si="25"/>
        <v>0.55553238511428904</v>
      </c>
      <c r="E242" t="str">
        <f ca="1">IF(D242&lt;=distribution!$D$5,distribution!$B$5,distribution!$B$6)</f>
        <v>A</v>
      </c>
      <c r="F242">
        <f t="shared" ca="1" si="26"/>
        <v>0.28869358804562661</v>
      </c>
      <c r="G242" t="str">
        <f ca="1">IF(F242&lt;=distribution!$D$7,distribution!$B$7,IF(F242&lt;=distribution!$D$8,distribution!$B$8,IF(F242&lt;=distribution!$D$9,distribution!$B$9,distribution!$B$10)))</f>
        <v>35-44</v>
      </c>
      <c r="H242">
        <f ca="1">VLOOKUP(G242,age_band!$A$1:$C$5,2,FALSE)</f>
        <v>35</v>
      </c>
      <c r="I242">
        <f ca="1">VLOOKUP(G242,age_band!$A$2:$C$5,3,FALSE)</f>
        <v>44</v>
      </c>
      <c r="J242">
        <f t="shared" ca="1" si="27"/>
        <v>39</v>
      </c>
      <c r="K242">
        <f t="shared" ca="1" si="28"/>
        <v>0.90510941465051886</v>
      </c>
      <c r="L242" t="str">
        <f ca="1">IF(K242&lt;=distribution!$D$11,distribution!$B$11,distribution!$B$12)</f>
        <v>Y</v>
      </c>
      <c r="M242">
        <f t="shared" ca="1" si="29"/>
        <v>54201</v>
      </c>
      <c r="N242">
        <f t="shared" ca="1" si="30"/>
        <v>54201</v>
      </c>
    </row>
    <row r="243" spans="1:14" x14ac:dyDescent="0.45">
      <c r="A243">
        <f t="shared" si="31"/>
        <v>242</v>
      </c>
      <c r="B243">
        <f t="shared" ca="1" si="24"/>
        <v>0.72229006711036536</v>
      </c>
      <c r="C243" t="str">
        <f ca="1">IF(B243&lt;=distribution!$D$2,distribution!$B$2,IF(B243&lt;=distribution!$D$3,distribution!$B$3,distribution!$B$4))</f>
        <v>QC</v>
      </c>
      <c r="D243">
        <f t="shared" ca="1" si="25"/>
        <v>0.82967134741408144</v>
      </c>
      <c r="E243" t="str">
        <f ca="1">IF(D243&lt;=distribution!$D$5,distribution!$B$5,distribution!$B$6)</f>
        <v>B</v>
      </c>
      <c r="F243">
        <f t="shared" ca="1" si="26"/>
        <v>0.32729346652795754</v>
      </c>
      <c r="G243" t="str">
        <f ca="1">IF(F243&lt;=distribution!$D$7,distribution!$B$7,IF(F243&lt;=distribution!$D$8,distribution!$B$8,IF(F243&lt;=distribution!$D$9,distribution!$B$9,distribution!$B$10)))</f>
        <v>35-44</v>
      </c>
      <c r="H243">
        <f ca="1">VLOOKUP(G243,age_band!$A$1:$C$5,2,FALSE)</f>
        <v>35</v>
      </c>
      <c r="I243">
        <f ca="1">VLOOKUP(G243,age_band!$A$2:$C$5,3,FALSE)</f>
        <v>44</v>
      </c>
      <c r="J243">
        <f t="shared" ca="1" si="27"/>
        <v>36</v>
      </c>
      <c r="K243">
        <f t="shared" ca="1" si="28"/>
        <v>0.11868894429293952</v>
      </c>
      <c r="L243" t="str">
        <f ca="1">IF(K243&lt;=distribution!$D$11,distribution!$B$11,distribution!$B$12)</f>
        <v>N</v>
      </c>
      <c r="M243">
        <f t="shared" ca="1" si="29"/>
        <v>60954</v>
      </c>
      <c r="N243">
        <f t="shared" ca="1" si="30"/>
        <v>60954</v>
      </c>
    </row>
    <row r="244" spans="1:14" x14ac:dyDescent="0.45">
      <c r="A244">
        <f t="shared" si="31"/>
        <v>243</v>
      </c>
      <c r="B244">
        <f t="shared" ca="1" si="24"/>
        <v>0.52451802987266738</v>
      </c>
      <c r="C244" t="str">
        <f ca="1">IF(B244&lt;=distribution!$D$2,distribution!$B$2,IF(B244&lt;=distribution!$D$3,distribution!$B$3,distribution!$B$4))</f>
        <v>ON</v>
      </c>
      <c r="D244">
        <f t="shared" ca="1" si="25"/>
        <v>0.82752145670776878</v>
      </c>
      <c r="E244" t="str">
        <f ca="1">IF(D244&lt;=distribution!$D$5,distribution!$B$5,distribution!$B$6)</f>
        <v>B</v>
      </c>
      <c r="F244">
        <f t="shared" ca="1" si="26"/>
        <v>0.20545255170250121</v>
      </c>
      <c r="G244" t="str">
        <f ca="1">IF(F244&lt;=distribution!$D$7,distribution!$B$7,IF(F244&lt;=distribution!$D$8,distribution!$B$8,IF(F244&lt;=distribution!$D$9,distribution!$B$9,distribution!$B$10)))</f>
        <v>25-34</v>
      </c>
      <c r="H244">
        <f ca="1">VLOOKUP(G244,age_band!$A$1:$C$5,2,FALSE)</f>
        <v>25</v>
      </c>
      <c r="I244">
        <f ca="1">VLOOKUP(G244,age_band!$A$2:$C$5,3,FALSE)</f>
        <v>34</v>
      </c>
      <c r="J244">
        <f t="shared" ca="1" si="27"/>
        <v>28</v>
      </c>
      <c r="K244">
        <f t="shared" ca="1" si="28"/>
        <v>0.67730146730780294</v>
      </c>
      <c r="L244" t="str">
        <f ca="1">IF(K244&lt;=distribution!$D$11,distribution!$B$11,distribution!$B$12)</f>
        <v>N</v>
      </c>
      <c r="M244">
        <f t="shared" ca="1" si="29"/>
        <v>60557</v>
      </c>
      <c r="N244">
        <f t="shared" ca="1" si="30"/>
        <v>60557</v>
      </c>
    </row>
    <row r="245" spans="1:14" x14ac:dyDescent="0.45">
      <c r="A245">
        <f t="shared" si="31"/>
        <v>244</v>
      </c>
      <c r="B245">
        <f t="shared" ca="1" si="24"/>
        <v>0.8936227152471693</v>
      </c>
      <c r="C245" t="str">
        <f ca="1">IF(B245&lt;=distribution!$D$2,distribution!$B$2,IF(B245&lt;=distribution!$D$3,distribution!$B$3,distribution!$B$4))</f>
        <v>BC</v>
      </c>
      <c r="D245">
        <f t="shared" ca="1" si="25"/>
        <v>0.61535669683090644</v>
      </c>
      <c r="E245" t="str">
        <f ca="1">IF(D245&lt;=distribution!$D$5,distribution!$B$5,distribution!$B$6)</f>
        <v>A</v>
      </c>
      <c r="F245">
        <f t="shared" ca="1" si="26"/>
        <v>0.20299103970261811</v>
      </c>
      <c r="G245" t="str">
        <f ca="1">IF(F245&lt;=distribution!$D$7,distribution!$B$7,IF(F245&lt;=distribution!$D$8,distribution!$B$8,IF(F245&lt;=distribution!$D$9,distribution!$B$9,distribution!$B$10)))</f>
        <v>25-34</v>
      </c>
      <c r="H245">
        <f ca="1">VLOOKUP(G245,age_band!$A$1:$C$5,2,FALSE)</f>
        <v>25</v>
      </c>
      <c r="I245">
        <f ca="1">VLOOKUP(G245,age_band!$A$2:$C$5,3,FALSE)</f>
        <v>34</v>
      </c>
      <c r="J245">
        <f t="shared" ca="1" si="27"/>
        <v>32</v>
      </c>
      <c r="K245">
        <f t="shared" ca="1" si="28"/>
        <v>5.4973625950729632E-2</v>
      </c>
      <c r="L245" t="str">
        <f ca="1">IF(K245&lt;=distribution!$D$11,distribution!$B$11,distribution!$B$12)</f>
        <v>N</v>
      </c>
      <c r="M245">
        <f t="shared" ca="1" si="29"/>
        <v>128905</v>
      </c>
      <c r="N245">
        <f t="shared" ca="1" si="30"/>
        <v>128905</v>
      </c>
    </row>
    <row r="246" spans="1:14" x14ac:dyDescent="0.45">
      <c r="A246">
        <f t="shared" si="31"/>
        <v>245</v>
      </c>
      <c r="B246">
        <f t="shared" ca="1" si="24"/>
        <v>0.45466699443724645</v>
      </c>
      <c r="C246" t="str">
        <f ca="1">IF(B246&lt;=distribution!$D$2,distribution!$B$2,IF(B246&lt;=distribution!$D$3,distribution!$B$3,distribution!$B$4))</f>
        <v>ON</v>
      </c>
      <c r="D246">
        <f t="shared" ca="1" si="25"/>
        <v>0.77805138099156534</v>
      </c>
      <c r="E246" t="str">
        <f ca="1">IF(D246&lt;=distribution!$D$5,distribution!$B$5,distribution!$B$6)</f>
        <v>B</v>
      </c>
      <c r="F246">
        <f t="shared" ca="1" si="26"/>
        <v>0.7576314467596269</v>
      </c>
      <c r="G246" t="str">
        <f ca="1">IF(F246&lt;=distribution!$D$7,distribution!$B$7,IF(F246&lt;=distribution!$D$8,distribution!$B$8,IF(F246&lt;=distribution!$D$9,distribution!$B$9,distribution!$B$10)))</f>
        <v>45-54</v>
      </c>
      <c r="H246">
        <f ca="1">VLOOKUP(G246,age_band!$A$1:$C$5,2,FALSE)</f>
        <v>45</v>
      </c>
      <c r="I246">
        <f ca="1">VLOOKUP(G246,age_band!$A$2:$C$5,3,FALSE)</f>
        <v>54</v>
      </c>
      <c r="J246">
        <f t="shared" ca="1" si="27"/>
        <v>53</v>
      </c>
      <c r="K246">
        <f t="shared" ca="1" si="28"/>
        <v>0.97816236549659163</v>
      </c>
      <c r="L246" t="str">
        <f ca="1">IF(K246&lt;=distribution!$D$11,distribution!$B$11,distribution!$B$12)</f>
        <v>Y</v>
      </c>
      <c r="M246">
        <f t="shared" ca="1" si="29"/>
        <v>69849</v>
      </c>
      <c r="N246">
        <f t="shared" ca="1" si="30"/>
        <v>69849</v>
      </c>
    </row>
    <row r="247" spans="1:14" x14ac:dyDescent="0.45">
      <c r="A247">
        <f t="shared" si="31"/>
        <v>246</v>
      </c>
      <c r="B247">
        <f t="shared" ca="1" si="24"/>
        <v>0.490862931446295</v>
      </c>
      <c r="C247" t="str">
        <f ca="1">IF(B247&lt;=distribution!$D$2,distribution!$B$2,IF(B247&lt;=distribution!$D$3,distribution!$B$3,distribution!$B$4))</f>
        <v>ON</v>
      </c>
      <c r="D247">
        <f t="shared" ca="1" si="25"/>
        <v>0.87655184683197274</v>
      </c>
      <c r="E247" t="str">
        <f ca="1">IF(D247&lt;=distribution!$D$5,distribution!$B$5,distribution!$B$6)</f>
        <v>B</v>
      </c>
      <c r="F247">
        <f t="shared" ca="1" si="26"/>
        <v>7.6533161523677506E-2</v>
      </c>
      <c r="G247" t="str">
        <f ca="1">IF(F247&lt;=distribution!$D$7,distribution!$B$7,IF(F247&lt;=distribution!$D$8,distribution!$B$8,IF(F247&lt;=distribution!$D$9,distribution!$B$9,distribution!$B$10)))</f>
        <v>25-34</v>
      </c>
      <c r="H247">
        <f ca="1">VLOOKUP(G247,age_band!$A$1:$C$5,2,FALSE)</f>
        <v>25</v>
      </c>
      <c r="I247">
        <f ca="1">VLOOKUP(G247,age_band!$A$2:$C$5,3,FALSE)</f>
        <v>34</v>
      </c>
      <c r="J247">
        <f t="shared" ca="1" si="27"/>
        <v>27</v>
      </c>
      <c r="K247">
        <f t="shared" ca="1" si="28"/>
        <v>0.866794354545669</v>
      </c>
      <c r="L247" t="str">
        <f ca="1">IF(K247&lt;=distribution!$D$11,distribution!$B$11,distribution!$B$12)</f>
        <v>Y</v>
      </c>
      <c r="M247">
        <f t="shared" ca="1" si="29"/>
        <v>54909</v>
      </c>
      <c r="N247">
        <f t="shared" ca="1" si="30"/>
        <v>54909</v>
      </c>
    </row>
    <row r="248" spans="1:14" x14ac:dyDescent="0.45">
      <c r="A248">
        <f t="shared" si="31"/>
        <v>247</v>
      </c>
      <c r="B248">
        <f t="shared" ca="1" si="24"/>
        <v>0.15008529915557189</v>
      </c>
      <c r="C248" t="str">
        <f ca="1">IF(B248&lt;=distribution!$D$2,distribution!$B$2,IF(B248&lt;=distribution!$D$3,distribution!$B$3,distribution!$B$4))</f>
        <v>ON</v>
      </c>
      <c r="D248">
        <f t="shared" ca="1" si="25"/>
        <v>6.9216282832715414E-2</v>
      </c>
      <c r="E248" t="str">
        <f ca="1">IF(D248&lt;=distribution!$D$5,distribution!$B$5,distribution!$B$6)</f>
        <v>A</v>
      </c>
      <c r="F248">
        <f t="shared" ca="1" si="26"/>
        <v>0.41678226986422762</v>
      </c>
      <c r="G248" t="str">
        <f ca="1">IF(F248&lt;=distribution!$D$7,distribution!$B$7,IF(F248&lt;=distribution!$D$8,distribution!$B$8,IF(F248&lt;=distribution!$D$9,distribution!$B$9,distribution!$B$10)))</f>
        <v>35-44</v>
      </c>
      <c r="H248">
        <f ca="1">VLOOKUP(G248,age_band!$A$1:$C$5,2,FALSE)</f>
        <v>35</v>
      </c>
      <c r="I248">
        <f ca="1">VLOOKUP(G248,age_band!$A$2:$C$5,3,FALSE)</f>
        <v>44</v>
      </c>
      <c r="J248">
        <f t="shared" ca="1" si="27"/>
        <v>42</v>
      </c>
      <c r="K248">
        <f t="shared" ca="1" si="28"/>
        <v>0.65896619627057362</v>
      </c>
      <c r="L248" t="str">
        <f ca="1">IF(K248&lt;=distribution!$D$11,distribution!$B$11,distribution!$B$12)</f>
        <v>N</v>
      </c>
      <c r="M248">
        <f t="shared" ca="1" si="29"/>
        <v>95140</v>
      </c>
      <c r="N248">
        <f t="shared" ca="1" si="30"/>
        <v>95140</v>
      </c>
    </row>
    <row r="249" spans="1:14" x14ac:dyDescent="0.45">
      <c r="A249">
        <f t="shared" si="31"/>
        <v>248</v>
      </c>
      <c r="B249">
        <f t="shared" ca="1" si="24"/>
        <v>0.40310412179457211</v>
      </c>
      <c r="C249" t="str">
        <f ca="1">IF(B249&lt;=distribution!$D$2,distribution!$B$2,IF(B249&lt;=distribution!$D$3,distribution!$B$3,distribution!$B$4))</f>
        <v>ON</v>
      </c>
      <c r="D249">
        <f t="shared" ca="1" si="25"/>
        <v>0.45525662947296985</v>
      </c>
      <c r="E249" t="str">
        <f ca="1">IF(D249&lt;=distribution!$D$5,distribution!$B$5,distribution!$B$6)</f>
        <v>A</v>
      </c>
      <c r="F249">
        <f t="shared" ca="1" si="26"/>
        <v>0.54461017379146637</v>
      </c>
      <c r="G249" t="str">
        <f ca="1">IF(F249&lt;=distribution!$D$7,distribution!$B$7,IF(F249&lt;=distribution!$D$8,distribution!$B$8,IF(F249&lt;=distribution!$D$9,distribution!$B$9,distribution!$B$10)))</f>
        <v>35-44</v>
      </c>
      <c r="H249">
        <f ca="1">VLOOKUP(G249,age_band!$A$1:$C$5,2,FALSE)</f>
        <v>35</v>
      </c>
      <c r="I249">
        <f ca="1">VLOOKUP(G249,age_band!$A$2:$C$5,3,FALSE)</f>
        <v>44</v>
      </c>
      <c r="J249">
        <f t="shared" ca="1" si="27"/>
        <v>43</v>
      </c>
      <c r="K249">
        <f t="shared" ca="1" si="28"/>
        <v>0.59894751462947848</v>
      </c>
      <c r="L249" t="str">
        <f ca="1">IF(K249&lt;=distribution!$D$11,distribution!$B$11,distribution!$B$12)</f>
        <v>N</v>
      </c>
      <c r="M249">
        <f t="shared" ca="1" si="29"/>
        <v>72583</v>
      </c>
      <c r="N249">
        <f t="shared" ca="1" si="30"/>
        <v>72583</v>
      </c>
    </row>
    <row r="250" spans="1:14" x14ac:dyDescent="0.45">
      <c r="A250">
        <f t="shared" si="31"/>
        <v>249</v>
      </c>
      <c r="B250">
        <f t="shared" ca="1" si="24"/>
        <v>0.32343161513067653</v>
      </c>
      <c r="C250" t="str">
        <f ca="1">IF(B250&lt;=distribution!$D$2,distribution!$B$2,IF(B250&lt;=distribution!$D$3,distribution!$B$3,distribution!$B$4))</f>
        <v>ON</v>
      </c>
      <c r="D250">
        <f t="shared" ca="1" si="25"/>
        <v>0.99561541072738158</v>
      </c>
      <c r="E250" t="str">
        <f ca="1">IF(D250&lt;=distribution!$D$5,distribution!$B$5,distribution!$B$6)</f>
        <v>B</v>
      </c>
      <c r="F250">
        <f t="shared" ca="1" si="26"/>
        <v>0.68836282980065011</v>
      </c>
      <c r="G250" t="str">
        <f ca="1">IF(F250&lt;=distribution!$D$7,distribution!$B$7,IF(F250&lt;=distribution!$D$8,distribution!$B$8,IF(F250&lt;=distribution!$D$9,distribution!$B$9,distribution!$B$10)))</f>
        <v>45-54</v>
      </c>
      <c r="H250">
        <f ca="1">VLOOKUP(G250,age_band!$A$1:$C$5,2,FALSE)</f>
        <v>45</v>
      </c>
      <c r="I250">
        <f ca="1">VLOOKUP(G250,age_band!$A$2:$C$5,3,FALSE)</f>
        <v>54</v>
      </c>
      <c r="J250">
        <f t="shared" ca="1" si="27"/>
        <v>49</v>
      </c>
      <c r="K250">
        <f t="shared" ca="1" si="28"/>
        <v>0.676761416196763</v>
      </c>
      <c r="L250" t="str">
        <f ca="1">IF(K250&lt;=distribution!$D$11,distribution!$B$11,distribution!$B$12)</f>
        <v>N</v>
      </c>
      <c r="M250">
        <f t="shared" ca="1" si="29"/>
        <v>53261</v>
      </c>
      <c r="N250">
        <f t="shared" ca="1" si="30"/>
        <v>53261</v>
      </c>
    </row>
    <row r="251" spans="1:14" x14ac:dyDescent="0.45">
      <c r="A251">
        <f t="shared" si="31"/>
        <v>250</v>
      </c>
      <c r="B251">
        <f t="shared" ca="1" si="24"/>
        <v>0.6165631752170575</v>
      </c>
      <c r="C251" t="str">
        <f ca="1">IF(B251&lt;=distribution!$D$2,distribution!$B$2,IF(B251&lt;=distribution!$D$3,distribution!$B$3,distribution!$B$4))</f>
        <v>QC</v>
      </c>
      <c r="D251">
        <f t="shared" ca="1" si="25"/>
        <v>0.94749239001042718</v>
      </c>
      <c r="E251" t="str">
        <f ca="1">IF(D251&lt;=distribution!$D$5,distribution!$B$5,distribution!$B$6)</f>
        <v>B</v>
      </c>
      <c r="F251">
        <f t="shared" ca="1" si="26"/>
        <v>0.66487909046986782</v>
      </c>
      <c r="G251" t="str">
        <f ca="1">IF(F251&lt;=distribution!$D$7,distribution!$B$7,IF(F251&lt;=distribution!$D$8,distribution!$B$8,IF(F251&lt;=distribution!$D$9,distribution!$B$9,distribution!$B$10)))</f>
        <v>45-54</v>
      </c>
      <c r="H251">
        <f ca="1">VLOOKUP(G251,age_band!$A$1:$C$5,2,FALSE)</f>
        <v>45</v>
      </c>
      <c r="I251">
        <f ca="1">VLOOKUP(G251,age_band!$A$2:$C$5,3,FALSE)</f>
        <v>54</v>
      </c>
      <c r="J251">
        <f t="shared" ca="1" si="27"/>
        <v>52</v>
      </c>
      <c r="K251">
        <f t="shared" ca="1" si="28"/>
        <v>0.85874184875640414</v>
      </c>
      <c r="L251" t="str">
        <f ca="1">IF(K251&lt;=distribution!$D$11,distribution!$B$11,distribution!$B$12)</f>
        <v>Y</v>
      </c>
      <c r="M251">
        <f t="shared" ca="1" si="29"/>
        <v>79901</v>
      </c>
      <c r="N251">
        <f t="shared" ca="1" si="30"/>
        <v>79901</v>
      </c>
    </row>
    <row r="252" spans="1:14" x14ac:dyDescent="0.45">
      <c r="A252">
        <f t="shared" si="31"/>
        <v>251</v>
      </c>
      <c r="B252">
        <f t="shared" ca="1" si="24"/>
        <v>0.65898505772995175</v>
      </c>
      <c r="C252" t="str">
        <f ca="1">IF(B252&lt;=distribution!$D$2,distribution!$B$2,IF(B252&lt;=distribution!$D$3,distribution!$B$3,distribution!$B$4))</f>
        <v>QC</v>
      </c>
      <c r="D252">
        <f t="shared" ca="1" si="25"/>
        <v>1.6351670885178415E-2</v>
      </c>
      <c r="E252" t="str">
        <f ca="1">IF(D252&lt;=distribution!$D$5,distribution!$B$5,distribution!$B$6)</f>
        <v>A</v>
      </c>
      <c r="F252">
        <f t="shared" ca="1" si="26"/>
        <v>0.14925166233558296</v>
      </c>
      <c r="G252" t="str">
        <f ca="1">IF(F252&lt;=distribution!$D$7,distribution!$B$7,IF(F252&lt;=distribution!$D$8,distribution!$B$8,IF(F252&lt;=distribution!$D$9,distribution!$B$9,distribution!$B$10)))</f>
        <v>25-34</v>
      </c>
      <c r="H252">
        <f ca="1">VLOOKUP(G252,age_band!$A$1:$C$5,2,FALSE)</f>
        <v>25</v>
      </c>
      <c r="I252">
        <f ca="1">VLOOKUP(G252,age_band!$A$2:$C$5,3,FALSE)</f>
        <v>34</v>
      </c>
      <c r="J252">
        <f t="shared" ca="1" si="27"/>
        <v>31</v>
      </c>
      <c r="K252">
        <f t="shared" ca="1" si="28"/>
        <v>9.8241042019127089E-2</v>
      </c>
      <c r="L252" t="str">
        <f ca="1">IF(K252&lt;=distribution!$D$11,distribution!$B$11,distribution!$B$12)</f>
        <v>N</v>
      </c>
      <c r="M252">
        <f t="shared" ca="1" si="29"/>
        <v>53483</v>
      </c>
      <c r="N252">
        <f t="shared" ca="1" si="30"/>
        <v>53483</v>
      </c>
    </row>
    <row r="253" spans="1:14" x14ac:dyDescent="0.45">
      <c r="A253">
        <f t="shared" si="31"/>
        <v>252</v>
      </c>
      <c r="B253">
        <f t="shared" ca="1" si="24"/>
        <v>0.941347084915092</v>
      </c>
      <c r="C253" t="str">
        <f ca="1">IF(B253&lt;=distribution!$D$2,distribution!$B$2,IF(B253&lt;=distribution!$D$3,distribution!$B$3,distribution!$B$4))</f>
        <v>BC</v>
      </c>
      <c r="D253">
        <f t="shared" ca="1" si="25"/>
        <v>0.97164060575087541</v>
      </c>
      <c r="E253" t="str">
        <f ca="1">IF(D253&lt;=distribution!$D$5,distribution!$B$5,distribution!$B$6)</f>
        <v>B</v>
      </c>
      <c r="F253">
        <f t="shared" ca="1" si="26"/>
        <v>8.636077052973401E-2</v>
      </c>
      <c r="G253" t="str">
        <f ca="1">IF(F253&lt;=distribution!$D$7,distribution!$B$7,IF(F253&lt;=distribution!$D$8,distribution!$B$8,IF(F253&lt;=distribution!$D$9,distribution!$B$9,distribution!$B$10)))</f>
        <v>25-34</v>
      </c>
      <c r="H253">
        <f ca="1">VLOOKUP(G253,age_band!$A$1:$C$5,2,FALSE)</f>
        <v>25</v>
      </c>
      <c r="I253">
        <f ca="1">VLOOKUP(G253,age_band!$A$2:$C$5,3,FALSE)</f>
        <v>34</v>
      </c>
      <c r="J253">
        <f t="shared" ca="1" si="27"/>
        <v>28</v>
      </c>
      <c r="K253">
        <f t="shared" ca="1" si="28"/>
        <v>0.54711905506292735</v>
      </c>
      <c r="L253" t="str">
        <f ca="1">IF(K253&lt;=distribution!$D$11,distribution!$B$11,distribution!$B$12)</f>
        <v>N</v>
      </c>
      <c r="M253">
        <f t="shared" ca="1" si="29"/>
        <v>71480</v>
      </c>
      <c r="N253">
        <f t="shared" ca="1" si="30"/>
        <v>71480</v>
      </c>
    </row>
    <row r="254" spans="1:14" x14ac:dyDescent="0.45">
      <c r="A254">
        <f t="shared" si="31"/>
        <v>253</v>
      </c>
      <c r="B254">
        <f t="shared" ca="1" si="24"/>
        <v>0.36721232615842647</v>
      </c>
      <c r="C254" t="str">
        <f ca="1">IF(B254&lt;=distribution!$D$2,distribution!$B$2,IF(B254&lt;=distribution!$D$3,distribution!$B$3,distribution!$B$4))</f>
        <v>ON</v>
      </c>
      <c r="D254">
        <f t="shared" ca="1" si="25"/>
        <v>0.87593378718282344</v>
      </c>
      <c r="E254" t="str">
        <f ca="1">IF(D254&lt;=distribution!$D$5,distribution!$B$5,distribution!$B$6)</f>
        <v>B</v>
      </c>
      <c r="F254">
        <f t="shared" ca="1" si="26"/>
        <v>0.10672684842346203</v>
      </c>
      <c r="G254" t="str">
        <f ca="1">IF(F254&lt;=distribution!$D$7,distribution!$B$7,IF(F254&lt;=distribution!$D$8,distribution!$B$8,IF(F254&lt;=distribution!$D$9,distribution!$B$9,distribution!$B$10)))</f>
        <v>25-34</v>
      </c>
      <c r="H254">
        <f ca="1">VLOOKUP(G254,age_band!$A$1:$C$5,2,FALSE)</f>
        <v>25</v>
      </c>
      <c r="I254">
        <f ca="1">VLOOKUP(G254,age_band!$A$2:$C$5,3,FALSE)</f>
        <v>34</v>
      </c>
      <c r="J254">
        <f t="shared" ca="1" si="27"/>
        <v>30</v>
      </c>
      <c r="K254">
        <f t="shared" ca="1" si="28"/>
        <v>0.53502950011372352</v>
      </c>
      <c r="L254" t="str">
        <f ca="1">IF(K254&lt;=distribution!$D$11,distribution!$B$11,distribution!$B$12)</f>
        <v>N</v>
      </c>
      <c r="M254">
        <f t="shared" ca="1" si="29"/>
        <v>67917</v>
      </c>
      <c r="N254">
        <f t="shared" ca="1" si="30"/>
        <v>67917</v>
      </c>
    </row>
    <row r="255" spans="1:14" x14ac:dyDescent="0.45">
      <c r="A255">
        <f t="shared" si="31"/>
        <v>254</v>
      </c>
      <c r="B255">
        <f t="shared" ca="1" si="24"/>
        <v>0.69824646080891384</v>
      </c>
      <c r="C255" t="str">
        <f ca="1">IF(B255&lt;=distribution!$D$2,distribution!$B$2,IF(B255&lt;=distribution!$D$3,distribution!$B$3,distribution!$B$4))</f>
        <v>QC</v>
      </c>
      <c r="D255">
        <f t="shared" ca="1" si="25"/>
        <v>0.87073615539938232</v>
      </c>
      <c r="E255" t="str">
        <f ca="1">IF(D255&lt;=distribution!$D$5,distribution!$B$5,distribution!$B$6)</f>
        <v>B</v>
      </c>
      <c r="F255">
        <f t="shared" ca="1" si="26"/>
        <v>0.65400535864339393</v>
      </c>
      <c r="G255" t="str">
        <f ca="1">IF(F255&lt;=distribution!$D$7,distribution!$B$7,IF(F255&lt;=distribution!$D$8,distribution!$B$8,IF(F255&lt;=distribution!$D$9,distribution!$B$9,distribution!$B$10)))</f>
        <v>45-54</v>
      </c>
      <c r="H255">
        <f ca="1">VLOOKUP(G255,age_band!$A$1:$C$5,2,FALSE)</f>
        <v>45</v>
      </c>
      <c r="I255">
        <f ca="1">VLOOKUP(G255,age_band!$A$2:$C$5,3,FALSE)</f>
        <v>54</v>
      </c>
      <c r="J255">
        <f t="shared" ca="1" si="27"/>
        <v>49</v>
      </c>
      <c r="K255">
        <f t="shared" ca="1" si="28"/>
        <v>0.28305175627605828</v>
      </c>
      <c r="L255" t="str">
        <f ca="1">IF(K255&lt;=distribution!$D$11,distribution!$B$11,distribution!$B$12)</f>
        <v>N</v>
      </c>
      <c r="M255">
        <f t="shared" ca="1" si="29"/>
        <v>66594</v>
      </c>
      <c r="N255">
        <f t="shared" ca="1" si="30"/>
        <v>66594</v>
      </c>
    </row>
    <row r="256" spans="1:14" x14ac:dyDescent="0.45">
      <c r="A256">
        <f t="shared" si="31"/>
        <v>255</v>
      </c>
      <c r="B256">
        <f t="shared" ca="1" si="24"/>
        <v>0.62299804187433927</v>
      </c>
      <c r="C256" t="str">
        <f ca="1">IF(B256&lt;=distribution!$D$2,distribution!$B$2,IF(B256&lt;=distribution!$D$3,distribution!$B$3,distribution!$B$4))</f>
        <v>QC</v>
      </c>
      <c r="D256">
        <f t="shared" ca="1" si="25"/>
        <v>0.53545547137202532</v>
      </c>
      <c r="E256" t="str">
        <f ca="1">IF(D256&lt;=distribution!$D$5,distribution!$B$5,distribution!$B$6)</f>
        <v>A</v>
      </c>
      <c r="F256">
        <f t="shared" ca="1" si="26"/>
        <v>0.90347253237109337</v>
      </c>
      <c r="G256" t="str">
        <f ca="1">IF(F256&lt;=distribution!$D$7,distribution!$B$7,IF(F256&lt;=distribution!$D$8,distribution!$B$8,IF(F256&lt;=distribution!$D$9,distribution!$B$9,distribution!$B$10)))</f>
        <v>55-64</v>
      </c>
      <c r="H256">
        <f ca="1">VLOOKUP(G256,age_band!$A$1:$C$5,2,FALSE)</f>
        <v>55</v>
      </c>
      <c r="I256">
        <f ca="1">VLOOKUP(G256,age_band!$A$2:$C$5,3,FALSE)</f>
        <v>64</v>
      </c>
      <c r="J256">
        <f t="shared" ca="1" si="27"/>
        <v>64</v>
      </c>
      <c r="K256">
        <f t="shared" ca="1" si="28"/>
        <v>0.33155386018291677</v>
      </c>
      <c r="L256" t="str">
        <f ca="1">IF(K256&lt;=distribution!$D$11,distribution!$B$11,distribution!$B$12)</f>
        <v>N</v>
      </c>
      <c r="M256">
        <f t="shared" ca="1" si="29"/>
        <v>108488</v>
      </c>
      <c r="N256">
        <f t="shared" ca="1" si="30"/>
        <v>108488</v>
      </c>
    </row>
    <row r="257" spans="1:14" x14ac:dyDescent="0.45">
      <c r="A257">
        <f t="shared" si="31"/>
        <v>256</v>
      </c>
      <c r="B257">
        <f t="shared" ca="1" si="24"/>
        <v>0.55568063425794645</v>
      </c>
      <c r="C257" t="str">
        <f ca="1">IF(B257&lt;=distribution!$D$2,distribution!$B$2,IF(B257&lt;=distribution!$D$3,distribution!$B$3,distribution!$B$4))</f>
        <v>QC</v>
      </c>
      <c r="D257">
        <f t="shared" ca="1" si="25"/>
        <v>2.5767515283449116E-2</v>
      </c>
      <c r="E257" t="str">
        <f ca="1">IF(D257&lt;=distribution!$D$5,distribution!$B$5,distribution!$B$6)</f>
        <v>A</v>
      </c>
      <c r="F257">
        <f t="shared" ca="1" si="26"/>
        <v>0.47793278662679817</v>
      </c>
      <c r="G257" t="str">
        <f ca="1">IF(F257&lt;=distribution!$D$7,distribution!$B$7,IF(F257&lt;=distribution!$D$8,distribution!$B$8,IF(F257&lt;=distribution!$D$9,distribution!$B$9,distribution!$B$10)))</f>
        <v>35-44</v>
      </c>
      <c r="H257">
        <f ca="1">VLOOKUP(G257,age_band!$A$1:$C$5,2,FALSE)</f>
        <v>35</v>
      </c>
      <c r="I257">
        <f ca="1">VLOOKUP(G257,age_band!$A$2:$C$5,3,FALSE)</f>
        <v>44</v>
      </c>
      <c r="J257">
        <f t="shared" ca="1" si="27"/>
        <v>39</v>
      </c>
      <c r="K257">
        <f t="shared" ca="1" si="28"/>
        <v>0.15421023241281306</v>
      </c>
      <c r="L257" t="str">
        <f ca="1">IF(K257&lt;=distribution!$D$11,distribution!$B$11,distribution!$B$12)</f>
        <v>N</v>
      </c>
      <c r="M257">
        <f t="shared" ca="1" si="29"/>
        <v>71034</v>
      </c>
      <c r="N257">
        <f t="shared" ca="1" si="30"/>
        <v>71034</v>
      </c>
    </row>
    <row r="258" spans="1:14" x14ac:dyDescent="0.45">
      <c r="A258">
        <f t="shared" si="31"/>
        <v>257</v>
      </c>
      <c r="B258">
        <f t="shared" ca="1" si="24"/>
        <v>0.17624760110190463</v>
      </c>
      <c r="C258" t="str">
        <f ca="1">IF(B258&lt;=distribution!$D$2,distribution!$B$2,IF(B258&lt;=distribution!$D$3,distribution!$B$3,distribution!$B$4))</f>
        <v>ON</v>
      </c>
      <c r="D258">
        <f t="shared" ca="1" si="25"/>
        <v>0.33554215686325184</v>
      </c>
      <c r="E258" t="str">
        <f ca="1">IF(D258&lt;=distribution!$D$5,distribution!$B$5,distribution!$B$6)</f>
        <v>A</v>
      </c>
      <c r="F258">
        <f t="shared" ca="1" si="26"/>
        <v>0.9636264340362477</v>
      </c>
      <c r="G258" t="str">
        <f ca="1">IF(F258&lt;=distribution!$D$7,distribution!$B$7,IF(F258&lt;=distribution!$D$8,distribution!$B$8,IF(F258&lt;=distribution!$D$9,distribution!$B$9,distribution!$B$10)))</f>
        <v>55-64</v>
      </c>
      <c r="H258">
        <f ca="1">VLOOKUP(G258,age_band!$A$1:$C$5,2,FALSE)</f>
        <v>55</v>
      </c>
      <c r="I258">
        <f ca="1">VLOOKUP(G258,age_band!$A$2:$C$5,3,FALSE)</f>
        <v>64</v>
      </c>
      <c r="J258">
        <f t="shared" ca="1" si="27"/>
        <v>61</v>
      </c>
      <c r="K258">
        <f t="shared" ca="1" si="28"/>
        <v>0.66049864617681431</v>
      </c>
      <c r="L258" t="str">
        <f ca="1">IF(K258&lt;=distribution!$D$11,distribution!$B$11,distribution!$B$12)</f>
        <v>N</v>
      </c>
      <c r="M258">
        <f t="shared" ca="1" si="29"/>
        <v>51933</v>
      </c>
      <c r="N258">
        <f t="shared" ca="1" si="30"/>
        <v>51933</v>
      </c>
    </row>
    <row r="259" spans="1:14" x14ac:dyDescent="0.45">
      <c r="A259">
        <f t="shared" si="31"/>
        <v>258</v>
      </c>
      <c r="B259">
        <f t="shared" ref="B259:B322" ca="1" si="32">RAND()</f>
        <v>0.3650198134185062</v>
      </c>
      <c r="C259" t="str">
        <f ca="1">IF(B259&lt;=distribution!$D$2,distribution!$B$2,IF(B259&lt;=distribution!$D$3,distribution!$B$3,distribution!$B$4))</f>
        <v>ON</v>
      </c>
      <c r="D259">
        <f t="shared" ref="D259:D322" ca="1" si="33">RAND()</f>
        <v>0.11326521487569585</v>
      </c>
      <c r="E259" t="str">
        <f ca="1">IF(D259&lt;=distribution!$D$5,distribution!$B$5,distribution!$B$6)</f>
        <v>A</v>
      </c>
      <c r="F259">
        <f t="shared" ref="F259:F322" ca="1" si="34">RAND()</f>
        <v>0.99731605873647622</v>
      </c>
      <c r="G259" t="str">
        <f ca="1">IF(F259&lt;=distribution!$D$7,distribution!$B$7,IF(F259&lt;=distribution!$D$8,distribution!$B$8,IF(F259&lt;=distribution!$D$9,distribution!$B$9,distribution!$B$10)))</f>
        <v>55-64</v>
      </c>
      <c r="H259">
        <f ca="1">VLOOKUP(G259,age_band!$A$1:$C$5,2,FALSE)</f>
        <v>55</v>
      </c>
      <c r="I259">
        <f ca="1">VLOOKUP(G259,age_band!$A$2:$C$5,3,FALSE)</f>
        <v>64</v>
      </c>
      <c r="J259">
        <f t="shared" ref="J259:J322" ca="1" si="35">RANDBETWEEN(H259,I259)</f>
        <v>59</v>
      </c>
      <c r="K259">
        <f t="shared" ref="K259:K322" ca="1" si="36">RAND()</f>
        <v>0.74847697630970722</v>
      </c>
      <c r="L259" t="str">
        <f ca="1">IF(K259&lt;=distribution!$D$11,distribution!$B$11,distribution!$B$12)</f>
        <v>N</v>
      </c>
      <c r="M259">
        <f t="shared" ref="M259:M322" ca="1" si="37">IF(E259="A",RANDBETWEEN(50000,130000),RANDBETWEEN(45000,80000))</f>
        <v>77804</v>
      </c>
      <c r="N259">
        <f t="shared" ref="N259:N322" ca="1" si="38">MIN(M259*1,200000)</f>
        <v>77804</v>
      </c>
    </row>
    <row r="260" spans="1:14" x14ac:dyDescent="0.45">
      <c r="A260">
        <f t="shared" ref="A260:A323" si="39">A259+1</f>
        <v>259</v>
      </c>
      <c r="B260">
        <f t="shared" ca="1" si="32"/>
        <v>7.1278018684836186E-2</v>
      </c>
      <c r="C260" t="str">
        <f ca="1">IF(B260&lt;=distribution!$D$2,distribution!$B$2,IF(B260&lt;=distribution!$D$3,distribution!$B$3,distribution!$B$4))</f>
        <v>ON</v>
      </c>
      <c r="D260">
        <f t="shared" ca="1" si="33"/>
        <v>0.76338312821440535</v>
      </c>
      <c r="E260" t="str">
        <f ca="1">IF(D260&lt;=distribution!$D$5,distribution!$B$5,distribution!$B$6)</f>
        <v>B</v>
      </c>
      <c r="F260">
        <f t="shared" ca="1" si="34"/>
        <v>0.57097537681218746</v>
      </c>
      <c r="G260" t="str">
        <f ca="1">IF(F260&lt;=distribution!$D$7,distribution!$B$7,IF(F260&lt;=distribution!$D$8,distribution!$B$8,IF(F260&lt;=distribution!$D$9,distribution!$B$9,distribution!$B$10)))</f>
        <v>35-44</v>
      </c>
      <c r="H260">
        <f ca="1">VLOOKUP(G260,age_band!$A$1:$C$5,2,FALSE)</f>
        <v>35</v>
      </c>
      <c r="I260">
        <f ca="1">VLOOKUP(G260,age_band!$A$2:$C$5,3,FALSE)</f>
        <v>44</v>
      </c>
      <c r="J260">
        <f t="shared" ca="1" si="35"/>
        <v>37</v>
      </c>
      <c r="K260">
        <f t="shared" ca="1" si="36"/>
        <v>0.24044393920993845</v>
      </c>
      <c r="L260" t="str">
        <f ca="1">IF(K260&lt;=distribution!$D$11,distribution!$B$11,distribution!$B$12)</f>
        <v>N</v>
      </c>
      <c r="M260">
        <f t="shared" ca="1" si="37"/>
        <v>48221</v>
      </c>
      <c r="N260">
        <f t="shared" ca="1" si="38"/>
        <v>48221</v>
      </c>
    </row>
    <row r="261" spans="1:14" x14ac:dyDescent="0.45">
      <c r="A261">
        <f t="shared" si="39"/>
        <v>260</v>
      </c>
      <c r="B261">
        <f t="shared" ca="1" si="32"/>
        <v>0.34968380564711066</v>
      </c>
      <c r="C261" t="str">
        <f ca="1">IF(B261&lt;=distribution!$D$2,distribution!$B$2,IF(B261&lt;=distribution!$D$3,distribution!$B$3,distribution!$B$4))</f>
        <v>ON</v>
      </c>
      <c r="D261">
        <f t="shared" ca="1" si="33"/>
        <v>0.45153700244420691</v>
      </c>
      <c r="E261" t="str">
        <f ca="1">IF(D261&lt;=distribution!$D$5,distribution!$B$5,distribution!$B$6)</f>
        <v>A</v>
      </c>
      <c r="F261">
        <f t="shared" ca="1" si="34"/>
        <v>0.16571644401298247</v>
      </c>
      <c r="G261" t="str">
        <f ca="1">IF(F261&lt;=distribution!$D$7,distribution!$B$7,IF(F261&lt;=distribution!$D$8,distribution!$B$8,IF(F261&lt;=distribution!$D$9,distribution!$B$9,distribution!$B$10)))</f>
        <v>25-34</v>
      </c>
      <c r="H261">
        <f ca="1">VLOOKUP(G261,age_band!$A$1:$C$5,2,FALSE)</f>
        <v>25</v>
      </c>
      <c r="I261">
        <f ca="1">VLOOKUP(G261,age_band!$A$2:$C$5,3,FALSE)</f>
        <v>34</v>
      </c>
      <c r="J261">
        <f t="shared" ca="1" si="35"/>
        <v>28</v>
      </c>
      <c r="K261">
        <f t="shared" ca="1" si="36"/>
        <v>0.8915624677793349</v>
      </c>
      <c r="L261" t="str">
        <f ca="1">IF(K261&lt;=distribution!$D$11,distribution!$B$11,distribution!$B$12)</f>
        <v>Y</v>
      </c>
      <c r="M261">
        <f t="shared" ca="1" si="37"/>
        <v>116736</v>
      </c>
      <c r="N261">
        <f t="shared" ca="1" si="38"/>
        <v>116736</v>
      </c>
    </row>
    <row r="262" spans="1:14" x14ac:dyDescent="0.45">
      <c r="A262">
        <f t="shared" si="39"/>
        <v>261</v>
      </c>
      <c r="B262">
        <f t="shared" ca="1" si="32"/>
        <v>0.33374027132286144</v>
      </c>
      <c r="C262" t="str">
        <f ca="1">IF(B262&lt;=distribution!$D$2,distribution!$B$2,IF(B262&lt;=distribution!$D$3,distribution!$B$3,distribution!$B$4))</f>
        <v>ON</v>
      </c>
      <c r="D262">
        <f t="shared" ca="1" si="33"/>
        <v>0.98162662136459</v>
      </c>
      <c r="E262" t="str">
        <f ca="1">IF(D262&lt;=distribution!$D$5,distribution!$B$5,distribution!$B$6)</f>
        <v>B</v>
      </c>
      <c r="F262">
        <f t="shared" ca="1" si="34"/>
        <v>0.10358529893674007</v>
      </c>
      <c r="G262" t="str">
        <f ca="1">IF(F262&lt;=distribution!$D$7,distribution!$B$7,IF(F262&lt;=distribution!$D$8,distribution!$B$8,IF(F262&lt;=distribution!$D$9,distribution!$B$9,distribution!$B$10)))</f>
        <v>25-34</v>
      </c>
      <c r="H262">
        <f ca="1">VLOOKUP(G262,age_band!$A$1:$C$5,2,FALSE)</f>
        <v>25</v>
      </c>
      <c r="I262">
        <f ca="1">VLOOKUP(G262,age_band!$A$2:$C$5,3,FALSE)</f>
        <v>34</v>
      </c>
      <c r="J262">
        <f t="shared" ca="1" si="35"/>
        <v>33</v>
      </c>
      <c r="K262">
        <f t="shared" ca="1" si="36"/>
        <v>0.19704372722662922</v>
      </c>
      <c r="L262" t="str">
        <f ca="1">IF(K262&lt;=distribution!$D$11,distribution!$B$11,distribution!$B$12)</f>
        <v>N</v>
      </c>
      <c r="M262">
        <f t="shared" ca="1" si="37"/>
        <v>68543</v>
      </c>
      <c r="N262">
        <f t="shared" ca="1" si="38"/>
        <v>68543</v>
      </c>
    </row>
    <row r="263" spans="1:14" x14ac:dyDescent="0.45">
      <c r="A263">
        <f t="shared" si="39"/>
        <v>262</v>
      </c>
      <c r="B263">
        <f t="shared" ca="1" si="32"/>
        <v>0.26956225101092224</v>
      </c>
      <c r="C263" t="str">
        <f ca="1">IF(B263&lt;=distribution!$D$2,distribution!$B$2,IF(B263&lt;=distribution!$D$3,distribution!$B$3,distribution!$B$4))</f>
        <v>ON</v>
      </c>
      <c r="D263">
        <f t="shared" ca="1" si="33"/>
        <v>0.49862465403170575</v>
      </c>
      <c r="E263" t="str">
        <f ca="1">IF(D263&lt;=distribution!$D$5,distribution!$B$5,distribution!$B$6)</f>
        <v>A</v>
      </c>
      <c r="F263">
        <f t="shared" ca="1" si="34"/>
        <v>0.9301510239102635</v>
      </c>
      <c r="G263" t="str">
        <f ca="1">IF(F263&lt;=distribution!$D$7,distribution!$B$7,IF(F263&lt;=distribution!$D$8,distribution!$B$8,IF(F263&lt;=distribution!$D$9,distribution!$B$9,distribution!$B$10)))</f>
        <v>55-64</v>
      </c>
      <c r="H263">
        <f ca="1">VLOOKUP(G263,age_band!$A$1:$C$5,2,FALSE)</f>
        <v>55</v>
      </c>
      <c r="I263">
        <f ca="1">VLOOKUP(G263,age_band!$A$2:$C$5,3,FALSE)</f>
        <v>64</v>
      </c>
      <c r="J263">
        <f t="shared" ca="1" si="35"/>
        <v>64</v>
      </c>
      <c r="K263">
        <f t="shared" ca="1" si="36"/>
        <v>6.7967179833693048E-2</v>
      </c>
      <c r="L263" t="str">
        <f ca="1">IF(K263&lt;=distribution!$D$11,distribution!$B$11,distribution!$B$12)</f>
        <v>N</v>
      </c>
      <c r="M263">
        <f t="shared" ca="1" si="37"/>
        <v>82839</v>
      </c>
      <c r="N263">
        <f t="shared" ca="1" si="38"/>
        <v>82839</v>
      </c>
    </row>
    <row r="264" spans="1:14" x14ac:dyDescent="0.45">
      <c r="A264">
        <f t="shared" si="39"/>
        <v>263</v>
      </c>
      <c r="B264">
        <f t="shared" ca="1" si="32"/>
        <v>0.15159034212434241</v>
      </c>
      <c r="C264" t="str">
        <f ca="1">IF(B264&lt;=distribution!$D$2,distribution!$B$2,IF(B264&lt;=distribution!$D$3,distribution!$B$3,distribution!$B$4))</f>
        <v>ON</v>
      </c>
      <c r="D264">
        <f t="shared" ca="1" si="33"/>
        <v>0.42196811337975015</v>
      </c>
      <c r="E264" t="str">
        <f ca="1">IF(D264&lt;=distribution!$D$5,distribution!$B$5,distribution!$B$6)</f>
        <v>A</v>
      </c>
      <c r="F264">
        <f t="shared" ca="1" si="34"/>
        <v>0.15230896863835341</v>
      </c>
      <c r="G264" t="str">
        <f ca="1">IF(F264&lt;=distribution!$D$7,distribution!$B$7,IF(F264&lt;=distribution!$D$8,distribution!$B$8,IF(F264&lt;=distribution!$D$9,distribution!$B$9,distribution!$B$10)))</f>
        <v>25-34</v>
      </c>
      <c r="H264">
        <f ca="1">VLOOKUP(G264,age_band!$A$1:$C$5,2,FALSE)</f>
        <v>25</v>
      </c>
      <c r="I264">
        <f ca="1">VLOOKUP(G264,age_band!$A$2:$C$5,3,FALSE)</f>
        <v>34</v>
      </c>
      <c r="J264">
        <f t="shared" ca="1" si="35"/>
        <v>28</v>
      </c>
      <c r="K264">
        <f t="shared" ca="1" si="36"/>
        <v>0.64417459239348296</v>
      </c>
      <c r="L264" t="str">
        <f ca="1">IF(K264&lt;=distribution!$D$11,distribution!$B$11,distribution!$B$12)</f>
        <v>N</v>
      </c>
      <c r="M264">
        <f t="shared" ca="1" si="37"/>
        <v>105239</v>
      </c>
      <c r="N264">
        <f t="shared" ca="1" si="38"/>
        <v>105239</v>
      </c>
    </row>
    <row r="265" spans="1:14" x14ac:dyDescent="0.45">
      <c r="A265">
        <f t="shared" si="39"/>
        <v>264</v>
      </c>
      <c r="B265">
        <f t="shared" ca="1" si="32"/>
        <v>0.12204836842079236</v>
      </c>
      <c r="C265" t="str">
        <f ca="1">IF(B265&lt;=distribution!$D$2,distribution!$B$2,IF(B265&lt;=distribution!$D$3,distribution!$B$3,distribution!$B$4))</f>
        <v>ON</v>
      </c>
      <c r="D265">
        <f t="shared" ca="1" si="33"/>
        <v>0.84498776977997581</v>
      </c>
      <c r="E265" t="str">
        <f ca="1">IF(D265&lt;=distribution!$D$5,distribution!$B$5,distribution!$B$6)</f>
        <v>B</v>
      </c>
      <c r="F265">
        <f t="shared" ca="1" si="34"/>
        <v>0.94789519077708195</v>
      </c>
      <c r="G265" t="str">
        <f ca="1">IF(F265&lt;=distribution!$D$7,distribution!$B$7,IF(F265&lt;=distribution!$D$8,distribution!$B$8,IF(F265&lt;=distribution!$D$9,distribution!$B$9,distribution!$B$10)))</f>
        <v>55-64</v>
      </c>
      <c r="H265">
        <f ca="1">VLOOKUP(G265,age_band!$A$1:$C$5,2,FALSE)</f>
        <v>55</v>
      </c>
      <c r="I265">
        <f ca="1">VLOOKUP(G265,age_band!$A$2:$C$5,3,FALSE)</f>
        <v>64</v>
      </c>
      <c r="J265">
        <f t="shared" ca="1" si="35"/>
        <v>60</v>
      </c>
      <c r="K265">
        <f t="shared" ca="1" si="36"/>
        <v>3.9418602914318424E-3</v>
      </c>
      <c r="L265" t="str">
        <f ca="1">IF(K265&lt;=distribution!$D$11,distribution!$B$11,distribution!$B$12)</f>
        <v>N</v>
      </c>
      <c r="M265">
        <f t="shared" ca="1" si="37"/>
        <v>64927</v>
      </c>
      <c r="N265">
        <f t="shared" ca="1" si="38"/>
        <v>64927</v>
      </c>
    </row>
    <row r="266" spans="1:14" x14ac:dyDescent="0.45">
      <c r="A266">
        <f t="shared" si="39"/>
        <v>265</v>
      </c>
      <c r="B266">
        <f t="shared" ca="1" si="32"/>
        <v>0.39102944325451339</v>
      </c>
      <c r="C266" t="str">
        <f ca="1">IF(B266&lt;=distribution!$D$2,distribution!$B$2,IF(B266&lt;=distribution!$D$3,distribution!$B$3,distribution!$B$4))</f>
        <v>ON</v>
      </c>
      <c r="D266">
        <f t="shared" ca="1" si="33"/>
        <v>0.87647512569463504</v>
      </c>
      <c r="E266" t="str">
        <f ca="1">IF(D266&lt;=distribution!$D$5,distribution!$B$5,distribution!$B$6)</f>
        <v>B</v>
      </c>
      <c r="F266">
        <f t="shared" ca="1" si="34"/>
        <v>0.29953199230007599</v>
      </c>
      <c r="G266" t="str">
        <f ca="1">IF(F266&lt;=distribution!$D$7,distribution!$B$7,IF(F266&lt;=distribution!$D$8,distribution!$B$8,IF(F266&lt;=distribution!$D$9,distribution!$B$9,distribution!$B$10)))</f>
        <v>35-44</v>
      </c>
      <c r="H266">
        <f ca="1">VLOOKUP(G266,age_band!$A$1:$C$5,2,FALSE)</f>
        <v>35</v>
      </c>
      <c r="I266">
        <f ca="1">VLOOKUP(G266,age_band!$A$2:$C$5,3,FALSE)</f>
        <v>44</v>
      </c>
      <c r="J266">
        <f t="shared" ca="1" si="35"/>
        <v>40</v>
      </c>
      <c r="K266">
        <f t="shared" ca="1" si="36"/>
        <v>0.18320459494808272</v>
      </c>
      <c r="L266" t="str">
        <f ca="1">IF(K266&lt;=distribution!$D$11,distribution!$B$11,distribution!$B$12)</f>
        <v>N</v>
      </c>
      <c r="M266">
        <f t="shared" ca="1" si="37"/>
        <v>66184</v>
      </c>
      <c r="N266">
        <f t="shared" ca="1" si="38"/>
        <v>66184</v>
      </c>
    </row>
    <row r="267" spans="1:14" x14ac:dyDescent="0.45">
      <c r="A267">
        <f t="shared" si="39"/>
        <v>266</v>
      </c>
      <c r="B267">
        <f t="shared" ca="1" si="32"/>
        <v>0.48302075508433651</v>
      </c>
      <c r="C267" t="str">
        <f ca="1">IF(B267&lt;=distribution!$D$2,distribution!$B$2,IF(B267&lt;=distribution!$D$3,distribution!$B$3,distribution!$B$4))</f>
        <v>ON</v>
      </c>
      <c r="D267">
        <f t="shared" ca="1" si="33"/>
        <v>0.24359492300799113</v>
      </c>
      <c r="E267" t="str">
        <f ca="1">IF(D267&lt;=distribution!$D$5,distribution!$B$5,distribution!$B$6)</f>
        <v>A</v>
      </c>
      <c r="F267">
        <f t="shared" ca="1" si="34"/>
        <v>0.72648291836541068</v>
      </c>
      <c r="G267" t="str">
        <f ca="1">IF(F267&lt;=distribution!$D$7,distribution!$B$7,IF(F267&lt;=distribution!$D$8,distribution!$B$8,IF(F267&lt;=distribution!$D$9,distribution!$B$9,distribution!$B$10)))</f>
        <v>45-54</v>
      </c>
      <c r="H267">
        <f ca="1">VLOOKUP(G267,age_band!$A$1:$C$5,2,FALSE)</f>
        <v>45</v>
      </c>
      <c r="I267">
        <f ca="1">VLOOKUP(G267,age_band!$A$2:$C$5,3,FALSE)</f>
        <v>54</v>
      </c>
      <c r="J267">
        <f t="shared" ca="1" si="35"/>
        <v>53</v>
      </c>
      <c r="K267">
        <f t="shared" ca="1" si="36"/>
        <v>0.89875318056924958</v>
      </c>
      <c r="L267" t="str">
        <f ca="1">IF(K267&lt;=distribution!$D$11,distribution!$B$11,distribution!$B$12)</f>
        <v>Y</v>
      </c>
      <c r="M267">
        <f t="shared" ca="1" si="37"/>
        <v>100005</v>
      </c>
      <c r="N267">
        <f t="shared" ca="1" si="38"/>
        <v>100005</v>
      </c>
    </row>
    <row r="268" spans="1:14" x14ac:dyDescent="0.45">
      <c r="A268">
        <f t="shared" si="39"/>
        <v>267</v>
      </c>
      <c r="B268">
        <f t="shared" ca="1" si="32"/>
        <v>0.13520174447847599</v>
      </c>
      <c r="C268" t="str">
        <f ca="1">IF(B268&lt;=distribution!$D$2,distribution!$B$2,IF(B268&lt;=distribution!$D$3,distribution!$B$3,distribution!$B$4))</f>
        <v>ON</v>
      </c>
      <c r="D268">
        <f t="shared" ca="1" si="33"/>
        <v>0.89076783681499294</v>
      </c>
      <c r="E268" t="str">
        <f ca="1">IF(D268&lt;=distribution!$D$5,distribution!$B$5,distribution!$B$6)</f>
        <v>B</v>
      </c>
      <c r="F268">
        <f t="shared" ca="1" si="34"/>
        <v>7.1810601356557591E-2</v>
      </c>
      <c r="G268" t="str">
        <f ca="1">IF(F268&lt;=distribution!$D$7,distribution!$B$7,IF(F268&lt;=distribution!$D$8,distribution!$B$8,IF(F268&lt;=distribution!$D$9,distribution!$B$9,distribution!$B$10)))</f>
        <v>25-34</v>
      </c>
      <c r="H268">
        <f ca="1">VLOOKUP(G268,age_band!$A$1:$C$5,2,FALSE)</f>
        <v>25</v>
      </c>
      <c r="I268">
        <f ca="1">VLOOKUP(G268,age_band!$A$2:$C$5,3,FALSE)</f>
        <v>34</v>
      </c>
      <c r="J268">
        <f t="shared" ca="1" si="35"/>
        <v>29</v>
      </c>
      <c r="K268">
        <f t="shared" ca="1" si="36"/>
        <v>0.56203911096185377</v>
      </c>
      <c r="L268" t="str">
        <f ca="1">IF(K268&lt;=distribution!$D$11,distribution!$B$11,distribution!$B$12)</f>
        <v>N</v>
      </c>
      <c r="M268">
        <f t="shared" ca="1" si="37"/>
        <v>70767</v>
      </c>
      <c r="N268">
        <f t="shared" ca="1" si="38"/>
        <v>70767</v>
      </c>
    </row>
    <row r="269" spans="1:14" x14ac:dyDescent="0.45">
      <c r="A269">
        <f t="shared" si="39"/>
        <v>268</v>
      </c>
      <c r="B269">
        <f t="shared" ca="1" si="32"/>
        <v>0.43424240629777167</v>
      </c>
      <c r="C269" t="str">
        <f ca="1">IF(B269&lt;=distribution!$D$2,distribution!$B$2,IF(B269&lt;=distribution!$D$3,distribution!$B$3,distribution!$B$4))</f>
        <v>ON</v>
      </c>
      <c r="D269">
        <f t="shared" ca="1" si="33"/>
        <v>0.36834703026109594</v>
      </c>
      <c r="E269" t="str">
        <f ca="1">IF(D269&lt;=distribution!$D$5,distribution!$B$5,distribution!$B$6)</f>
        <v>A</v>
      </c>
      <c r="F269">
        <f t="shared" ca="1" si="34"/>
        <v>0.40661683685981165</v>
      </c>
      <c r="G269" t="str">
        <f ca="1">IF(F269&lt;=distribution!$D$7,distribution!$B$7,IF(F269&lt;=distribution!$D$8,distribution!$B$8,IF(F269&lt;=distribution!$D$9,distribution!$B$9,distribution!$B$10)))</f>
        <v>35-44</v>
      </c>
      <c r="H269">
        <f ca="1">VLOOKUP(G269,age_band!$A$1:$C$5,2,FALSE)</f>
        <v>35</v>
      </c>
      <c r="I269">
        <f ca="1">VLOOKUP(G269,age_band!$A$2:$C$5,3,FALSE)</f>
        <v>44</v>
      </c>
      <c r="J269">
        <f t="shared" ca="1" si="35"/>
        <v>36</v>
      </c>
      <c r="K269">
        <f t="shared" ca="1" si="36"/>
        <v>0.91940014075910792</v>
      </c>
      <c r="L269" t="str">
        <f ca="1">IF(K269&lt;=distribution!$D$11,distribution!$B$11,distribution!$B$12)</f>
        <v>Y</v>
      </c>
      <c r="M269">
        <f t="shared" ca="1" si="37"/>
        <v>103133</v>
      </c>
      <c r="N269">
        <f t="shared" ca="1" si="38"/>
        <v>103133</v>
      </c>
    </row>
    <row r="270" spans="1:14" x14ac:dyDescent="0.45">
      <c r="A270">
        <f t="shared" si="39"/>
        <v>269</v>
      </c>
      <c r="B270">
        <f t="shared" ca="1" si="32"/>
        <v>0.6934637064461554</v>
      </c>
      <c r="C270" t="str">
        <f ca="1">IF(B270&lt;=distribution!$D$2,distribution!$B$2,IF(B270&lt;=distribution!$D$3,distribution!$B$3,distribution!$B$4))</f>
        <v>QC</v>
      </c>
      <c r="D270">
        <f t="shared" ca="1" si="33"/>
        <v>7.0167418279261651E-2</v>
      </c>
      <c r="E270" t="str">
        <f ca="1">IF(D270&lt;=distribution!$D$5,distribution!$B$5,distribution!$B$6)</f>
        <v>A</v>
      </c>
      <c r="F270">
        <f t="shared" ca="1" si="34"/>
        <v>0.79130901132057618</v>
      </c>
      <c r="G270" t="str">
        <f ca="1">IF(F270&lt;=distribution!$D$7,distribution!$B$7,IF(F270&lt;=distribution!$D$8,distribution!$B$8,IF(F270&lt;=distribution!$D$9,distribution!$B$9,distribution!$B$10)))</f>
        <v>45-54</v>
      </c>
      <c r="H270">
        <f ca="1">VLOOKUP(G270,age_band!$A$1:$C$5,2,FALSE)</f>
        <v>45</v>
      </c>
      <c r="I270">
        <f ca="1">VLOOKUP(G270,age_band!$A$2:$C$5,3,FALSE)</f>
        <v>54</v>
      </c>
      <c r="J270">
        <f t="shared" ca="1" si="35"/>
        <v>45</v>
      </c>
      <c r="K270">
        <f t="shared" ca="1" si="36"/>
        <v>1.8785521257620785E-2</v>
      </c>
      <c r="L270" t="str">
        <f ca="1">IF(K270&lt;=distribution!$D$11,distribution!$B$11,distribution!$B$12)</f>
        <v>N</v>
      </c>
      <c r="M270">
        <f t="shared" ca="1" si="37"/>
        <v>76370</v>
      </c>
      <c r="N270">
        <f t="shared" ca="1" si="38"/>
        <v>76370</v>
      </c>
    </row>
    <row r="271" spans="1:14" x14ac:dyDescent="0.45">
      <c r="A271">
        <f t="shared" si="39"/>
        <v>270</v>
      </c>
      <c r="B271">
        <f t="shared" ca="1" si="32"/>
        <v>0.67088802082084809</v>
      </c>
      <c r="C271" t="str">
        <f ca="1">IF(B271&lt;=distribution!$D$2,distribution!$B$2,IF(B271&lt;=distribution!$D$3,distribution!$B$3,distribution!$B$4))</f>
        <v>QC</v>
      </c>
      <c r="D271">
        <f t="shared" ca="1" si="33"/>
        <v>0.61439077236607775</v>
      </c>
      <c r="E271" t="str">
        <f ca="1">IF(D271&lt;=distribution!$D$5,distribution!$B$5,distribution!$B$6)</f>
        <v>A</v>
      </c>
      <c r="F271">
        <f t="shared" ca="1" si="34"/>
        <v>0.92019141576543007</v>
      </c>
      <c r="G271" t="str">
        <f ca="1">IF(F271&lt;=distribution!$D$7,distribution!$B$7,IF(F271&lt;=distribution!$D$8,distribution!$B$8,IF(F271&lt;=distribution!$D$9,distribution!$B$9,distribution!$B$10)))</f>
        <v>55-64</v>
      </c>
      <c r="H271">
        <f ca="1">VLOOKUP(G271,age_band!$A$1:$C$5,2,FALSE)</f>
        <v>55</v>
      </c>
      <c r="I271">
        <f ca="1">VLOOKUP(G271,age_band!$A$2:$C$5,3,FALSE)</f>
        <v>64</v>
      </c>
      <c r="J271">
        <f t="shared" ca="1" si="35"/>
        <v>55</v>
      </c>
      <c r="K271">
        <f t="shared" ca="1" si="36"/>
        <v>0.45269583987900797</v>
      </c>
      <c r="L271" t="str">
        <f ca="1">IF(K271&lt;=distribution!$D$11,distribution!$B$11,distribution!$B$12)</f>
        <v>N</v>
      </c>
      <c r="M271">
        <f t="shared" ca="1" si="37"/>
        <v>101579</v>
      </c>
      <c r="N271">
        <f t="shared" ca="1" si="38"/>
        <v>101579</v>
      </c>
    </row>
    <row r="272" spans="1:14" x14ac:dyDescent="0.45">
      <c r="A272">
        <f t="shared" si="39"/>
        <v>271</v>
      </c>
      <c r="B272">
        <f t="shared" ca="1" si="32"/>
        <v>0.27455571707873982</v>
      </c>
      <c r="C272" t="str">
        <f ca="1">IF(B272&lt;=distribution!$D$2,distribution!$B$2,IF(B272&lt;=distribution!$D$3,distribution!$B$3,distribution!$B$4))</f>
        <v>ON</v>
      </c>
      <c r="D272">
        <f t="shared" ca="1" si="33"/>
        <v>0.65345709583665101</v>
      </c>
      <c r="E272" t="str">
        <f ca="1">IF(D272&lt;=distribution!$D$5,distribution!$B$5,distribution!$B$6)</f>
        <v>B</v>
      </c>
      <c r="F272">
        <f t="shared" ca="1" si="34"/>
        <v>0.29109072379455425</v>
      </c>
      <c r="G272" t="str">
        <f ca="1">IF(F272&lt;=distribution!$D$7,distribution!$B$7,IF(F272&lt;=distribution!$D$8,distribution!$B$8,IF(F272&lt;=distribution!$D$9,distribution!$B$9,distribution!$B$10)))</f>
        <v>35-44</v>
      </c>
      <c r="H272">
        <f ca="1">VLOOKUP(G272,age_band!$A$1:$C$5,2,FALSE)</f>
        <v>35</v>
      </c>
      <c r="I272">
        <f ca="1">VLOOKUP(G272,age_band!$A$2:$C$5,3,FALSE)</f>
        <v>44</v>
      </c>
      <c r="J272">
        <f t="shared" ca="1" si="35"/>
        <v>39</v>
      </c>
      <c r="K272">
        <f t="shared" ca="1" si="36"/>
        <v>0.43073464033028719</v>
      </c>
      <c r="L272" t="str">
        <f ca="1">IF(K272&lt;=distribution!$D$11,distribution!$B$11,distribution!$B$12)</f>
        <v>N</v>
      </c>
      <c r="M272">
        <f t="shared" ca="1" si="37"/>
        <v>67786</v>
      </c>
      <c r="N272">
        <f t="shared" ca="1" si="38"/>
        <v>67786</v>
      </c>
    </row>
    <row r="273" spans="1:14" x14ac:dyDescent="0.45">
      <c r="A273">
        <f t="shared" si="39"/>
        <v>272</v>
      </c>
      <c r="B273">
        <f t="shared" ca="1" si="32"/>
        <v>0.94517136864625095</v>
      </c>
      <c r="C273" t="str">
        <f ca="1">IF(B273&lt;=distribution!$D$2,distribution!$B$2,IF(B273&lt;=distribution!$D$3,distribution!$B$3,distribution!$B$4))</f>
        <v>BC</v>
      </c>
      <c r="D273">
        <f t="shared" ca="1" si="33"/>
        <v>0.76385301479677459</v>
      </c>
      <c r="E273" t="str">
        <f ca="1">IF(D273&lt;=distribution!$D$5,distribution!$B$5,distribution!$B$6)</f>
        <v>B</v>
      </c>
      <c r="F273">
        <f t="shared" ca="1" si="34"/>
        <v>0.5836104177369329</v>
      </c>
      <c r="G273" t="str">
        <f ca="1">IF(F273&lt;=distribution!$D$7,distribution!$B$7,IF(F273&lt;=distribution!$D$8,distribution!$B$8,IF(F273&lt;=distribution!$D$9,distribution!$B$9,distribution!$B$10)))</f>
        <v>35-44</v>
      </c>
      <c r="H273">
        <f ca="1">VLOOKUP(G273,age_band!$A$1:$C$5,2,FALSE)</f>
        <v>35</v>
      </c>
      <c r="I273">
        <f ca="1">VLOOKUP(G273,age_band!$A$2:$C$5,3,FALSE)</f>
        <v>44</v>
      </c>
      <c r="J273">
        <f t="shared" ca="1" si="35"/>
        <v>38</v>
      </c>
      <c r="K273">
        <f t="shared" ca="1" si="36"/>
        <v>0.71391555565050335</v>
      </c>
      <c r="L273" t="str">
        <f ca="1">IF(K273&lt;=distribution!$D$11,distribution!$B$11,distribution!$B$12)</f>
        <v>N</v>
      </c>
      <c r="M273">
        <f t="shared" ca="1" si="37"/>
        <v>51098</v>
      </c>
      <c r="N273">
        <f t="shared" ca="1" si="38"/>
        <v>51098</v>
      </c>
    </row>
    <row r="274" spans="1:14" x14ac:dyDescent="0.45">
      <c r="A274">
        <f t="shared" si="39"/>
        <v>273</v>
      </c>
      <c r="B274">
        <f t="shared" ca="1" si="32"/>
        <v>0.20897794535381342</v>
      </c>
      <c r="C274" t="str">
        <f ca="1">IF(B274&lt;=distribution!$D$2,distribution!$B$2,IF(B274&lt;=distribution!$D$3,distribution!$B$3,distribution!$B$4))</f>
        <v>ON</v>
      </c>
      <c r="D274">
        <f t="shared" ca="1" si="33"/>
        <v>0.21243751378989195</v>
      </c>
      <c r="E274" t="str">
        <f ca="1">IF(D274&lt;=distribution!$D$5,distribution!$B$5,distribution!$B$6)</f>
        <v>A</v>
      </c>
      <c r="F274">
        <f t="shared" ca="1" si="34"/>
        <v>0.28607718291300333</v>
      </c>
      <c r="G274" t="str">
        <f ca="1">IF(F274&lt;=distribution!$D$7,distribution!$B$7,IF(F274&lt;=distribution!$D$8,distribution!$B$8,IF(F274&lt;=distribution!$D$9,distribution!$B$9,distribution!$B$10)))</f>
        <v>35-44</v>
      </c>
      <c r="H274">
        <f ca="1">VLOOKUP(G274,age_band!$A$1:$C$5,2,FALSE)</f>
        <v>35</v>
      </c>
      <c r="I274">
        <f ca="1">VLOOKUP(G274,age_band!$A$2:$C$5,3,FALSE)</f>
        <v>44</v>
      </c>
      <c r="J274">
        <f t="shared" ca="1" si="35"/>
        <v>38</v>
      </c>
      <c r="K274">
        <f t="shared" ca="1" si="36"/>
        <v>0.36829457231124119</v>
      </c>
      <c r="L274" t="str">
        <f ca="1">IF(K274&lt;=distribution!$D$11,distribution!$B$11,distribution!$B$12)</f>
        <v>N</v>
      </c>
      <c r="M274">
        <f t="shared" ca="1" si="37"/>
        <v>108694</v>
      </c>
      <c r="N274">
        <f t="shared" ca="1" si="38"/>
        <v>108694</v>
      </c>
    </row>
    <row r="275" spans="1:14" x14ac:dyDescent="0.45">
      <c r="A275">
        <f t="shared" si="39"/>
        <v>274</v>
      </c>
      <c r="B275">
        <f t="shared" ca="1" si="32"/>
        <v>0.46952679718581325</v>
      </c>
      <c r="C275" t="str">
        <f ca="1">IF(B275&lt;=distribution!$D$2,distribution!$B$2,IF(B275&lt;=distribution!$D$3,distribution!$B$3,distribution!$B$4))</f>
        <v>ON</v>
      </c>
      <c r="D275">
        <f t="shared" ca="1" si="33"/>
        <v>0.67596759015324992</v>
      </c>
      <c r="E275" t="str">
        <f ca="1">IF(D275&lt;=distribution!$D$5,distribution!$B$5,distribution!$B$6)</f>
        <v>B</v>
      </c>
      <c r="F275">
        <f t="shared" ca="1" si="34"/>
        <v>0.47285877367182916</v>
      </c>
      <c r="G275" t="str">
        <f ca="1">IF(F275&lt;=distribution!$D$7,distribution!$B$7,IF(F275&lt;=distribution!$D$8,distribution!$B$8,IF(F275&lt;=distribution!$D$9,distribution!$B$9,distribution!$B$10)))</f>
        <v>35-44</v>
      </c>
      <c r="H275">
        <f ca="1">VLOOKUP(G275,age_band!$A$1:$C$5,2,FALSE)</f>
        <v>35</v>
      </c>
      <c r="I275">
        <f ca="1">VLOOKUP(G275,age_band!$A$2:$C$5,3,FALSE)</f>
        <v>44</v>
      </c>
      <c r="J275">
        <f t="shared" ca="1" si="35"/>
        <v>38</v>
      </c>
      <c r="K275">
        <f t="shared" ca="1" si="36"/>
        <v>0.17464467738114209</v>
      </c>
      <c r="L275" t="str">
        <f ca="1">IF(K275&lt;=distribution!$D$11,distribution!$B$11,distribution!$B$12)</f>
        <v>N</v>
      </c>
      <c r="M275">
        <f t="shared" ca="1" si="37"/>
        <v>53941</v>
      </c>
      <c r="N275">
        <f t="shared" ca="1" si="38"/>
        <v>53941</v>
      </c>
    </row>
    <row r="276" spans="1:14" x14ac:dyDescent="0.45">
      <c r="A276">
        <f t="shared" si="39"/>
        <v>275</v>
      </c>
      <c r="B276">
        <f t="shared" ca="1" si="32"/>
        <v>0.68545600038021737</v>
      </c>
      <c r="C276" t="str">
        <f ca="1">IF(B276&lt;=distribution!$D$2,distribution!$B$2,IF(B276&lt;=distribution!$D$3,distribution!$B$3,distribution!$B$4))</f>
        <v>QC</v>
      </c>
      <c r="D276">
        <f t="shared" ca="1" si="33"/>
        <v>3.1234695092586029E-2</v>
      </c>
      <c r="E276" t="str">
        <f ca="1">IF(D276&lt;=distribution!$D$5,distribution!$B$5,distribution!$B$6)</f>
        <v>A</v>
      </c>
      <c r="F276">
        <f t="shared" ca="1" si="34"/>
        <v>0.45464327385922987</v>
      </c>
      <c r="G276" t="str">
        <f ca="1">IF(F276&lt;=distribution!$D$7,distribution!$B$7,IF(F276&lt;=distribution!$D$8,distribution!$B$8,IF(F276&lt;=distribution!$D$9,distribution!$B$9,distribution!$B$10)))</f>
        <v>35-44</v>
      </c>
      <c r="H276">
        <f ca="1">VLOOKUP(G276,age_band!$A$1:$C$5,2,FALSE)</f>
        <v>35</v>
      </c>
      <c r="I276">
        <f ca="1">VLOOKUP(G276,age_band!$A$2:$C$5,3,FALSE)</f>
        <v>44</v>
      </c>
      <c r="J276">
        <f t="shared" ca="1" si="35"/>
        <v>39</v>
      </c>
      <c r="K276">
        <f t="shared" ca="1" si="36"/>
        <v>5.7885163520811633E-2</v>
      </c>
      <c r="L276" t="str">
        <f ca="1">IF(K276&lt;=distribution!$D$11,distribution!$B$11,distribution!$B$12)</f>
        <v>N</v>
      </c>
      <c r="M276">
        <f t="shared" ca="1" si="37"/>
        <v>118052</v>
      </c>
      <c r="N276">
        <f t="shared" ca="1" si="38"/>
        <v>118052</v>
      </c>
    </row>
    <row r="277" spans="1:14" x14ac:dyDescent="0.45">
      <c r="A277">
        <f t="shared" si="39"/>
        <v>276</v>
      </c>
      <c r="B277">
        <f t="shared" ca="1" si="32"/>
        <v>0.17259718075340569</v>
      </c>
      <c r="C277" t="str">
        <f ca="1">IF(B277&lt;=distribution!$D$2,distribution!$B$2,IF(B277&lt;=distribution!$D$3,distribution!$B$3,distribution!$B$4))</f>
        <v>ON</v>
      </c>
      <c r="D277">
        <f t="shared" ca="1" si="33"/>
        <v>0.34023165156533486</v>
      </c>
      <c r="E277" t="str">
        <f ca="1">IF(D277&lt;=distribution!$D$5,distribution!$B$5,distribution!$B$6)</f>
        <v>A</v>
      </c>
      <c r="F277">
        <f t="shared" ca="1" si="34"/>
        <v>0.5826456231738294</v>
      </c>
      <c r="G277" t="str">
        <f ca="1">IF(F277&lt;=distribution!$D$7,distribution!$B$7,IF(F277&lt;=distribution!$D$8,distribution!$B$8,IF(F277&lt;=distribution!$D$9,distribution!$B$9,distribution!$B$10)))</f>
        <v>35-44</v>
      </c>
      <c r="H277">
        <f ca="1">VLOOKUP(G277,age_band!$A$1:$C$5,2,FALSE)</f>
        <v>35</v>
      </c>
      <c r="I277">
        <f ca="1">VLOOKUP(G277,age_band!$A$2:$C$5,3,FALSE)</f>
        <v>44</v>
      </c>
      <c r="J277">
        <f t="shared" ca="1" si="35"/>
        <v>40</v>
      </c>
      <c r="K277">
        <f t="shared" ca="1" si="36"/>
        <v>0.44986577781883741</v>
      </c>
      <c r="L277" t="str">
        <f ca="1">IF(K277&lt;=distribution!$D$11,distribution!$B$11,distribution!$B$12)</f>
        <v>N</v>
      </c>
      <c r="M277">
        <f t="shared" ca="1" si="37"/>
        <v>122083</v>
      </c>
      <c r="N277">
        <f t="shared" ca="1" si="38"/>
        <v>122083</v>
      </c>
    </row>
    <row r="278" spans="1:14" x14ac:dyDescent="0.45">
      <c r="A278">
        <f t="shared" si="39"/>
        <v>277</v>
      </c>
      <c r="B278">
        <f t="shared" ca="1" si="32"/>
        <v>0.43593154824764391</v>
      </c>
      <c r="C278" t="str">
        <f ca="1">IF(B278&lt;=distribution!$D$2,distribution!$B$2,IF(B278&lt;=distribution!$D$3,distribution!$B$3,distribution!$B$4))</f>
        <v>ON</v>
      </c>
      <c r="D278">
        <f t="shared" ca="1" si="33"/>
        <v>0.96593908349481739</v>
      </c>
      <c r="E278" t="str">
        <f ca="1">IF(D278&lt;=distribution!$D$5,distribution!$B$5,distribution!$B$6)</f>
        <v>B</v>
      </c>
      <c r="F278">
        <f t="shared" ca="1" si="34"/>
        <v>0.98154216110947923</v>
      </c>
      <c r="G278" t="str">
        <f ca="1">IF(F278&lt;=distribution!$D$7,distribution!$B$7,IF(F278&lt;=distribution!$D$8,distribution!$B$8,IF(F278&lt;=distribution!$D$9,distribution!$B$9,distribution!$B$10)))</f>
        <v>55-64</v>
      </c>
      <c r="H278">
        <f ca="1">VLOOKUP(G278,age_band!$A$1:$C$5,2,FALSE)</f>
        <v>55</v>
      </c>
      <c r="I278">
        <f ca="1">VLOOKUP(G278,age_band!$A$2:$C$5,3,FALSE)</f>
        <v>64</v>
      </c>
      <c r="J278">
        <f t="shared" ca="1" si="35"/>
        <v>57</v>
      </c>
      <c r="K278">
        <f t="shared" ca="1" si="36"/>
        <v>0.42680992005119101</v>
      </c>
      <c r="L278" t="str">
        <f ca="1">IF(K278&lt;=distribution!$D$11,distribution!$B$11,distribution!$B$12)</f>
        <v>N</v>
      </c>
      <c r="M278">
        <f t="shared" ca="1" si="37"/>
        <v>69187</v>
      </c>
      <c r="N278">
        <f t="shared" ca="1" si="38"/>
        <v>69187</v>
      </c>
    </row>
    <row r="279" spans="1:14" x14ac:dyDescent="0.45">
      <c r="A279">
        <f t="shared" si="39"/>
        <v>278</v>
      </c>
      <c r="B279">
        <f t="shared" ca="1" si="32"/>
        <v>0.32985990464566206</v>
      </c>
      <c r="C279" t="str">
        <f ca="1">IF(B279&lt;=distribution!$D$2,distribution!$B$2,IF(B279&lt;=distribution!$D$3,distribution!$B$3,distribution!$B$4))</f>
        <v>ON</v>
      </c>
      <c r="D279">
        <f t="shared" ca="1" si="33"/>
        <v>0.75022096211128508</v>
      </c>
      <c r="E279" t="str">
        <f ca="1">IF(D279&lt;=distribution!$D$5,distribution!$B$5,distribution!$B$6)</f>
        <v>B</v>
      </c>
      <c r="F279">
        <f t="shared" ca="1" si="34"/>
        <v>0.16932196679351097</v>
      </c>
      <c r="G279" t="str">
        <f ca="1">IF(F279&lt;=distribution!$D$7,distribution!$B$7,IF(F279&lt;=distribution!$D$8,distribution!$B$8,IF(F279&lt;=distribution!$D$9,distribution!$B$9,distribution!$B$10)))</f>
        <v>25-34</v>
      </c>
      <c r="H279">
        <f ca="1">VLOOKUP(G279,age_band!$A$1:$C$5,2,FALSE)</f>
        <v>25</v>
      </c>
      <c r="I279">
        <f ca="1">VLOOKUP(G279,age_band!$A$2:$C$5,3,FALSE)</f>
        <v>34</v>
      </c>
      <c r="J279">
        <f t="shared" ca="1" si="35"/>
        <v>31</v>
      </c>
      <c r="K279">
        <f t="shared" ca="1" si="36"/>
        <v>0.51556583946135615</v>
      </c>
      <c r="L279" t="str">
        <f ca="1">IF(K279&lt;=distribution!$D$11,distribution!$B$11,distribution!$B$12)</f>
        <v>N</v>
      </c>
      <c r="M279">
        <f t="shared" ca="1" si="37"/>
        <v>49611</v>
      </c>
      <c r="N279">
        <f t="shared" ca="1" si="38"/>
        <v>49611</v>
      </c>
    </row>
    <row r="280" spans="1:14" x14ac:dyDescent="0.45">
      <c r="A280">
        <f t="shared" si="39"/>
        <v>279</v>
      </c>
      <c r="B280">
        <f t="shared" ca="1" si="32"/>
        <v>0.22191349936456284</v>
      </c>
      <c r="C280" t="str">
        <f ca="1">IF(B280&lt;=distribution!$D$2,distribution!$B$2,IF(B280&lt;=distribution!$D$3,distribution!$B$3,distribution!$B$4))</f>
        <v>ON</v>
      </c>
      <c r="D280">
        <f t="shared" ca="1" si="33"/>
        <v>0.2519757681828636</v>
      </c>
      <c r="E280" t="str">
        <f ca="1">IF(D280&lt;=distribution!$D$5,distribution!$B$5,distribution!$B$6)</f>
        <v>A</v>
      </c>
      <c r="F280">
        <f t="shared" ca="1" si="34"/>
        <v>0.27822642999363767</v>
      </c>
      <c r="G280" t="str">
        <f ca="1">IF(F280&lt;=distribution!$D$7,distribution!$B$7,IF(F280&lt;=distribution!$D$8,distribution!$B$8,IF(F280&lt;=distribution!$D$9,distribution!$B$9,distribution!$B$10)))</f>
        <v>35-44</v>
      </c>
      <c r="H280">
        <f ca="1">VLOOKUP(G280,age_band!$A$1:$C$5,2,FALSE)</f>
        <v>35</v>
      </c>
      <c r="I280">
        <f ca="1">VLOOKUP(G280,age_band!$A$2:$C$5,3,FALSE)</f>
        <v>44</v>
      </c>
      <c r="J280">
        <f t="shared" ca="1" si="35"/>
        <v>40</v>
      </c>
      <c r="K280">
        <f t="shared" ca="1" si="36"/>
        <v>0.8025272810810975</v>
      </c>
      <c r="L280" t="str">
        <f ca="1">IF(K280&lt;=distribution!$D$11,distribution!$B$11,distribution!$B$12)</f>
        <v>N</v>
      </c>
      <c r="M280">
        <f t="shared" ca="1" si="37"/>
        <v>124630</v>
      </c>
      <c r="N280">
        <f t="shared" ca="1" si="38"/>
        <v>124630</v>
      </c>
    </row>
    <row r="281" spans="1:14" x14ac:dyDescent="0.45">
      <c r="A281">
        <f t="shared" si="39"/>
        <v>280</v>
      </c>
      <c r="B281">
        <f t="shared" ca="1" si="32"/>
        <v>0.56130790595091951</v>
      </c>
      <c r="C281" t="str">
        <f ca="1">IF(B281&lt;=distribution!$D$2,distribution!$B$2,IF(B281&lt;=distribution!$D$3,distribution!$B$3,distribution!$B$4))</f>
        <v>QC</v>
      </c>
      <c r="D281">
        <f t="shared" ca="1" si="33"/>
        <v>0.88977028007802528</v>
      </c>
      <c r="E281" t="str">
        <f ca="1">IF(D281&lt;=distribution!$D$5,distribution!$B$5,distribution!$B$6)</f>
        <v>B</v>
      </c>
      <c r="F281">
        <f t="shared" ca="1" si="34"/>
        <v>0.70170965815018871</v>
      </c>
      <c r="G281" t="str">
        <f ca="1">IF(F281&lt;=distribution!$D$7,distribution!$B$7,IF(F281&lt;=distribution!$D$8,distribution!$B$8,IF(F281&lt;=distribution!$D$9,distribution!$B$9,distribution!$B$10)))</f>
        <v>45-54</v>
      </c>
      <c r="H281">
        <f ca="1">VLOOKUP(G281,age_band!$A$1:$C$5,2,FALSE)</f>
        <v>45</v>
      </c>
      <c r="I281">
        <f ca="1">VLOOKUP(G281,age_band!$A$2:$C$5,3,FALSE)</f>
        <v>54</v>
      </c>
      <c r="J281">
        <f t="shared" ca="1" si="35"/>
        <v>46</v>
      </c>
      <c r="K281">
        <f t="shared" ca="1" si="36"/>
        <v>5.8804952620624795E-2</v>
      </c>
      <c r="L281" t="str">
        <f ca="1">IF(K281&lt;=distribution!$D$11,distribution!$B$11,distribution!$B$12)</f>
        <v>N</v>
      </c>
      <c r="M281">
        <f t="shared" ca="1" si="37"/>
        <v>60654</v>
      </c>
      <c r="N281">
        <f t="shared" ca="1" si="38"/>
        <v>60654</v>
      </c>
    </row>
    <row r="282" spans="1:14" x14ac:dyDescent="0.45">
      <c r="A282">
        <f t="shared" si="39"/>
        <v>281</v>
      </c>
      <c r="B282">
        <f t="shared" ca="1" si="32"/>
        <v>0.93140524855250884</v>
      </c>
      <c r="C282" t="str">
        <f ca="1">IF(B282&lt;=distribution!$D$2,distribution!$B$2,IF(B282&lt;=distribution!$D$3,distribution!$B$3,distribution!$B$4))</f>
        <v>BC</v>
      </c>
      <c r="D282">
        <f t="shared" ca="1" si="33"/>
        <v>0.18960894575787357</v>
      </c>
      <c r="E282" t="str">
        <f ca="1">IF(D282&lt;=distribution!$D$5,distribution!$B$5,distribution!$B$6)</f>
        <v>A</v>
      </c>
      <c r="F282">
        <f t="shared" ca="1" si="34"/>
        <v>0.50704804751647581</v>
      </c>
      <c r="G282" t="str">
        <f ca="1">IF(F282&lt;=distribution!$D$7,distribution!$B$7,IF(F282&lt;=distribution!$D$8,distribution!$B$8,IF(F282&lt;=distribution!$D$9,distribution!$B$9,distribution!$B$10)))</f>
        <v>35-44</v>
      </c>
      <c r="H282">
        <f ca="1">VLOOKUP(G282,age_band!$A$1:$C$5,2,FALSE)</f>
        <v>35</v>
      </c>
      <c r="I282">
        <f ca="1">VLOOKUP(G282,age_band!$A$2:$C$5,3,FALSE)</f>
        <v>44</v>
      </c>
      <c r="J282">
        <f t="shared" ca="1" si="35"/>
        <v>36</v>
      </c>
      <c r="K282">
        <f t="shared" ca="1" si="36"/>
        <v>0.77770395389595004</v>
      </c>
      <c r="L282" t="str">
        <f ca="1">IF(K282&lt;=distribution!$D$11,distribution!$B$11,distribution!$B$12)</f>
        <v>N</v>
      </c>
      <c r="M282">
        <f t="shared" ca="1" si="37"/>
        <v>123922</v>
      </c>
      <c r="N282">
        <f t="shared" ca="1" si="38"/>
        <v>123922</v>
      </c>
    </row>
    <row r="283" spans="1:14" x14ac:dyDescent="0.45">
      <c r="A283">
        <f t="shared" si="39"/>
        <v>282</v>
      </c>
      <c r="B283">
        <f t="shared" ca="1" si="32"/>
        <v>0.32789039522292474</v>
      </c>
      <c r="C283" t="str">
        <f ca="1">IF(B283&lt;=distribution!$D$2,distribution!$B$2,IF(B283&lt;=distribution!$D$3,distribution!$B$3,distribution!$B$4))</f>
        <v>ON</v>
      </c>
      <c r="D283">
        <f t="shared" ca="1" si="33"/>
        <v>0.3255110597254236</v>
      </c>
      <c r="E283" t="str">
        <f ca="1">IF(D283&lt;=distribution!$D$5,distribution!$B$5,distribution!$B$6)</f>
        <v>A</v>
      </c>
      <c r="F283">
        <f t="shared" ca="1" si="34"/>
        <v>0.47845194089159226</v>
      </c>
      <c r="G283" t="str">
        <f ca="1">IF(F283&lt;=distribution!$D$7,distribution!$B$7,IF(F283&lt;=distribution!$D$8,distribution!$B$8,IF(F283&lt;=distribution!$D$9,distribution!$B$9,distribution!$B$10)))</f>
        <v>35-44</v>
      </c>
      <c r="H283">
        <f ca="1">VLOOKUP(G283,age_band!$A$1:$C$5,2,FALSE)</f>
        <v>35</v>
      </c>
      <c r="I283">
        <f ca="1">VLOOKUP(G283,age_band!$A$2:$C$5,3,FALSE)</f>
        <v>44</v>
      </c>
      <c r="J283">
        <f t="shared" ca="1" si="35"/>
        <v>40</v>
      </c>
      <c r="K283">
        <f t="shared" ca="1" si="36"/>
        <v>0.91767590351229655</v>
      </c>
      <c r="L283" t="str">
        <f ca="1">IF(K283&lt;=distribution!$D$11,distribution!$B$11,distribution!$B$12)</f>
        <v>Y</v>
      </c>
      <c r="M283">
        <f t="shared" ca="1" si="37"/>
        <v>86051</v>
      </c>
      <c r="N283">
        <f t="shared" ca="1" si="38"/>
        <v>86051</v>
      </c>
    </row>
    <row r="284" spans="1:14" x14ac:dyDescent="0.45">
      <c r="A284">
        <f t="shared" si="39"/>
        <v>283</v>
      </c>
      <c r="B284">
        <f t="shared" ca="1" si="32"/>
        <v>0.2209677287306675</v>
      </c>
      <c r="C284" t="str">
        <f ca="1">IF(B284&lt;=distribution!$D$2,distribution!$B$2,IF(B284&lt;=distribution!$D$3,distribution!$B$3,distribution!$B$4))</f>
        <v>ON</v>
      </c>
      <c r="D284">
        <f t="shared" ca="1" si="33"/>
        <v>0.70773659374754316</v>
      </c>
      <c r="E284" t="str">
        <f ca="1">IF(D284&lt;=distribution!$D$5,distribution!$B$5,distribution!$B$6)</f>
        <v>B</v>
      </c>
      <c r="F284">
        <f t="shared" ca="1" si="34"/>
        <v>0.20556161317879384</v>
      </c>
      <c r="G284" t="str">
        <f ca="1">IF(F284&lt;=distribution!$D$7,distribution!$B$7,IF(F284&lt;=distribution!$D$8,distribution!$B$8,IF(F284&lt;=distribution!$D$9,distribution!$B$9,distribution!$B$10)))</f>
        <v>25-34</v>
      </c>
      <c r="H284">
        <f ca="1">VLOOKUP(G284,age_band!$A$1:$C$5,2,FALSE)</f>
        <v>25</v>
      </c>
      <c r="I284">
        <f ca="1">VLOOKUP(G284,age_band!$A$2:$C$5,3,FALSE)</f>
        <v>34</v>
      </c>
      <c r="J284">
        <f t="shared" ca="1" si="35"/>
        <v>25</v>
      </c>
      <c r="K284">
        <f t="shared" ca="1" si="36"/>
        <v>0.21623642519764552</v>
      </c>
      <c r="L284" t="str">
        <f ca="1">IF(K284&lt;=distribution!$D$11,distribution!$B$11,distribution!$B$12)</f>
        <v>N</v>
      </c>
      <c r="M284">
        <f t="shared" ca="1" si="37"/>
        <v>67396</v>
      </c>
      <c r="N284">
        <f t="shared" ca="1" si="38"/>
        <v>67396</v>
      </c>
    </row>
    <row r="285" spans="1:14" x14ac:dyDescent="0.45">
      <c r="A285">
        <f t="shared" si="39"/>
        <v>284</v>
      </c>
      <c r="B285">
        <f t="shared" ca="1" si="32"/>
        <v>0.5039736696124737</v>
      </c>
      <c r="C285" t="str">
        <f ca="1">IF(B285&lt;=distribution!$D$2,distribution!$B$2,IF(B285&lt;=distribution!$D$3,distribution!$B$3,distribution!$B$4))</f>
        <v>ON</v>
      </c>
      <c r="D285">
        <f t="shared" ca="1" si="33"/>
        <v>0.49825550470483104</v>
      </c>
      <c r="E285" t="str">
        <f ca="1">IF(D285&lt;=distribution!$D$5,distribution!$B$5,distribution!$B$6)</f>
        <v>A</v>
      </c>
      <c r="F285">
        <f t="shared" ca="1" si="34"/>
        <v>0.16894915429154567</v>
      </c>
      <c r="G285" t="str">
        <f ca="1">IF(F285&lt;=distribution!$D$7,distribution!$B$7,IF(F285&lt;=distribution!$D$8,distribution!$B$8,IF(F285&lt;=distribution!$D$9,distribution!$B$9,distribution!$B$10)))</f>
        <v>25-34</v>
      </c>
      <c r="H285">
        <f ca="1">VLOOKUP(G285,age_band!$A$1:$C$5,2,FALSE)</f>
        <v>25</v>
      </c>
      <c r="I285">
        <f ca="1">VLOOKUP(G285,age_band!$A$2:$C$5,3,FALSE)</f>
        <v>34</v>
      </c>
      <c r="J285">
        <f t="shared" ca="1" si="35"/>
        <v>32</v>
      </c>
      <c r="K285">
        <f t="shared" ca="1" si="36"/>
        <v>0.40020565492752747</v>
      </c>
      <c r="L285" t="str">
        <f ca="1">IF(K285&lt;=distribution!$D$11,distribution!$B$11,distribution!$B$12)</f>
        <v>N</v>
      </c>
      <c r="M285">
        <f t="shared" ca="1" si="37"/>
        <v>128904</v>
      </c>
      <c r="N285">
        <f t="shared" ca="1" si="38"/>
        <v>128904</v>
      </c>
    </row>
    <row r="286" spans="1:14" x14ac:dyDescent="0.45">
      <c r="A286">
        <f t="shared" si="39"/>
        <v>285</v>
      </c>
      <c r="B286">
        <f t="shared" ca="1" si="32"/>
        <v>0.33003851148229735</v>
      </c>
      <c r="C286" t="str">
        <f ca="1">IF(B286&lt;=distribution!$D$2,distribution!$B$2,IF(B286&lt;=distribution!$D$3,distribution!$B$3,distribution!$B$4))</f>
        <v>ON</v>
      </c>
      <c r="D286">
        <f t="shared" ca="1" si="33"/>
        <v>0.1026047038729957</v>
      </c>
      <c r="E286" t="str">
        <f ca="1">IF(D286&lt;=distribution!$D$5,distribution!$B$5,distribution!$B$6)</f>
        <v>A</v>
      </c>
      <c r="F286">
        <f t="shared" ca="1" si="34"/>
        <v>6.4300039191878766E-2</v>
      </c>
      <c r="G286" t="str">
        <f ca="1">IF(F286&lt;=distribution!$D$7,distribution!$B$7,IF(F286&lt;=distribution!$D$8,distribution!$B$8,IF(F286&lt;=distribution!$D$9,distribution!$B$9,distribution!$B$10)))</f>
        <v>25-34</v>
      </c>
      <c r="H286">
        <f ca="1">VLOOKUP(G286,age_band!$A$1:$C$5,2,FALSE)</f>
        <v>25</v>
      </c>
      <c r="I286">
        <f ca="1">VLOOKUP(G286,age_band!$A$2:$C$5,3,FALSE)</f>
        <v>34</v>
      </c>
      <c r="J286">
        <f t="shared" ca="1" si="35"/>
        <v>33</v>
      </c>
      <c r="K286">
        <f t="shared" ca="1" si="36"/>
        <v>0.58180936803133998</v>
      </c>
      <c r="L286" t="str">
        <f ca="1">IF(K286&lt;=distribution!$D$11,distribution!$B$11,distribution!$B$12)</f>
        <v>N</v>
      </c>
      <c r="M286">
        <f t="shared" ca="1" si="37"/>
        <v>90348</v>
      </c>
      <c r="N286">
        <f t="shared" ca="1" si="38"/>
        <v>90348</v>
      </c>
    </row>
    <row r="287" spans="1:14" x14ac:dyDescent="0.45">
      <c r="A287">
        <f t="shared" si="39"/>
        <v>286</v>
      </c>
      <c r="B287">
        <f t="shared" ca="1" si="32"/>
        <v>0.93907073964771781</v>
      </c>
      <c r="C287" t="str">
        <f ca="1">IF(B287&lt;=distribution!$D$2,distribution!$B$2,IF(B287&lt;=distribution!$D$3,distribution!$B$3,distribution!$B$4))</f>
        <v>BC</v>
      </c>
      <c r="D287">
        <f t="shared" ca="1" si="33"/>
        <v>0.1563054702021206</v>
      </c>
      <c r="E287" t="str">
        <f ca="1">IF(D287&lt;=distribution!$D$5,distribution!$B$5,distribution!$B$6)</f>
        <v>A</v>
      </c>
      <c r="F287">
        <f t="shared" ca="1" si="34"/>
        <v>0.83828810974277834</v>
      </c>
      <c r="G287" t="str">
        <f ca="1">IF(F287&lt;=distribution!$D$7,distribution!$B$7,IF(F287&lt;=distribution!$D$8,distribution!$B$8,IF(F287&lt;=distribution!$D$9,distribution!$B$9,distribution!$B$10)))</f>
        <v>45-54</v>
      </c>
      <c r="H287">
        <f ca="1">VLOOKUP(G287,age_band!$A$1:$C$5,2,FALSE)</f>
        <v>45</v>
      </c>
      <c r="I287">
        <f ca="1">VLOOKUP(G287,age_band!$A$2:$C$5,3,FALSE)</f>
        <v>54</v>
      </c>
      <c r="J287">
        <f t="shared" ca="1" si="35"/>
        <v>53</v>
      </c>
      <c r="K287">
        <f t="shared" ca="1" si="36"/>
        <v>0.50972427504281337</v>
      </c>
      <c r="L287" t="str">
        <f ca="1">IF(K287&lt;=distribution!$D$11,distribution!$B$11,distribution!$B$12)</f>
        <v>N</v>
      </c>
      <c r="M287">
        <f t="shared" ca="1" si="37"/>
        <v>99812</v>
      </c>
      <c r="N287">
        <f t="shared" ca="1" si="38"/>
        <v>99812</v>
      </c>
    </row>
    <row r="288" spans="1:14" x14ac:dyDescent="0.45">
      <c r="A288">
        <f t="shared" si="39"/>
        <v>287</v>
      </c>
      <c r="B288">
        <f t="shared" ca="1" si="32"/>
        <v>2.7064546233192543E-2</v>
      </c>
      <c r="C288" t="str">
        <f ca="1">IF(B288&lt;=distribution!$D$2,distribution!$B$2,IF(B288&lt;=distribution!$D$3,distribution!$B$3,distribution!$B$4))</f>
        <v>ON</v>
      </c>
      <c r="D288">
        <f t="shared" ca="1" si="33"/>
        <v>9.9362066053988896E-2</v>
      </c>
      <c r="E288" t="str">
        <f ca="1">IF(D288&lt;=distribution!$D$5,distribution!$B$5,distribution!$B$6)</f>
        <v>A</v>
      </c>
      <c r="F288">
        <f t="shared" ca="1" si="34"/>
        <v>0.78721677375096666</v>
      </c>
      <c r="G288" t="str">
        <f ca="1">IF(F288&lt;=distribution!$D$7,distribution!$B$7,IF(F288&lt;=distribution!$D$8,distribution!$B$8,IF(F288&lt;=distribution!$D$9,distribution!$B$9,distribution!$B$10)))</f>
        <v>45-54</v>
      </c>
      <c r="H288">
        <f ca="1">VLOOKUP(G288,age_band!$A$1:$C$5,2,FALSE)</f>
        <v>45</v>
      </c>
      <c r="I288">
        <f ca="1">VLOOKUP(G288,age_band!$A$2:$C$5,3,FALSE)</f>
        <v>54</v>
      </c>
      <c r="J288">
        <f t="shared" ca="1" si="35"/>
        <v>49</v>
      </c>
      <c r="K288">
        <f t="shared" ca="1" si="36"/>
        <v>0.69264952910466893</v>
      </c>
      <c r="L288" t="str">
        <f ca="1">IF(K288&lt;=distribution!$D$11,distribution!$B$11,distribution!$B$12)</f>
        <v>N</v>
      </c>
      <c r="M288">
        <f t="shared" ca="1" si="37"/>
        <v>83413</v>
      </c>
      <c r="N288">
        <f t="shared" ca="1" si="38"/>
        <v>83413</v>
      </c>
    </row>
    <row r="289" spans="1:14" x14ac:dyDescent="0.45">
      <c r="A289">
        <f t="shared" si="39"/>
        <v>288</v>
      </c>
      <c r="B289">
        <f t="shared" ca="1" si="32"/>
        <v>8.6132268807312951E-2</v>
      </c>
      <c r="C289" t="str">
        <f ca="1">IF(B289&lt;=distribution!$D$2,distribution!$B$2,IF(B289&lt;=distribution!$D$3,distribution!$B$3,distribution!$B$4))</f>
        <v>ON</v>
      </c>
      <c r="D289">
        <f t="shared" ca="1" si="33"/>
        <v>0.42089239219669417</v>
      </c>
      <c r="E289" t="str">
        <f ca="1">IF(D289&lt;=distribution!$D$5,distribution!$B$5,distribution!$B$6)</f>
        <v>A</v>
      </c>
      <c r="F289">
        <f t="shared" ca="1" si="34"/>
        <v>0.1376221434526288</v>
      </c>
      <c r="G289" t="str">
        <f ca="1">IF(F289&lt;=distribution!$D$7,distribution!$B$7,IF(F289&lt;=distribution!$D$8,distribution!$B$8,IF(F289&lt;=distribution!$D$9,distribution!$B$9,distribution!$B$10)))</f>
        <v>25-34</v>
      </c>
      <c r="H289">
        <f ca="1">VLOOKUP(G289,age_band!$A$1:$C$5,2,FALSE)</f>
        <v>25</v>
      </c>
      <c r="I289">
        <f ca="1">VLOOKUP(G289,age_band!$A$2:$C$5,3,FALSE)</f>
        <v>34</v>
      </c>
      <c r="J289">
        <f t="shared" ca="1" si="35"/>
        <v>29</v>
      </c>
      <c r="K289">
        <f t="shared" ca="1" si="36"/>
        <v>0.89264088045597212</v>
      </c>
      <c r="L289" t="str">
        <f ca="1">IF(K289&lt;=distribution!$D$11,distribution!$B$11,distribution!$B$12)</f>
        <v>Y</v>
      </c>
      <c r="M289">
        <f t="shared" ca="1" si="37"/>
        <v>51040</v>
      </c>
      <c r="N289">
        <f t="shared" ca="1" si="38"/>
        <v>51040</v>
      </c>
    </row>
    <row r="290" spans="1:14" x14ac:dyDescent="0.45">
      <c r="A290">
        <f t="shared" si="39"/>
        <v>289</v>
      </c>
      <c r="B290">
        <f t="shared" ca="1" si="32"/>
        <v>0.85343892261777776</v>
      </c>
      <c r="C290" t="str">
        <f ca="1">IF(B290&lt;=distribution!$D$2,distribution!$B$2,IF(B290&lt;=distribution!$D$3,distribution!$B$3,distribution!$B$4))</f>
        <v>BC</v>
      </c>
      <c r="D290">
        <f t="shared" ca="1" si="33"/>
        <v>0.81036334352385841</v>
      </c>
      <c r="E290" t="str">
        <f ca="1">IF(D290&lt;=distribution!$D$5,distribution!$B$5,distribution!$B$6)</f>
        <v>B</v>
      </c>
      <c r="F290">
        <f t="shared" ca="1" si="34"/>
        <v>3.0287450178397068E-2</v>
      </c>
      <c r="G290" t="str">
        <f ca="1">IF(F290&lt;=distribution!$D$7,distribution!$B$7,IF(F290&lt;=distribution!$D$8,distribution!$B$8,IF(F290&lt;=distribution!$D$9,distribution!$B$9,distribution!$B$10)))</f>
        <v>25-34</v>
      </c>
      <c r="H290">
        <f ca="1">VLOOKUP(G290,age_band!$A$1:$C$5,2,FALSE)</f>
        <v>25</v>
      </c>
      <c r="I290">
        <f ca="1">VLOOKUP(G290,age_band!$A$2:$C$5,3,FALSE)</f>
        <v>34</v>
      </c>
      <c r="J290">
        <f t="shared" ca="1" si="35"/>
        <v>27</v>
      </c>
      <c r="K290">
        <f t="shared" ca="1" si="36"/>
        <v>0.16998216468071359</v>
      </c>
      <c r="L290" t="str">
        <f ca="1">IF(K290&lt;=distribution!$D$11,distribution!$B$11,distribution!$B$12)</f>
        <v>N</v>
      </c>
      <c r="M290">
        <f t="shared" ca="1" si="37"/>
        <v>49666</v>
      </c>
      <c r="N290">
        <f t="shared" ca="1" si="38"/>
        <v>49666</v>
      </c>
    </row>
    <row r="291" spans="1:14" x14ac:dyDescent="0.45">
      <c r="A291">
        <f t="shared" si="39"/>
        <v>290</v>
      </c>
      <c r="B291">
        <f t="shared" ca="1" si="32"/>
        <v>0.43272915717439353</v>
      </c>
      <c r="C291" t="str">
        <f ca="1">IF(B291&lt;=distribution!$D$2,distribution!$B$2,IF(B291&lt;=distribution!$D$3,distribution!$B$3,distribution!$B$4))</f>
        <v>ON</v>
      </c>
      <c r="D291">
        <f t="shared" ca="1" si="33"/>
        <v>0.74804865614472449</v>
      </c>
      <c r="E291" t="str">
        <f ca="1">IF(D291&lt;=distribution!$D$5,distribution!$B$5,distribution!$B$6)</f>
        <v>B</v>
      </c>
      <c r="F291">
        <f t="shared" ca="1" si="34"/>
        <v>0.23200907679461402</v>
      </c>
      <c r="G291" t="str">
        <f ca="1">IF(F291&lt;=distribution!$D$7,distribution!$B$7,IF(F291&lt;=distribution!$D$8,distribution!$B$8,IF(F291&lt;=distribution!$D$9,distribution!$B$9,distribution!$B$10)))</f>
        <v>25-34</v>
      </c>
      <c r="H291">
        <f ca="1">VLOOKUP(G291,age_band!$A$1:$C$5,2,FALSE)</f>
        <v>25</v>
      </c>
      <c r="I291">
        <f ca="1">VLOOKUP(G291,age_band!$A$2:$C$5,3,FALSE)</f>
        <v>34</v>
      </c>
      <c r="J291">
        <f t="shared" ca="1" si="35"/>
        <v>33</v>
      </c>
      <c r="K291">
        <f t="shared" ca="1" si="36"/>
        <v>2.217173345561374E-2</v>
      </c>
      <c r="L291" t="str">
        <f ca="1">IF(K291&lt;=distribution!$D$11,distribution!$B$11,distribution!$B$12)</f>
        <v>N</v>
      </c>
      <c r="M291">
        <f t="shared" ca="1" si="37"/>
        <v>55206</v>
      </c>
      <c r="N291">
        <f t="shared" ca="1" si="38"/>
        <v>55206</v>
      </c>
    </row>
    <row r="292" spans="1:14" x14ac:dyDescent="0.45">
      <c r="A292">
        <f t="shared" si="39"/>
        <v>291</v>
      </c>
      <c r="B292">
        <f t="shared" ca="1" si="32"/>
        <v>0.52843296480841973</v>
      </c>
      <c r="C292" t="str">
        <f ca="1">IF(B292&lt;=distribution!$D$2,distribution!$B$2,IF(B292&lt;=distribution!$D$3,distribution!$B$3,distribution!$B$4))</f>
        <v>ON</v>
      </c>
      <c r="D292">
        <f t="shared" ca="1" si="33"/>
        <v>0.73162256300264272</v>
      </c>
      <c r="E292" t="str">
        <f ca="1">IF(D292&lt;=distribution!$D$5,distribution!$B$5,distribution!$B$6)</f>
        <v>B</v>
      </c>
      <c r="F292">
        <f t="shared" ca="1" si="34"/>
        <v>0.17108529872814215</v>
      </c>
      <c r="G292" t="str">
        <f ca="1">IF(F292&lt;=distribution!$D$7,distribution!$B$7,IF(F292&lt;=distribution!$D$8,distribution!$B$8,IF(F292&lt;=distribution!$D$9,distribution!$B$9,distribution!$B$10)))</f>
        <v>25-34</v>
      </c>
      <c r="H292">
        <f ca="1">VLOOKUP(G292,age_band!$A$1:$C$5,2,FALSE)</f>
        <v>25</v>
      </c>
      <c r="I292">
        <f ca="1">VLOOKUP(G292,age_band!$A$2:$C$5,3,FALSE)</f>
        <v>34</v>
      </c>
      <c r="J292">
        <f t="shared" ca="1" si="35"/>
        <v>29</v>
      </c>
      <c r="K292">
        <f t="shared" ca="1" si="36"/>
        <v>0.16476063705532051</v>
      </c>
      <c r="L292" t="str">
        <f ca="1">IF(K292&lt;=distribution!$D$11,distribution!$B$11,distribution!$B$12)</f>
        <v>N</v>
      </c>
      <c r="M292">
        <f t="shared" ca="1" si="37"/>
        <v>74517</v>
      </c>
      <c r="N292">
        <f t="shared" ca="1" si="38"/>
        <v>74517</v>
      </c>
    </row>
    <row r="293" spans="1:14" x14ac:dyDescent="0.45">
      <c r="A293">
        <f t="shared" si="39"/>
        <v>292</v>
      </c>
      <c r="B293">
        <f t="shared" ca="1" si="32"/>
        <v>0.14639496382273698</v>
      </c>
      <c r="C293" t="str">
        <f ca="1">IF(B293&lt;=distribution!$D$2,distribution!$B$2,IF(B293&lt;=distribution!$D$3,distribution!$B$3,distribution!$B$4))</f>
        <v>ON</v>
      </c>
      <c r="D293">
        <f t="shared" ca="1" si="33"/>
        <v>0.35541006862211422</v>
      </c>
      <c r="E293" t="str">
        <f ca="1">IF(D293&lt;=distribution!$D$5,distribution!$B$5,distribution!$B$6)</f>
        <v>A</v>
      </c>
      <c r="F293">
        <f t="shared" ca="1" si="34"/>
        <v>0.96502506460567694</v>
      </c>
      <c r="G293" t="str">
        <f ca="1">IF(F293&lt;=distribution!$D$7,distribution!$B$7,IF(F293&lt;=distribution!$D$8,distribution!$B$8,IF(F293&lt;=distribution!$D$9,distribution!$B$9,distribution!$B$10)))</f>
        <v>55-64</v>
      </c>
      <c r="H293">
        <f ca="1">VLOOKUP(G293,age_band!$A$1:$C$5,2,FALSE)</f>
        <v>55</v>
      </c>
      <c r="I293">
        <f ca="1">VLOOKUP(G293,age_band!$A$2:$C$5,3,FALSE)</f>
        <v>64</v>
      </c>
      <c r="J293">
        <f t="shared" ca="1" si="35"/>
        <v>55</v>
      </c>
      <c r="K293">
        <f t="shared" ca="1" si="36"/>
        <v>0.33002537993473147</v>
      </c>
      <c r="L293" t="str">
        <f ca="1">IF(K293&lt;=distribution!$D$11,distribution!$B$11,distribution!$B$12)</f>
        <v>N</v>
      </c>
      <c r="M293">
        <f t="shared" ca="1" si="37"/>
        <v>81382</v>
      </c>
      <c r="N293">
        <f t="shared" ca="1" si="38"/>
        <v>81382</v>
      </c>
    </row>
    <row r="294" spans="1:14" x14ac:dyDescent="0.45">
      <c r="A294">
        <f t="shared" si="39"/>
        <v>293</v>
      </c>
      <c r="B294">
        <f t="shared" ca="1" si="32"/>
        <v>0.13552070146125794</v>
      </c>
      <c r="C294" t="str">
        <f ca="1">IF(B294&lt;=distribution!$D$2,distribution!$B$2,IF(B294&lt;=distribution!$D$3,distribution!$B$3,distribution!$B$4))</f>
        <v>ON</v>
      </c>
      <c r="D294">
        <f t="shared" ca="1" si="33"/>
        <v>0.80831253242564383</v>
      </c>
      <c r="E294" t="str">
        <f ca="1">IF(D294&lt;=distribution!$D$5,distribution!$B$5,distribution!$B$6)</f>
        <v>B</v>
      </c>
      <c r="F294">
        <f t="shared" ca="1" si="34"/>
        <v>0.48476039513227409</v>
      </c>
      <c r="G294" t="str">
        <f ca="1">IF(F294&lt;=distribution!$D$7,distribution!$B$7,IF(F294&lt;=distribution!$D$8,distribution!$B$8,IF(F294&lt;=distribution!$D$9,distribution!$B$9,distribution!$B$10)))</f>
        <v>35-44</v>
      </c>
      <c r="H294">
        <f ca="1">VLOOKUP(G294,age_band!$A$1:$C$5,2,FALSE)</f>
        <v>35</v>
      </c>
      <c r="I294">
        <f ca="1">VLOOKUP(G294,age_band!$A$2:$C$5,3,FALSE)</f>
        <v>44</v>
      </c>
      <c r="J294">
        <f t="shared" ca="1" si="35"/>
        <v>37</v>
      </c>
      <c r="K294">
        <f t="shared" ca="1" si="36"/>
        <v>0.81327385308287026</v>
      </c>
      <c r="L294" t="str">
        <f ca="1">IF(K294&lt;=distribution!$D$11,distribution!$B$11,distribution!$B$12)</f>
        <v>N</v>
      </c>
      <c r="M294">
        <f t="shared" ca="1" si="37"/>
        <v>61398</v>
      </c>
      <c r="N294">
        <f t="shared" ca="1" si="38"/>
        <v>61398</v>
      </c>
    </row>
    <row r="295" spans="1:14" x14ac:dyDescent="0.45">
      <c r="A295">
        <f t="shared" si="39"/>
        <v>294</v>
      </c>
      <c r="B295">
        <f t="shared" ca="1" si="32"/>
        <v>0.40041116618821837</v>
      </c>
      <c r="C295" t="str">
        <f ca="1">IF(B295&lt;=distribution!$D$2,distribution!$B$2,IF(B295&lt;=distribution!$D$3,distribution!$B$3,distribution!$B$4))</f>
        <v>ON</v>
      </c>
      <c r="D295">
        <f t="shared" ca="1" si="33"/>
        <v>0.3516628927568346</v>
      </c>
      <c r="E295" t="str">
        <f ca="1">IF(D295&lt;=distribution!$D$5,distribution!$B$5,distribution!$B$6)</f>
        <v>A</v>
      </c>
      <c r="F295">
        <f t="shared" ca="1" si="34"/>
        <v>0.31115804598042363</v>
      </c>
      <c r="G295" t="str">
        <f ca="1">IF(F295&lt;=distribution!$D$7,distribution!$B$7,IF(F295&lt;=distribution!$D$8,distribution!$B$8,IF(F295&lt;=distribution!$D$9,distribution!$B$9,distribution!$B$10)))</f>
        <v>35-44</v>
      </c>
      <c r="H295">
        <f ca="1">VLOOKUP(G295,age_band!$A$1:$C$5,2,FALSE)</f>
        <v>35</v>
      </c>
      <c r="I295">
        <f ca="1">VLOOKUP(G295,age_band!$A$2:$C$5,3,FALSE)</f>
        <v>44</v>
      </c>
      <c r="J295">
        <f t="shared" ca="1" si="35"/>
        <v>35</v>
      </c>
      <c r="K295">
        <f t="shared" ca="1" si="36"/>
        <v>0.40180273830368185</v>
      </c>
      <c r="L295" t="str">
        <f ca="1">IF(K295&lt;=distribution!$D$11,distribution!$B$11,distribution!$B$12)</f>
        <v>N</v>
      </c>
      <c r="M295">
        <f t="shared" ca="1" si="37"/>
        <v>91434</v>
      </c>
      <c r="N295">
        <f t="shared" ca="1" si="38"/>
        <v>91434</v>
      </c>
    </row>
    <row r="296" spans="1:14" x14ac:dyDescent="0.45">
      <c r="A296">
        <f t="shared" si="39"/>
        <v>295</v>
      </c>
      <c r="B296">
        <f t="shared" ca="1" si="32"/>
        <v>0.78461775279985624</v>
      </c>
      <c r="C296" t="str">
        <f ca="1">IF(B296&lt;=distribution!$D$2,distribution!$B$2,IF(B296&lt;=distribution!$D$3,distribution!$B$3,distribution!$B$4))</f>
        <v>BC</v>
      </c>
      <c r="D296">
        <f t="shared" ca="1" si="33"/>
        <v>0.84157873060584609</v>
      </c>
      <c r="E296" t="str">
        <f ca="1">IF(D296&lt;=distribution!$D$5,distribution!$B$5,distribution!$B$6)</f>
        <v>B</v>
      </c>
      <c r="F296">
        <f t="shared" ca="1" si="34"/>
        <v>0.71228490387018273</v>
      </c>
      <c r="G296" t="str">
        <f ca="1">IF(F296&lt;=distribution!$D$7,distribution!$B$7,IF(F296&lt;=distribution!$D$8,distribution!$B$8,IF(F296&lt;=distribution!$D$9,distribution!$B$9,distribution!$B$10)))</f>
        <v>45-54</v>
      </c>
      <c r="H296">
        <f ca="1">VLOOKUP(G296,age_band!$A$1:$C$5,2,FALSE)</f>
        <v>45</v>
      </c>
      <c r="I296">
        <f ca="1">VLOOKUP(G296,age_band!$A$2:$C$5,3,FALSE)</f>
        <v>54</v>
      </c>
      <c r="J296">
        <f t="shared" ca="1" si="35"/>
        <v>49</v>
      </c>
      <c r="K296">
        <f t="shared" ca="1" si="36"/>
        <v>0.20981340148712324</v>
      </c>
      <c r="L296" t="str">
        <f ca="1">IF(K296&lt;=distribution!$D$11,distribution!$B$11,distribution!$B$12)</f>
        <v>N</v>
      </c>
      <c r="M296">
        <f t="shared" ca="1" si="37"/>
        <v>74944</v>
      </c>
      <c r="N296">
        <f t="shared" ca="1" si="38"/>
        <v>74944</v>
      </c>
    </row>
    <row r="297" spans="1:14" x14ac:dyDescent="0.45">
      <c r="A297">
        <f t="shared" si="39"/>
        <v>296</v>
      </c>
      <c r="B297">
        <f t="shared" ca="1" si="32"/>
        <v>0.37328718056703902</v>
      </c>
      <c r="C297" t="str">
        <f ca="1">IF(B297&lt;=distribution!$D$2,distribution!$B$2,IF(B297&lt;=distribution!$D$3,distribution!$B$3,distribution!$B$4))</f>
        <v>ON</v>
      </c>
      <c r="D297">
        <f t="shared" ca="1" si="33"/>
        <v>0.65954940223241898</v>
      </c>
      <c r="E297" t="str">
        <f ca="1">IF(D297&lt;=distribution!$D$5,distribution!$B$5,distribution!$B$6)</f>
        <v>B</v>
      </c>
      <c r="F297">
        <f t="shared" ca="1" si="34"/>
        <v>0.82087827458194851</v>
      </c>
      <c r="G297" t="str">
        <f ca="1">IF(F297&lt;=distribution!$D$7,distribution!$B$7,IF(F297&lt;=distribution!$D$8,distribution!$B$8,IF(F297&lt;=distribution!$D$9,distribution!$B$9,distribution!$B$10)))</f>
        <v>45-54</v>
      </c>
      <c r="H297">
        <f ca="1">VLOOKUP(G297,age_band!$A$1:$C$5,2,FALSE)</f>
        <v>45</v>
      </c>
      <c r="I297">
        <f ca="1">VLOOKUP(G297,age_band!$A$2:$C$5,3,FALSE)</f>
        <v>54</v>
      </c>
      <c r="J297">
        <f t="shared" ca="1" si="35"/>
        <v>49</v>
      </c>
      <c r="K297">
        <f t="shared" ca="1" si="36"/>
        <v>0.73222853380932573</v>
      </c>
      <c r="L297" t="str">
        <f ca="1">IF(K297&lt;=distribution!$D$11,distribution!$B$11,distribution!$B$12)</f>
        <v>N</v>
      </c>
      <c r="M297">
        <f t="shared" ca="1" si="37"/>
        <v>66462</v>
      </c>
      <c r="N297">
        <f t="shared" ca="1" si="38"/>
        <v>66462</v>
      </c>
    </row>
    <row r="298" spans="1:14" x14ac:dyDescent="0.45">
      <c r="A298">
        <f t="shared" si="39"/>
        <v>297</v>
      </c>
      <c r="B298">
        <f t="shared" ca="1" si="32"/>
        <v>0.95600473839226319</v>
      </c>
      <c r="C298" t="str">
        <f ca="1">IF(B298&lt;=distribution!$D$2,distribution!$B$2,IF(B298&lt;=distribution!$D$3,distribution!$B$3,distribution!$B$4))</f>
        <v>BC</v>
      </c>
      <c r="D298">
        <f t="shared" ca="1" si="33"/>
        <v>0.94148929829510575</v>
      </c>
      <c r="E298" t="str">
        <f ca="1">IF(D298&lt;=distribution!$D$5,distribution!$B$5,distribution!$B$6)</f>
        <v>B</v>
      </c>
      <c r="F298">
        <f t="shared" ca="1" si="34"/>
        <v>0.40610307563858949</v>
      </c>
      <c r="G298" t="str">
        <f ca="1">IF(F298&lt;=distribution!$D$7,distribution!$B$7,IF(F298&lt;=distribution!$D$8,distribution!$B$8,IF(F298&lt;=distribution!$D$9,distribution!$B$9,distribution!$B$10)))</f>
        <v>35-44</v>
      </c>
      <c r="H298">
        <f ca="1">VLOOKUP(G298,age_band!$A$1:$C$5,2,FALSE)</f>
        <v>35</v>
      </c>
      <c r="I298">
        <f ca="1">VLOOKUP(G298,age_band!$A$2:$C$5,3,FALSE)</f>
        <v>44</v>
      </c>
      <c r="J298">
        <f t="shared" ca="1" si="35"/>
        <v>44</v>
      </c>
      <c r="K298">
        <f t="shared" ca="1" si="36"/>
        <v>0.64898790504897219</v>
      </c>
      <c r="L298" t="str">
        <f ca="1">IF(K298&lt;=distribution!$D$11,distribution!$B$11,distribution!$B$12)</f>
        <v>N</v>
      </c>
      <c r="M298">
        <f t="shared" ca="1" si="37"/>
        <v>76433</v>
      </c>
      <c r="N298">
        <f t="shared" ca="1" si="38"/>
        <v>76433</v>
      </c>
    </row>
    <row r="299" spans="1:14" x14ac:dyDescent="0.45">
      <c r="A299">
        <f t="shared" si="39"/>
        <v>298</v>
      </c>
      <c r="B299">
        <f t="shared" ca="1" si="32"/>
        <v>0.30715368019762401</v>
      </c>
      <c r="C299" t="str">
        <f ca="1">IF(B299&lt;=distribution!$D$2,distribution!$B$2,IF(B299&lt;=distribution!$D$3,distribution!$B$3,distribution!$B$4))</f>
        <v>ON</v>
      </c>
      <c r="D299">
        <f t="shared" ca="1" si="33"/>
        <v>0.26737442909046472</v>
      </c>
      <c r="E299" t="str">
        <f ca="1">IF(D299&lt;=distribution!$D$5,distribution!$B$5,distribution!$B$6)</f>
        <v>A</v>
      </c>
      <c r="F299">
        <f t="shared" ca="1" si="34"/>
        <v>0.98769177562425181</v>
      </c>
      <c r="G299" t="str">
        <f ca="1">IF(F299&lt;=distribution!$D$7,distribution!$B$7,IF(F299&lt;=distribution!$D$8,distribution!$B$8,IF(F299&lt;=distribution!$D$9,distribution!$B$9,distribution!$B$10)))</f>
        <v>55-64</v>
      </c>
      <c r="H299">
        <f ca="1">VLOOKUP(G299,age_band!$A$1:$C$5,2,FALSE)</f>
        <v>55</v>
      </c>
      <c r="I299">
        <f ca="1">VLOOKUP(G299,age_band!$A$2:$C$5,3,FALSE)</f>
        <v>64</v>
      </c>
      <c r="J299">
        <f t="shared" ca="1" si="35"/>
        <v>57</v>
      </c>
      <c r="K299">
        <f t="shared" ca="1" si="36"/>
        <v>0.19584422377849364</v>
      </c>
      <c r="L299" t="str">
        <f ca="1">IF(K299&lt;=distribution!$D$11,distribution!$B$11,distribution!$B$12)</f>
        <v>N</v>
      </c>
      <c r="M299">
        <f t="shared" ca="1" si="37"/>
        <v>123935</v>
      </c>
      <c r="N299">
        <f t="shared" ca="1" si="38"/>
        <v>123935</v>
      </c>
    </row>
    <row r="300" spans="1:14" x14ac:dyDescent="0.45">
      <c r="A300">
        <f t="shared" si="39"/>
        <v>299</v>
      </c>
      <c r="B300">
        <f t="shared" ca="1" si="32"/>
        <v>0.70355605237336671</v>
      </c>
      <c r="C300" t="str">
        <f ca="1">IF(B300&lt;=distribution!$D$2,distribution!$B$2,IF(B300&lt;=distribution!$D$3,distribution!$B$3,distribution!$B$4))</f>
        <v>QC</v>
      </c>
      <c r="D300">
        <f t="shared" ca="1" si="33"/>
        <v>0.42176830122391351</v>
      </c>
      <c r="E300" t="str">
        <f ca="1">IF(D300&lt;=distribution!$D$5,distribution!$B$5,distribution!$B$6)</f>
        <v>A</v>
      </c>
      <c r="F300">
        <f t="shared" ca="1" si="34"/>
        <v>0.93880901085543544</v>
      </c>
      <c r="G300" t="str">
        <f ca="1">IF(F300&lt;=distribution!$D$7,distribution!$B$7,IF(F300&lt;=distribution!$D$8,distribution!$B$8,IF(F300&lt;=distribution!$D$9,distribution!$B$9,distribution!$B$10)))</f>
        <v>55-64</v>
      </c>
      <c r="H300">
        <f ca="1">VLOOKUP(G300,age_band!$A$1:$C$5,2,FALSE)</f>
        <v>55</v>
      </c>
      <c r="I300">
        <f ca="1">VLOOKUP(G300,age_band!$A$2:$C$5,3,FALSE)</f>
        <v>64</v>
      </c>
      <c r="J300">
        <f t="shared" ca="1" si="35"/>
        <v>64</v>
      </c>
      <c r="K300">
        <f t="shared" ca="1" si="36"/>
        <v>0.97977160895981152</v>
      </c>
      <c r="L300" t="str">
        <f ca="1">IF(K300&lt;=distribution!$D$11,distribution!$B$11,distribution!$B$12)</f>
        <v>Y</v>
      </c>
      <c r="M300">
        <f t="shared" ca="1" si="37"/>
        <v>53082</v>
      </c>
      <c r="N300">
        <f t="shared" ca="1" si="38"/>
        <v>53082</v>
      </c>
    </row>
    <row r="301" spans="1:14" x14ac:dyDescent="0.45">
      <c r="A301">
        <f t="shared" si="39"/>
        <v>300</v>
      </c>
      <c r="B301">
        <f t="shared" ca="1" si="32"/>
        <v>0.53539736151755624</v>
      </c>
      <c r="C301" t="str">
        <f ca="1">IF(B301&lt;=distribution!$D$2,distribution!$B$2,IF(B301&lt;=distribution!$D$3,distribution!$B$3,distribution!$B$4))</f>
        <v>ON</v>
      </c>
      <c r="D301">
        <f t="shared" ca="1" si="33"/>
        <v>0.49211274225040058</v>
      </c>
      <c r="E301" t="str">
        <f ca="1">IF(D301&lt;=distribution!$D$5,distribution!$B$5,distribution!$B$6)</f>
        <v>A</v>
      </c>
      <c r="F301">
        <f t="shared" ca="1" si="34"/>
        <v>0.62974248485793505</v>
      </c>
      <c r="G301" t="str">
        <f ca="1">IF(F301&lt;=distribution!$D$7,distribution!$B$7,IF(F301&lt;=distribution!$D$8,distribution!$B$8,IF(F301&lt;=distribution!$D$9,distribution!$B$9,distribution!$B$10)))</f>
        <v>45-54</v>
      </c>
      <c r="H301">
        <f ca="1">VLOOKUP(G301,age_band!$A$1:$C$5,2,FALSE)</f>
        <v>45</v>
      </c>
      <c r="I301">
        <f ca="1">VLOOKUP(G301,age_band!$A$2:$C$5,3,FALSE)</f>
        <v>54</v>
      </c>
      <c r="J301">
        <f t="shared" ca="1" si="35"/>
        <v>51</v>
      </c>
      <c r="K301">
        <f t="shared" ca="1" si="36"/>
        <v>0.39469339707580553</v>
      </c>
      <c r="L301" t="str">
        <f ca="1">IF(K301&lt;=distribution!$D$11,distribution!$B$11,distribution!$B$12)</f>
        <v>N</v>
      </c>
      <c r="M301">
        <f t="shared" ca="1" si="37"/>
        <v>56448</v>
      </c>
      <c r="N301">
        <f t="shared" ca="1" si="38"/>
        <v>56448</v>
      </c>
    </row>
    <row r="302" spans="1:14" x14ac:dyDescent="0.45">
      <c r="A302">
        <f t="shared" si="39"/>
        <v>301</v>
      </c>
      <c r="B302">
        <f t="shared" ca="1" si="32"/>
        <v>0.92430659758390687</v>
      </c>
      <c r="C302" t="str">
        <f ca="1">IF(B302&lt;=distribution!$D$2,distribution!$B$2,IF(B302&lt;=distribution!$D$3,distribution!$B$3,distribution!$B$4))</f>
        <v>BC</v>
      </c>
      <c r="D302">
        <f t="shared" ca="1" si="33"/>
        <v>0.29155448319788024</v>
      </c>
      <c r="E302" t="str">
        <f ca="1">IF(D302&lt;=distribution!$D$5,distribution!$B$5,distribution!$B$6)</f>
        <v>A</v>
      </c>
      <c r="F302">
        <f t="shared" ca="1" si="34"/>
        <v>0.95931213618283961</v>
      </c>
      <c r="G302" t="str">
        <f ca="1">IF(F302&lt;=distribution!$D$7,distribution!$B$7,IF(F302&lt;=distribution!$D$8,distribution!$B$8,IF(F302&lt;=distribution!$D$9,distribution!$B$9,distribution!$B$10)))</f>
        <v>55-64</v>
      </c>
      <c r="H302">
        <f ca="1">VLOOKUP(G302,age_band!$A$1:$C$5,2,FALSE)</f>
        <v>55</v>
      </c>
      <c r="I302">
        <f ca="1">VLOOKUP(G302,age_band!$A$2:$C$5,3,FALSE)</f>
        <v>64</v>
      </c>
      <c r="J302">
        <f t="shared" ca="1" si="35"/>
        <v>58</v>
      </c>
      <c r="K302">
        <f t="shared" ca="1" si="36"/>
        <v>0.14875766382814748</v>
      </c>
      <c r="L302" t="str">
        <f ca="1">IF(K302&lt;=distribution!$D$11,distribution!$B$11,distribution!$B$12)</f>
        <v>N</v>
      </c>
      <c r="M302">
        <f t="shared" ca="1" si="37"/>
        <v>70320</v>
      </c>
      <c r="N302">
        <f t="shared" ca="1" si="38"/>
        <v>70320</v>
      </c>
    </row>
    <row r="303" spans="1:14" x14ac:dyDescent="0.45">
      <c r="A303">
        <f t="shared" si="39"/>
        <v>302</v>
      </c>
      <c r="B303">
        <f t="shared" ca="1" si="32"/>
        <v>0.29854272511982161</v>
      </c>
      <c r="C303" t="str">
        <f ca="1">IF(B303&lt;=distribution!$D$2,distribution!$B$2,IF(B303&lt;=distribution!$D$3,distribution!$B$3,distribution!$B$4))</f>
        <v>ON</v>
      </c>
      <c r="D303">
        <f t="shared" ca="1" si="33"/>
        <v>0.25779757997991859</v>
      </c>
      <c r="E303" t="str">
        <f ca="1">IF(D303&lt;=distribution!$D$5,distribution!$B$5,distribution!$B$6)</f>
        <v>A</v>
      </c>
      <c r="F303">
        <f t="shared" ca="1" si="34"/>
        <v>0.28783697433989608</v>
      </c>
      <c r="G303" t="str">
        <f ca="1">IF(F303&lt;=distribution!$D$7,distribution!$B$7,IF(F303&lt;=distribution!$D$8,distribution!$B$8,IF(F303&lt;=distribution!$D$9,distribution!$B$9,distribution!$B$10)))</f>
        <v>35-44</v>
      </c>
      <c r="H303">
        <f ca="1">VLOOKUP(G303,age_band!$A$1:$C$5,2,FALSE)</f>
        <v>35</v>
      </c>
      <c r="I303">
        <f ca="1">VLOOKUP(G303,age_band!$A$2:$C$5,3,FALSE)</f>
        <v>44</v>
      </c>
      <c r="J303">
        <f t="shared" ca="1" si="35"/>
        <v>40</v>
      </c>
      <c r="K303">
        <f t="shared" ca="1" si="36"/>
        <v>0.28782351313766297</v>
      </c>
      <c r="L303" t="str">
        <f ca="1">IF(K303&lt;=distribution!$D$11,distribution!$B$11,distribution!$B$12)</f>
        <v>N</v>
      </c>
      <c r="M303">
        <f t="shared" ca="1" si="37"/>
        <v>52031</v>
      </c>
      <c r="N303">
        <f t="shared" ca="1" si="38"/>
        <v>52031</v>
      </c>
    </row>
    <row r="304" spans="1:14" x14ac:dyDescent="0.45">
      <c r="A304">
        <f t="shared" si="39"/>
        <v>303</v>
      </c>
      <c r="B304">
        <f t="shared" ca="1" si="32"/>
        <v>0.37298750781868784</v>
      </c>
      <c r="C304" t="str">
        <f ca="1">IF(B304&lt;=distribution!$D$2,distribution!$B$2,IF(B304&lt;=distribution!$D$3,distribution!$B$3,distribution!$B$4))</f>
        <v>ON</v>
      </c>
      <c r="D304">
        <f t="shared" ca="1" si="33"/>
        <v>0.81143309090639737</v>
      </c>
      <c r="E304" t="str">
        <f ca="1">IF(D304&lt;=distribution!$D$5,distribution!$B$5,distribution!$B$6)</f>
        <v>B</v>
      </c>
      <c r="F304">
        <f t="shared" ca="1" si="34"/>
        <v>0.29020639756583033</v>
      </c>
      <c r="G304" t="str">
        <f ca="1">IF(F304&lt;=distribution!$D$7,distribution!$B$7,IF(F304&lt;=distribution!$D$8,distribution!$B$8,IF(F304&lt;=distribution!$D$9,distribution!$B$9,distribution!$B$10)))</f>
        <v>35-44</v>
      </c>
      <c r="H304">
        <f ca="1">VLOOKUP(G304,age_band!$A$1:$C$5,2,FALSE)</f>
        <v>35</v>
      </c>
      <c r="I304">
        <f ca="1">VLOOKUP(G304,age_band!$A$2:$C$5,3,FALSE)</f>
        <v>44</v>
      </c>
      <c r="J304">
        <f t="shared" ca="1" si="35"/>
        <v>35</v>
      </c>
      <c r="K304">
        <f t="shared" ca="1" si="36"/>
        <v>0.79601124371384735</v>
      </c>
      <c r="L304" t="str">
        <f ca="1">IF(K304&lt;=distribution!$D$11,distribution!$B$11,distribution!$B$12)</f>
        <v>N</v>
      </c>
      <c r="M304">
        <f t="shared" ca="1" si="37"/>
        <v>57821</v>
      </c>
      <c r="N304">
        <f t="shared" ca="1" si="38"/>
        <v>57821</v>
      </c>
    </row>
    <row r="305" spans="1:14" x14ac:dyDescent="0.45">
      <c r="A305">
        <f t="shared" si="39"/>
        <v>304</v>
      </c>
      <c r="B305">
        <f t="shared" ca="1" si="32"/>
        <v>0.97043848341748551</v>
      </c>
      <c r="C305" t="str">
        <f ca="1">IF(B305&lt;=distribution!$D$2,distribution!$B$2,IF(B305&lt;=distribution!$D$3,distribution!$B$3,distribution!$B$4))</f>
        <v>BC</v>
      </c>
      <c r="D305">
        <f t="shared" ca="1" si="33"/>
        <v>0.39545921646112392</v>
      </c>
      <c r="E305" t="str">
        <f ca="1">IF(D305&lt;=distribution!$D$5,distribution!$B$5,distribution!$B$6)</f>
        <v>A</v>
      </c>
      <c r="F305">
        <f t="shared" ca="1" si="34"/>
        <v>0.95826172285123523</v>
      </c>
      <c r="G305" t="str">
        <f ca="1">IF(F305&lt;=distribution!$D$7,distribution!$B$7,IF(F305&lt;=distribution!$D$8,distribution!$B$8,IF(F305&lt;=distribution!$D$9,distribution!$B$9,distribution!$B$10)))</f>
        <v>55-64</v>
      </c>
      <c r="H305">
        <f ca="1">VLOOKUP(G305,age_band!$A$1:$C$5,2,FALSE)</f>
        <v>55</v>
      </c>
      <c r="I305">
        <f ca="1">VLOOKUP(G305,age_band!$A$2:$C$5,3,FALSE)</f>
        <v>64</v>
      </c>
      <c r="J305">
        <f t="shared" ca="1" si="35"/>
        <v>58</v>
      </c>
      <c r="K305">
        <f t="shared" ca="1" si="36"/>
        <v>0.18377623423458744</v>
      </c>
      <c r="L305" t="str">
        <f ca="1">IF(K305&lt;=distribution!$D$11,distribution!$B$11,distribution!$B$12)</f>
        <v>N</v>
      </c>
      <c r="M305">
        <f t="shared" ca="1" si="37"/>
        <v>104291</v>
      </c>
      <c r="N305">
        <f t="shared" ca="1" si="38"/>
        <v>104291</v>
      </c>
    </row>
    <row r="306" spans="1:14" x14ac:dyDescent="0.45">
      <c r="A306">
        <f t="shared" si="39"/>
        <v>305</v>
      </c>
      <c r="B306">
        <f t="shared" ca="1" si="32"/>
        <v>0.8535488009080151</v>
      </c>
      <c r="C306" t="str">
        <f ca="1">IF(B306&lt;=distribution!$D$2,distribution!$B$2,IF(B306&lt;=distribution!$D$3,distribution!$B$3,distribution!$B$4))</f>
        <v>BC</v>
      </c>
      <c r="D306">
        <f t="shared" ca="1" si="33"/>
        <v>0.53335206943529556</v>
      </c>
      <c r="E306" t="str">
        <f ca="1">IF(D306&lt;=distribution!$D$5,distribution!$B$5,distribution!$B$6)</f>
        <v>A</v>
      </c>
      <c r="F306">
        <f t="shared" ca="1" si="34"/>
        <v>0.96521582000168304</v>
      </c>
      <c r="G306" t="str">
        <f ca="1">IF(F306&lt;=distribution!$D$7,distribution!$B$7,IF(F306&lt;=distribution!$D$8,distribution!$B$8,IF(F306&lt;=distribution!$D$9,distribution!$B$9,distribution!$B$10)))</f>
        <v>55-64</v>
      </c>
      <c r="H306">
        <f ca="1">VLOOKUP(G306,age_band!$A$1:$C$5,2,FALSE)</f>
        <v>55</v>
      </c>
      <c r="I306">
        <f ca="1">VLOOKUP(G306,age_band!$A$2:$C$5,3,FALSE)</f>
        <v>64</v>
      </c>
      <c r="J306">
        <f t="shared" ca="1" si="35"/>
        <v>60</v>
      </c>
      <c r="K306">
        <f t="shared" ca="1" si="36"/>
        <v>0.57896633170515854</v>
      </c>
      <c r="L306" t="str">
        <f ca="1">IF(K306&lt;=distribution!$D$11,distribution!$B$11,distribution!$B$12)</f>
        <v>N</v>
      </c>
      <c r="M306">
        <f t="shared" ca="1" si="37"/>
        <v>110048</v>
      </c>
      <c r="N306">
        <f t="shared" ca="1" si="38"/>
        <v>110048</v>
      </c>
    </row>
    <row r="307" spans="1:14" x14ac:dyDescent="0.45">
      <c r="A307">
        <f t="shared" si="39"/>
        <v>306</v>
      </c>
      <c r="B307">
        <f t="shared" ca="1" si="32"/>
        <v>0.62698039367115832</v>
      </c>
      <c r="C307" t="str">
        <f ca="1">IF(B307&lt;=distribution!$D$2,distribution!$B$2,IF(B307&lt;=distribution!$D$3,distribution!$B$3,distribution!$B$4))</f>
        <v>QC</v>
      </c>
      <c r="D307">
        <f t="shared" ca="1" si="33"/>
        <v>0.68464278545847235</v>
      </c>
      <c r="E307" t="str">
        <f ca="1">IF(D307&lt;=distribution!$D$5,distribution!$B$5,distribution!$B$6)</f>
        <v>B</v>
      </c>
      <c r="F307">
        <f t="shared" ca="1" si="34"/>
        <v>0.32841625202908031</v>
      </c>
      <c r="G307" t="str">
        <f ca="1">IF(F307&lt;=distribution!$D$7,distribution!$B$7,IF(F307&lt;=distribution!$D$8,distribution!$B$8,IF(F307&lt;=distribution!$D$9,distribution!$B$9,distribution!$B$10)))</f>
        <v>35-44</v>
      </c>
      <c r="H307">
        <f ca="1">VLOOKUP(G307,age_band!$A$1:$C$5,2,FALSE)</f>
        <v>35</v>
      </c>
      <c r="I307">
        <f ca="1">VLOOKUP(G307,age_band!$A$2:$C$5,3,FALSE)</f>
        <v>44</v>
      </c>
      <c r="J307">
        <f t="shared" ca="1" si="35"/>
        <v>43</v>
      </c>
      <c r="K307">
        <f t="shared" ca="1" si="36"/>
        <v>0.72190140895030275</v>
      </c>
      <c r="L307" t="str">
        <f ca="1">IF(K307&lt;=distribution!$D$11,distribution!$B$11,distribution!$B$12)</f>
        <v>N</v>
      </c>
      <c r="M307">
        <f t="shared" ca="1" si="37"/>
        <v>75552</v>
      </c>
      <c r="N307">
        <f t="shared" ca="1" si="38"/>
        <v>75552</v>
      </c>
    </row>
    <row r="308" spans="1:14" x14ac:dyDescent="0.45">
      <c r="A308">
        <f t="shared" si="39"/>
        <v>307</v>
      </c>
      <c r="B308">
        <f t="shared" ca="1" si="32"/>
        <v>0.23055516408353249</v>
      </c>
      <c r="C308" t="str">
        <f ca="1">IF(B308&lt;=distribution!$D$2,distribution!$B$2,IF(B308&lt;=distribution!$D$3,distribution!$B$3,distribution!$B$4))</f>
        <v>ON</v>
      </c>
      <c r="D308">
        <f t="shared" ca="1" si="33"/>
        <v>0.86232945669270178</v>
      </c>
      <c r="E308" t="str">
        <f ca="1">IF(D308&lt;=distribution!$D$5,distribution!$B$5,distribution!$B$6)</f>
        <v>B</v>
      </c>
      <c r="F308">
        <f t="shared" ca="1" si="34"/>
        <v>0.46523651812356825</v>
      </c>
      <c r="G308" t="str">
        <f ca="1">IF(F308&lt;=distribution!$D$7,distribution!$B$7,IF(F308&lt;=distribution!$D$8,distribution!$B$8,IF(F308&lt;=distribution!$D$9,distribution!$B$9,distribution!$B$10)))</f>
        <v>35-44</v>
      </c>
      <c r="H308">
        <f ca="1">VLOOKUP(G308,age_band!$A$1:$C$5,2,FALSE)</f>
        <v>35</v>
      </c>
      <c r="I308">
        <f ca="1">VLOOKUP(G308,age_band!$A$2:$C$5,3,FALSE)</f>
        <v>44</v>
      </c>
      <c r="J308">
        <f t="shared" ca="1" si="35"/>
        <v>36</v>
      </c>
      <c r="K308">
        <f t="shared" ca="1" si="36"/>
        <v>0.27510388276010989</v>
      </c>
      <c r="L308" t="str">
        <f ca="1">IF(K308&lt;=distribution!$D$11,distribution!$B$11,distribution!$B$12)</f>
        <v>N</v>
      </c>
      <c r="M308">
        <f t="shared" ca="1" si="37"/>
        <v>72158</v>
      </c>
      <c r="N308">
        <f t="shared" ca="1" si="38"/>
        <v>72158</v>
      </c>
    </row>
    <row r="309" spans="1:14" x14ac:dyDescent="0.45">
      <c r="A309">
        <f t="shared" si="39"/>
        <v>308</v>
      </c>
      <c r="B309">
        <f t="shared" ca="1" si="32"/>
        <v>0.78113347284882284</v>
      </c>
      <c r="C309" t="str">
        <f ca="1">IF(B309&lt;=distribution!$D$2,distribution!$B$2,IF(B309&lt;=distribution!$D$3,distribution!$B$3,distribution!$B$4))</f>
        <v>BC</v>
      </c>
      <c r="D309">
        <f t="shared" ca="1" si="33"/>
        <v>4.5336579102329799E-2</v>
      </c>
      <c r="E309" t="str">
        <f ca="1">IF(D309&lt;=distribution!$D$5,distribution!$B$5,distribution!$B$6)</f>
        <v>A</v>
      </c>
      <c r="F309">
        <f t="shared" ca="1" si="34"/>
        <v>0.31196618315777758</v>
      </c>
      <c r="G309" t="str">
        <f ca="1">IF(F309&lt;=distribution!$D$7,distribution!$B$7,IF(F309&lt;=distribution!$D$8,distribution!$B$8,IF(F309&lt;=distribution!$D$9,distribution!$B$9,distribution!$B$10)))</f>
        <v>35-44</v>
      </c>
      <c r="H309">
        <f ca="1">VLOOKUP(G309,age_band!$A$1:$C$5,2,FALSE)</f>
        <v>35</v>
      </c>
      <c r="I309">
        <f ca="1">VLOOKUP(G309,age_band!$A$2:$C$5,3,FALSE)</f>
        <v>44</v>
      </c>
      <c r="J309">
        <f t="shared" ca="1" si="35"/>
        <v>39</v>
      </c>
      <c r="K309">
        <f t="shared" ca="1" si="36"/>
        <v>0.53556124743970357</v>
      </c>
      <c r="L309" t="str">
        <f ca="1">IF(K309&lt;=distribution!$D$11,distribution!$B$11,distribution!$B$12)</f>
        <v>N</v>
      </c>
      <c r="M309">
        <f t="shared" ca="1" si="37"/>
        <v>108929</v>
      </c>
      <c r="N309">
        <f t="shared" ca="1" si="38"/>
        <v>108929</v>
      </c>
    </row>
    <row r="310" spans="1:14" x14ac:dyDescent="0.45">
      <c r="A310">
        <f t="shared" si="39"/>
        <v>309</v>
      </c>
      <c r="B310">
        <f t="shared" ca="1" si="32"/>
        <v>0.76976104077179386</v>
      </c>
      <c r="C310" t="str">
        <f ca="1">IF(B310&lt;=distribution!$D$2,distribution!$B$2,IF(B310&lt;=distribution!$D$3,distribution!$B$3,distribution!$B$4))</f>
        <v>BC</v>
      </c>
      <c r="D310">
        <f t="shared" ca="1" si="33"/>
        <v>0.13059359102217083</v>
      </c>
      <c r="E310" t="str">
        <f ca="1">IF(D310&lt;=distribution!$D$5,distribution!$B$5,distribution!$B$6)</f>
        <v>A</v>
      </c>
      <c r="F310">
        <f t="shared" ca="1" si="34"/>
        <v>0.73964854079293196</v>
      </c>
      <c r="G310" t="str">
        <f ca="1">IF(F310&lt;=distribution!$D$7,distribution!$B$7,IF(F310&lt;=distribution!$D$8,distribution!$B$8,IF(F310&lt;=distribution!$D$9,distribution!$B$9,distribution!$B$10)))</f>
        <v>45-54</v>
      </c>
      <c r="H310">
        <f ca="1">VLOOKUP(G310,age_band!$A$1:$C$5,2,FALSE)</f>
        <v>45</v>
      </c>
      <c r="I310">
        <f ca="1">VLOOKUP(G310,age_band!$A$2:$C$5,3,FALSE)</f>
        <v>54</v>
      </c>
      <c r="J310">
        <f t="shared" ca="1" si="35"/>
        <v>53</v>
      </c>
      <c r="K310">
        <f t="shared" ca="1" si="36"/>
        <v>3.478358612528909E-2</v>
      </c>
      <c r="L310" t="str">
        <f ca="1">IF(K310&lt;=distribution!$D$11,distribution!$B$11,distribution!$B$12)</f>
        <v>N</v>
      </c>
      <c r="M310">
        <f t="shared" ca="1" si="37"/>
        <v>90248</v>
      </c>
      <c r="N310">
        <f t="shared" ca="1" si="38"/>
        <v>90248</v>
      </c>
    </row>
    <row r="311" spans="1:14" x14ac:dyDescent="0.45">
      <c r="A311">
        <f t="shared" si="39"/>
        <v>310</v>
      </c>
      <c r="B311">
        <f t="shared" ca="1" si="32"/>
        <v>0.69342034197188351</v>
      </c>
      <c r="C311" t="str">
        <f ca="1">IF(B311&lt;=distribution!$D$2,distribution!$B$2,IF(B311&lt;=distribution!$D$3,distribution!$B$3,distribution!$B$4))</f>
        <v>QC</v>
      </c>
      <c r="D311">
        <f t="shared" ca="1" si="33"/>
        <v>3.0003751718990501E-2</v>
      </c>
      <c r="E311" t="str">
        <f ca="1">IF(D311&lt;=distribution!$D$5,distribution!$B$5,distribution!$B$6)</f>
        <v>A</v>
      </c>
      <c r="F311">
        <f t="shared" ca="1" si="34"/>
        <v>0.49747127783911349</v>
      </c>
      <c r="G311" t="str">
        <f ca="1">IF(F311&lt;=distribution!$D$7,distribution!$B$7,IF(F311&lt;=distribution!$D$8,distribution!$B$8,IF(F311&lt;=distribution!$D$9,distribution!$B$9,distribution!$B$10)))</f>
        <v>35-44</v>
      </c>
      <c r="H311">
        <f ca="1">VLOOKUP(G311,age_band!$A$1:$C$5,2,FALSE)</f>
        <v>35</v>
      </c>
      <c r="I311">
        <f ca="1">VLOOKUP(G311,age_band!$A$2:$C$5,3,FALSE)</f>
        <v>44</v>
      </c>
      <c r="J311">
        <f t="shared" ca="1" si="35"/>
        <v>39</v>
      </c>
      <c r="K311">
        <f t="shared" ca="1" si="36"/>
        <v>0.82636131356753184</v>
      </c>
      <c r="L311" t="str">
        <f ca="1">IF(K311&lt;=distribution!$D$11,distribution!$B$11,distribution!$B$12)</f>
        <v>N</v>
      </c>
      <c r="M311">
        <f t="shared" ca="1" si="37"/>
        <v>93362</v>
      </c>
      <c r="N311">
        <f t="shared" ca="1" si="38"/>
        <v>93362</v>
      </c>
    </row>
    <row r="312" spans="1:14" x14ac:dyDescent="0.45">
      <c r="A312">
        <f t="shared" si="39"/>
        <v>311</v>
      </c>
      <c r="B312">
        <f t="shared" ca="1" si="32"/>
        <v>0.22990513183369643</v>
      </c>
      <c r="C312" t="str">
        <f ca="1">IF(B312&lt;=distribution!$D$2,distribution!$B$2,IF(B312&lt;=distribution!$D$3,distribution!$B$3,distribution!$B$4))</f>
        <v>ON</v>
      </c>
      <c r="D312">
        <f t="shared" ca="1" si="33"/>
        <v>0.79479758739153605</v>
      </c>
      <c r="E312" t="str">
        <f ca="1">IF(D312&lt;=distribution!$D$5,distribution!$B$5,distribution!$B$6)</f>
        <v>B</v>
      </c>
      <c r="F312">
        <f t="shared" ca="1" si="34"/>
        <v>0.87953467796381968</v>
      </c>
      <c r="G312" t="str">
        <f ca="1">IF(F312&lt;=distribution!$D$7,distribution!$B$7,IF(F312&lt;=distribution!$D$8,distribution!$B$8,IF(F312&lt;=distribution!$D$9,distribution!$B$9,distribution!$B$10)))</f>
        <v>55-64</v>
      </c>
      <c r="H312">
        <f ca="1">VLOOKUP(G312,age_band!$A$1:$C$5,2,FALSE)</f>
        <v>55</v>
      </c>
      <c r="I312">
        <f ca="1">VLOOKUP(G312,age_band!$A$2:$C$5,3,FALSE)</f>
        <v>64</v>
      </c>
      <c r="J312">
        <f t="shared" ca="1" si="35"/>
        <v>60</v>
      </c>
      <c r="K312">
        <f t="shared" ca="1" si="36"/>
        <v>0.2387177419493538</v>
      </c>
      <c r="L312" t="str">
        <f ca="1">IF(K312&lt;=distribution!$D$11,distribution!$B$11,distribution!$B$12)</f>
        <v>N</v>
      </c>
      <c r="M312">
        <f t="shared" ca="1" si="37"/>
        <v>63717</v>
      </c>
      <c r="N312">
        <f t="shared" ca="1" si="38"/>
        <v>63717</v>
      </c>
    </row>
    <row r="313" spans="1:14" x14ac:dyDescent="0.45">
      <c r="A313">
        <f t="shared" si="39"/>
        <v>312</v>
      </c>
      <c r="B313">
        <f t="shared" ca="1" si="32"/>
        <v>0.98729012313262665</v>
      </c>
      <c r="C313" t="str">
        <f ca="1">IF(B313&lt;=distribution!$D$2,distribution!$B$2,IF(B313&lt;=distribution!$D$3,distribution!$B$3,distribution!$B$4))</f>
        <v>BC</v>
      </c>
      <c r="D313">
        <f t="shared" ca="1" si="33"/>
        <v>0.56682939923950726</v>
      </c>
      <c r="E313" t="str">
        <f ca="1">IF(D313&lt;=distribution!$D$5,distribution!$B$5,distribution!$B$6)</f>
        <v>A</v>
      </c>
      <c r="F313">
        <f t="shared" ca="1" si="34"/>
        <v>0.273278585257545</v>
      </c>
      <c r="G313" t="str">
        <f ca="1">IF(F313&lt;=distribution!$D$7,distribution!$B$7,IF(F313&lt;=distribution!$D$8,distribution!$B$8,IF(F313&lt;=distribution!$D$9,distribution!$B$9,distribution!$B$10)))</f>
        <v>35-44</v>
      </c>
      <c r="H313">
        <f ca="1">VLOOKUP(G313,age_band!$A$1:$C$5,2,FALSE)</f>
        <v>35</v>
      </c>
      <c r="I313">
        <f ca="1">VLOOKUP(G313,age_band!$A$2:$C$5,3,FALSE)</f>
        <v>44</v>
      </c>
      <c r="J313">
        <f t="shared" ca="1" si="35"/>
        <v>41</v>
      </c>
      <c r="K313">
        <f t="shared" ca="1" si="36"/>
        <v>0.75564409553220702</v>
      </c>
      <c r="L313" t="str">
        <f ca="1">IF(K313&lt;=distribution!$D$11,distribution!$B$11,distribution!$B$12)</f>
        <v>N</v>
      </c>
      <c r="M313">
        <f t="shared" ca="1" si="37"/>
        <v>125908</v>
      </c>
      <c r="N313">
        <f t="shared" ca="1" si="38"/>
        <v>125908</v>
      </c>
    </row>
    <row r="314" spans="1:14" x14ac:dyDescent="0.45">
      <c r="A314">
        <f t="shared" si="39"/>
        <v>313</v>
      </c>
      <c r="B314">
        <f t="shared" ca="1" si="32"/>
        <v>0.4619256663575293</v>
      </c>
      <c r="C314" t="str">
        <f ca="1">IF(B314&lt;=distribution!$D$2,distribution!$B$2,IF(B314&lt;=distribution!$D$3,distribution!$B$3,distribution!$B$4))</f>
        <v>ON</v>
      </c>
      <c r="D314">
        <f t="shared" ca="1" si="33"/>
        <v>0.64945658640963788</v>
      </c>
      <c r="E314" t="str">
        <f ca="1">IF(D314&lt;=distribution!$D$5,distribution!$B$5,distribution!$B$6)</f>
        <v>A</v>
      </c>
      <c r="F314">
        <f t="shared" ca="1" si="34"/>
        <v>0.22610438250967457</v>
      </c>
      <c r="G314" t="str">
        <f ca="1">IF(F314&lt;=distribution!$D$7,distribution!$B$7,IF(F314&lt;=distribution!$D$8,distribution!$B$8,IF(F314&lt;=distribution!$D$9,distribution!$B$9,distribution!$B$10)))</f>
        <v>25-34</v>
      </c>
      <c r="H314">
        <f ca="1">VLOOKUP(G314,age_band!$A$1:$C$5,2,FALSE)</f>
        <v>25</v>
      </c>
      <c r="I314">
        <f ca="1">VLOOKUP(G314,age_band!$A$2:$C$5,3,FALSE)</f>
        <v>34</v>
      </c>
      <c r="J314">
        <f t="shared" ca="1" si="35"/>
        <v>26</v>
      </c>
      <c r="K314">
        <f t="shared" ca="1" si="36"/>
        <v>0.27996093346695272</v>
      </c>
      <c r="L314" t="str">
        <f ca="1">IF(K314&lt;=distribution!$D$11,distribution!$B$11,distribution!$B$12)</f>
        <v>N</v>
      </c>
      <c r="M314">
        <f t="shared" ca="1" si="37"/>
        <v>54531</v>
      </c>
      <c r="N314">
        <f t="shared" ca="1" si="38"/>
        <v>54531</v>
      </c>
    </row>
    <row r="315" spans="1:14" x14ac:dyDescent="0.45">
      <c r="A315">
        <f t="shared" si="39"/>
        <v>314</v>
      </c>
      <c r="B315">
        <f t="shared" ca="1" si="32"/>
        <v>0.73688968038004599</v>
      </c>
      <c r="C315" t="str">
        <f ca="1">IF(B315&lt;=distribution!$D$2,distribution!$B$2,IF(B315&lt;=distribution!$D$3,distribution!$B$3,distribution!$B$4))</f>
        <v>QC</v>
      </c>
      <c r="D315">
        <f t="shared" ca="1" si="33"/>
        <v>0.74998720340475022</v>
      </c>
      <c r="E315" t="str">
        <f ca="1">IF(D315&lt;=distribution!$D$5,distribution!$B$5,distribution!$B$6)</f>
        <v>B</v>
      </c>
      <c r="F315">
        <f t="shared" ca="1" si="34"/>
        <v>0.51829125012768262</v>
      </c>
      <c r="G315" t="str">
        <f ca="1">IF(F315&lt;=distribution!$D$7,distribution!$B$7,IF(F315&lt;=distribution!$D$8,distribution!$B$8,IF(F315&lt;=distribution!$D$9,distribution!$B$9,distribution!$B$10)))</f>
        <v>35-44</v>
      </c>
      <c r="H315">
        <f ca="1">VLOOKUP(G315,age_band!$A$1:$C$5,2,FALSE)</f>
        <v>35</v>
      </c>
      <c r="I315">
        <f ca="1">VLOOKUP(G315,age_band!$A$2:$C$5,3,FALSE)</f>
        <v>44</v>
      </c>
      <c r="J315">
        <f t="shared" ca="1" si="35"/>
        <v>42</v>
      </c>
      <c r="K315">
        <f t="shared" ca="1" si="36"/>
        <v>4.1339411315733487E-2</v>
      </c>
      <c r="L315" t="str">
        <f ca="1">IF(K315&lt;=distribution!$D$11,distribution!$B$11,distribution!$B$12)</f>
        <v>N</v>
      </c>
      <c r="M315">
        <f t="shared" ca="1" si="37"/>
        <v>53069</v>
      </c>
      <c r="N315">
        <f t="shared" ca="1" si="38"/>
        <v>53069</v>
      </c>
    </row>
    <row r="316" spans="1:14" x14ac:dyDescent="0.45">
      <c r="A316">
        <f t="shared" si="39"/>
        <v>315</v>
      </c>
      <c r="B316">
        <f t="shared" ca="1" si="32"/>
        <v>0.18859723225778968</v>
      </c>
      <c r="C316" t="str">
        <f ca="1">IF(B316&lt;=distribution!$D$2,distribution!$B$2,IF(B316&lt;=distribution!$D$3,distribution!$B$3,distribution!$B$4))</f>
        <v>ON</v>
      </c>
      <c r="D316">
        <f t="shared" ca="1" si="33"/>
        <v>0.98903336236916584</v>
      </c>
      <c r="E316" t="str">
        <f ca="1">IF(D316&lt;=distribution!$D$5,distribution!$B$5,distribution!$B$6)</f>
        <v>B</v>
      </c>
      <c r="F316">
        <f t="shared" ca="1" si="34"/>
        <v>0.71349567703415795</v>
      </c>
      <c r="G316" t="str">
        <f ca="1">IF(F316&lt;=distribution!$D$7,distribution!$B$7,IF(F316&lt;=distribution!$D$8,distribution!$B$8,IF(F316&lt;=distribution!$D$9,distribution!$B$9,distribution!$B$10)))</f>
        <v>45-54</v>
      </c>
      <c r="H316">
        <f ca="1">VLOOKUP(G316,age_band!$A$1:$C$5,2,FALSE)</f>
        <v>45</v>
      </c>
      <c r="I316">
        <f ca="1">VLOOKUP(G316,age_band!$A$2:$C$5,3,FALSE)</f>
        <v>54</v>
      </c>
      <c r="J316">
        <f t="shared" ca="1" si="35"/>
        <v>49</v>
      </c>
      <c r="K316">
        <f t="shared" ca="1" si="36"/>
        <v>0.87233714196838008</v>
      </c>
      <c r="L316" t="str">
        <f ca="1">IF(K316&lt;=distribution!$D$11,distribution!$B$11,distribution!$B$12)</f>
        <v>Y</v>
      </c>
      <c r="M316">
        <f t="shared" ca="1" si="37"/>
        <v>65882</v>
      </c>
      <c r="N316">
        <f t="shared" ca="1" si="38"/>
        <v>65882</v>
      </c>
    </row>
    <row r="317" spans="1:14" x14ac:dyDescent="0.45">
      <c r="A317">
        <f t="shared" si="39"/>
        <v>316</v>
      </c>
      <c r="B317">
        <f t="shared" ca="1" si="32"/>
        <v>0.2020975968874007</v>
      </c>
      <c r="C317" t="str">
        <f ca="1">IF(B317&lt;=distribution!$D$2,distribution!$B$2,IF(B317&lt;=distribution!$D$3,distribution!$B$3,distribution!$B$4))</f>
        <v>ON</v>
      </c>
      <c r="D317">
        <f t="shared" ca="1" si="33"/>
        <v>0.76860118694357571</v>
      </c>
      <c r="E317" t="str">
        <f ca="1">IF(D317&lt;=distribution!$D$5,distribution!$B$5,distribution!$B$6)</f>
        <v>B</v>
      </c>
      <c r="F317">
        <f t="shared" ca="1" si="34"/>
        <v>0.80291731139942957</v>
      </c>
      <c r="G317" t="str">
        <f ca="1">IF(F317&lt;=distribution!$D$7,distribution!$B$7,IF(F317&lt;=distribution!$D$8,distribution!$B$8,IF(F317&lt;=distribution!$D$9,distribution!$B$9,distribution!$B$10)))</f>
        <v>45-54</v>
      </c>
      <c r="H317">
        <f ca="1">VLOOKUP(G317,age_band!$A$1:$C$5,2,FALSE)</f>
        <v>45</v>
      </c>
      <c r="I317">
        <f ca="1">VLOOKUP(G317,age_band!$A$2:$C$5,3,FALSE)</f>
        <v>54</v>
      </c>
      <c r="J317">
        <f t="shared" ca="1" si="35"/>
        <v>48</v>
      </c>
      <c r="K317">
        <f t="shared" ca="1" si="36"/>
        <v>0.97244495363381356</v>
      </c>
      <c r="L317" t="str">
        <f ca="1">IF(K317&lt;=distribution!$D$11,distribution!$B$11,distribution!$B$12)</f>
        <v>Y</v>
      </c>
      <c r="M317">
        <f t="shared" ca="1" si="37"/>
        <v>58370</v>
      </c>
      <c r="N317">
        <f t="shared" ca="1" si="38"/>
        <v>58370</v>
      </c>
    </row>
    <row r="318" spans="1:14" x14ac:dyDescent="0.45">
      <c r="A318">
        <f t="shared" si="39"/>
        <v>317</v>
      </c>
      <c r="B318">
        <f t="shared" ca="1" si="32"/>
        <v>0.23443851257414261</v>
      </c>
      <c r="C318" t="str">
        <f ca="1">IF(B318&lt;=distribution!$D$2,distribution!$B$2,IF(B318&lt;=distribution!$D$3,distribution!$B$3,distribution!$B$4))</f>
        <v>ON</v>
      </c>
      <c r="D318">
        <f t="shared" ca="1" si="33"/>
        <v>0.11458145870849434</v>
      </c>
      <c r="E318" t="str">
        <f ca="1">IF(D318&lt;=distribution!$D$5,distribution!$B$5,distribution!$B$6)</f>
        <v>A</v>
      </c>
      <c r="F318">
        <f t="shared" ca="1" si="34"/>
        <v>0.92950376996042583</v>
      </c>
      <c r="G318" t="str">
        <f ca="1">IF(F318&lt;=distribution!$D$7,distribution!$B$7,IF(F318&lt;=distribution!$D$8,distribution!$B$8,IF(F318&lt;=distribution!$D$9,distribution!$B$9,distribution!$B$10)))</f>
        <v>55-64</v>
      </c>
      <c r="H318">
        <f ca="1">VLOOKUP(G318,age_band!$A$1:$C$5,2,FALSE)</f>
        <v>55</v>
      </c>
      <c r="I318">
        <f ca="1">VLOOKUP(G318,age_band!$A$2:$C$5,3,FALSE)</f>
        <v>64</v>
      </c>
      <c r="J318">
        <f t="shared" ca="1" si="35"/>
        <v>57</v>
      </c>
      <c r="K318">
        <f t="shared" ca="1" si="36"/>
        <v>9.0421342664167681E-2</v>
      </c>
      <c r="L318" t="str">
        <f ca="1">IF(K318&lt;=distribution!$D$11,distribution!$B$11,distribution!$B$12)</f>
        <v>N</v>
      </c>
      <c r="M318">
        <f t="shared" ca="1" si="37"/>
        <v>82008</v>
      </c>
      <c r="N318">
        <f t="shared" ca="1" si="38"/>
        <v>82008</v>
      </c>
    </row>
    <row r="319" spans="1:14" x14ac:dyDescent="0.45">
      <c r="A319">
        <f t="shared" si="39"/>
        <v>318</v>
      </c>
      <c r="B319">
        <f t="shared" ca="1" si="32"/>
        <v>0.49083500737843244</v>
      </c>
      <c r="C319" t="str">
        <f ca="1">IF(B319&lt;=distribution!$D$2,distribution!$B$2,IF(B319&lt;=distribution!$D$3,distribution!$B$3,distribution!$B$4))</f>
        <v>ON</v>
      </c>
      <c r="D319">
        <f t="shared" ca="1" si="33"/>
        <v>0.90902842856292299</v>
      </c>
      <c r="E319" t="str">
        <f ca="1">IF(D319&lt;=distribution!$D$5,distribution!$B$5,distribution!$B$6)</f>
        <v>B</v>
      </c>
      <c r="F319">
        <f t="shared" ca="1" si="34"/>
        <v>0.2881664480859637</v>
      </c>
      <c r="G319" t="str">
        <f ca="1">IF(F319&lt;=distribution!$D$7,distribution!$B$7,IF(F319&lt;=distribution!$D$8,distribution!$B$8,IF(F319&lt;=distribution!$D$9,distribution!$B$9,distribution!$B$10)))</f>
        <v>35-44</v>
      </c>
      <c r="H319">
        <f ca="1">VLOOKUP(G319,age_band!$A$1:$C$5,2,FALSE)</f>
        <v>35</v>
      </c>
      <c r="I319">
        <f ca="1">VLOOKUP(G319,age_band!$A$2:$C$5,3,FALSE)</f>
        <v>44</v>
      </c>
      <c r="J319">
        <f t="shared" ca="1" si="35"/>
        <v>39</v>
      </c>
      <c r="K319">
        <f t="shared" ca="1" si="36"/>
        <v>0.47909733605647531</v>
      </c>
      <c r="L319" t="str">
        <f ca="1">IF(K319&lt;=distribution!$D$11,distribution!$B$11,distribution!$B$12)</f>
        <v>N</v>
      </c>
      <c r="M319">
        <f t="shared" ca="1" si="37"/>
        <v>52366</v>
      </c>
      <c r="N319">
        <f t="shared" ca="1" si="38"/>
        <v>52366</v>
      </c>
    </row>
    <row r="320" spans="1:14" x14ac:dyDescent="0.45">
      <c r="A320">
        <f t="shared" si="39"/>
        <v>319</v>
      </c>
      <c r="B320">
        <f t="shared" ca="1" si="32"/>
        <v>0.82875460598572759</v>
      </c>
      <c r="C320" t="str">
        <f ca="1">IF(B320&lt;=distribution!$D$2,distribution!$B$2,IF(B320&lt;=distribution!$D$3,distribution!$B$3,distribution!$B$4))</f>
        <v>BC</v>
      </c>
      <c r="D320">
        <f t="shared" ca="1" si="33"/>
        <v>0.40369857766752659</v>
      </c>
      <c r="E320" t="str">
        <f ca="1">IF(D320&lt;=distribution!$D$5,distribution!$B$5,distribution!$B$6)</f>
        <v>A</v>
      </c>
      <c r="F320">
        <f t="shared" ca="1" si="34"/>
        <v>0.48394911245513439</v>
      </c>
      <c r="G320" t="str">
        <f ca="1">IF(F320&lt;=distribution!$D$7,distribution!$B$7,IF(F320&lt;=distribution!$D$8,distribution!$B$8,IF(F320&lt;=distribution!$D$9,distribution!$B$9,distribution!$B$10)))</f>
        <v>35-44</v>
      </c>
      <c r="H320">
        <f ca="1">VLOOKUP(G320,age_band!$A$1:$C$5,2,FALSE)</f>
        <v>35</v>
      </c>
      <c r="I320">
        <f ca="1">VLOOKUP(G320,age_band!$A$2:$C$5,3,FALSE)</f>
        <v>44</v>
      </c>
      <c r="J320">
        <f t="shared" ca="1" si="35"/>
        <v>35</v>
      </c>
      <c r="K320">
        <f t="shared" ca="1" si="36"/>
        <v>0.38321423072530569</v>
      </c>
      <c r="L320" t="str">
        <f ca="1">IF(K320&lt;=distribution!$D$11,distribution!$B$11,distribution!$B$12)</f>
        <v>N</v>
      </c>
      <c r="M320">
        <f t="shared" ca="1" si="37"/>
        <v>65861</v>
      </c>
      <c r="N320">
        <f t="shared" ca="1" si="38"/>
        <v>65861</v>
      </c>
    </row>
    <row r="321" spans="1:14" x14ac:dyDescent="0.45">
      <c r="A321">
        <f t="shared" si="39"/>
        <v>320</v>
      </c>
      <c r="B321">
        <f t="shared" ca="1" si="32"/>
        <v>0.73862614704065299</v>
      </c>
      <c r="C321" t="str">
        <f ca="1">IF(B321&lt;=distribution!$D$2,distribution!$B$2,IF(B321&lt;=distribution!$D$3,distribution!$B$3,distribution!$B$4))</f>
        <v>QC</v>
      </c>
      <c r="D321">
        <f t="shared" ca="1" si="33"/>
        <v>0.30377091752562346</v>
      </c>
      <c r="E321" t="str">
        <f ca="1">IF(D321&lt;=distribution!$D$5,distribution!$B$5,distribution!$B$6)</f>
        <v>A</v>
      </c>
      <c r="F321">
        <f t="shared" ca="1" si="34"/>
        <v>4.0940881363052406E-2</v>
      </c>
      <c r="G321" t="str">
        <f ca="1">IF(F321&lt;=distribution!$D$7,distribution!$B$7,IF(F321&lt;=distribution!$D$8,distribution!$B$8,IF(F321&lt;=distribution!$D$9,distribution!$B$9,distribution!$B$10)))</f>
        <v>25-34</v>
      </c>
      <c r="H321">
        <f ca="1">VLOOKUP(G321,age_band!$A$1:$C$5,2,FALSE)</f>
        <v>25</v>
      </c>
      <c r="I321">
        <f ca="1">VLOOKUP(G321,age_band!$A$2:$C$5,3,FALSE)</f>
        <v>34</v>
      </c>
      <c r="J321">
        <f t="shared" ca="1" si="35"/>
        <v>34</v>
      </c>
      <c r="K321">
        <f t="shared" ca="1" si="36"/>
        <v>0.26900149492042191</v>
      </c>
      <c r="L321" t="str">
        <f ca="1">IF(K321&lt;=distribution!$D$11,distribution!$B$11,distribution!$B$12)</f>
        <v>N</v>
      </c>
      <c r="M321">
        <f t="shared" ca="1" si="37"/>
        <v>75704</v>
      </c>
      <c r="N321">
        <f t="shared" ca="1" si="38"/>
        <v>75704</v>
      </c>
    </row>
    <row r="322" spans="1:14" x14ac:dyDescent="0.45">
      <c r="A322">
        <f t="shared" si="39"/>
        <v>321</v>
      </c>
      <c r="B322">
        <f t="shared" ca="1" si="32"/>
        <v>0.20098109226555694</v>
      </c>
      <c r="C322" t="str">
        <f ca="1">IF(B322&lt;=distribution!$D$2,distribution!$B$2,IF(B322&lt;=distribution!$D$3,distribution!$B$3,distribution!$B$4))</f>
        <v>ON</v>
      </c>
      <c r="D322">
        <f t="shared" ca="1" si="33"/>
        <v>0.46250212715859529</v>
      </c>
      <c r="E322" t="str">
        <f ca="1">IF(D322&lt;=distribution!$D$5,distribution!$B$5,distribution!$B$6)</f>
        <v>A</v>
      </c>
      <c r="F322">
        <f t="shared" ca="1" si="34"/>
        <v>0.17470008859224462</v>
      </c>
      <c r="G322" t="str">
        <f ca="1">IF(F322&lt;=distribution!$D$7,distribution!$B$7,IF(F322&lt;=distribution!$D$8,distribution!$B$8,IF(F322&lt;=distribution!$D$9,distribution!$B$9,distribution!$B$10)))</f>
        <v>25-34</v>
      </c>
      <c r="H322">
        <f ca="1">VLOOKUP(G322,age_band!$A$1:$C$5,2,FALSE)</f>
        <v>25</v>
      </c>
      <c r="I322">
        <f ca="1">VLOOKUP(G322,age_band!$A$2:$C$5,3,FALSE)</f>
        <v>34</v>
      </c>
      <c r="J322">
        <f t="shared" ca="1" si="35"/>
        <v>33</v>
      </c>
      <c r="K322">
        <f t="shared" ca="1" si="36"/>
        <v>3.8680428592067218E-3</v>
      </c>
      <c r="L322" t="str">
        <f ca="1">IF(K322&lt;=distribution!$D$11,distribution!$B$11,distribution!$B$12)</f>
        <v>N</v>
      </c>
      <c r="M322">
        <f t="shared" ca="1" si="37"/>
        <v>108202</v>
      </c>
      <c r="N322">
        <f t="shared" ca="1" si="38"/>
        <v>108202</v>
      </c>
    </row>
    <row r="323" spans="1:14" x14ac:dyDescent="0.45">
      <c r="A323">
        <f t="shared" si="39"/>
        <v>322</v>
      </c>
      <c r="B323">
        <f t="shared" ref="B323:B386" ca="1" si="40">RAND()</f>
        <v>0.71068549133764203</v>
      </c>
      <c r="C323" t="str">
        <f ca="1">IF(B323&lt;=distribution!$D$2,distribution!$B$2,IF(B323&lt;=distribution!$D$3,distribution!$B$3,distribution!$B$4))</f>
        <v>QC</v>
      </c>
      <c r="D323">
        <f t="shared" ref="D323:D386" ca="1" si="41">RAND()</f>
        <v>0.29259594887351348</v>
      </c>
      <c r="E323" t="str">
        <f ca="1">IF(D323&lt;=distribution!$D$5,distribution!$B$5,distribution!$B$6)</f>
        <v>A</v>
      </c>
      <c r="F323">
        <f t="shared" ref="F323:F386" ca="1" si="42">RAND()</f>
        <v>0.43858201968961941</v>
      </c>
      <c r="G323" t="str">
        <f ca="1">IF(F323&lt;=distribution!$D$7,distribution!$B$7,IF(F323&lt;=distribution!$D$8,distribution!$B$8,IF(F323&lt;=distribution!$D$9,distribution!$B$9,distribution!$B$10)))</f>
        <v>35-44</v>
      </c>
      <c r="H323">
        <f ca="1">VLOOKUP(G323,age_band!$A$1:$C$5,2,FALSE)</f>
        <v>35</v>
      </c>
      <c r="I323">
        <f ca="1">VLOOKUP(G323,age_band!$A$2:$C$5,3,FALSE)</f>
        <v>44</v>
      </c>
      <c r="J323">
        <f t="shared" ref="J323:J386" ca="1" si="43">RANDBETWEEN(H323,I323)</f>
        <v>39</v>
      </c>
      <c r="K323">
        <f t="shared" ref="K323:K386" ca="1" si="44">RAND()</f>
        <v>0.30591935045289442</v>
      </c>
      <c r="L323" t="str">
        <f ca="1">IF(K323&lt;=distribution!$D$11,distribution!$B$11,distribution!$B$12)</f>
        <v>N</v>
      </c>
      <c r="M323">
        <f t="shared" ref="M323:M386" ca="1" si="45">IF(E323="A",RANDBETWEEN(50000,130000),RANDBETWEEN(45000,80000))</f>
        <v>57524</v>
      </c>
      <c r="N323">
        <f t="shared" ref="N323:N386" ca="1" si="46">MIN(M323*1,200000)</f>
        <v>57524</v>
      </c>
    </row>
    <row r="324" spans="1:14" x14ac:dyDescent="0.45">
      <c r="A324">
        <f t="shared" ref="A324:A387" si="47">A323+1</f>
        <v>323</v>
      </c>
      <c r="B324">
        <f t="shared" ca="1" si="40"/>
        <v>0.2077037179967921</v>
      </c>
      <c r="C324" t="str">
        <f ca="1">IF(B324&lt;=distribution!$D$2,distribution!$B$2,IF(B324&lt;=distribution!$D$3,distribution!$B$3,distribution!$B$4))</f>
        <v>ON</v>
      </c>
      <c r="D324">
        <f t="shared" ca="1" si="41"/>
        <v>0.37371026754861125</v>
      </c>
      <c r="E324" t="str">
        <f ca="1">IF(D324&lt;=distribution!$D$5,distribution!$B$5,distribution!$B$6)</f>
        <v>A</v>
      </c>
      <c r="F324">
        <f t="shared" ca="1" si="42"/>
        <v>0.7923016794979344</v>
      </c>
      <c r="G324" t="str">
        <f ca="1">IF(F324&lt;=distribution!$D$7,distribution!$B$7,IF(F324&lt;=distribution!$D$8,distribution!$B$8,IF(F324&lt;=distribution!$D$9,distribution!$B$9,distribution!$B$10)))</f>
        <v>45-54</v>
      </c>
      <c r="H324">
        <f ca="1">VLOOKUP(G324,age_band!$A$1:$C$5,2,FALSE)</f>
        <v>45</v>
      </c>
      <c r="I324">
        <f ca="1">VLOOKUP(G324,age_band!$A$2:$C$5,3,FALSE)</f>
        <v>54</v>
      </c>
      <c r="J324">
        <f t="shared" ca="1" si="43"/>
        <v>52</v>
      </c>
      <c r="K324">
        <f t="shared" ca="1" si="44"/>
        <v>0.38877607537448788</v>
      </c>
      <c r="L324" t="str">
        <f ca="1">IF(K324&lt;=distribution!$D$11,distribution!$B$11,distribution!$B$12)</f>
        <v>N</v>
      </c>
      <c r="M324">
        <f t="shared" ca="1" si="45"/>
        <v>93385</v>
      </c>
      <c r="N324">
        <f t="shared" ca="1" si="46"/>
        <v>93385</v>
      </c>
    </row>
    <row r="325" spans="1:14" x14ac:dyDescent="0.45">
      <c r="A325">
        <f t="shared" si="47"/>
        <v>324</v>
      </c>
      <c r="B325">
        <f t="shared" ca="1" si="40"/>
        <v>0.45751238517154347</v>
      </c>
      <c r="C325" t="str">
        <f ca="1">IF(B325&lt;=distribution!$D$2,distribution!$B$2,IF(B325&lt;=distribution!$D$3,distribution!$B$3,distribution!$B$4))</f>
        <v>ON</v>
      </c>
      <c r="D325">
        <f t="shared" ca="1" si="41"/>
        <v>2.9193871048416864E-2</v>
      </c>
      <c r="E325" t="str">
        <f ca="1">IF(D325&lt;=distribution!$D$5,distribution!$B$5,distribution!$B$6)</f>
        <v>A</v>
      </c>
      <c r="F325">
        <f t="shared" ca="1" si="42"/>
        <v>0.68281851809140626</v>
      </c>
      <c r="G325" t="str">
        <f ca="1">IF(F325&lt;=distribution!$D$7,distribution!$B$7,IF(F325&lt;=distribution!$D$8,distribution!$B$8,IF(F325&lt;=distribution!$D$9,distribution!$B$9,distribution!$B$10)))</f>
        <v>45-54</v>
      </c>
      <c r="H325">
        <f ca="1">VLOOKUP(G325,age_band!$A$1:$C$5,2,FALSE)</f>
        <v>45</v>
      </c>
      <c r="I325">
        <f ca="1">VLOOKUP(G325,age_band!$A$2:$C$5,3,FALSE)</f>
        <v>54</v>
      </c>
      <c r="J325">
        <f t="shared" ca="1" si="43"/>
        <v>50</v>
      </c>
      <c r="K325">
        <f t="shared" ca="1" si="44"/>
        <v>0.12222611319780197</v>
      </c>
      <c r="L325" t="str">
        <f ca="1">IF(K325&lt;=distribution!$D$11,distribution!$B$11,distribution!$B$12)</f>
        <v>N</v>
      </c>
      <c r="M325">
        <f t="shared" ca="1" si="45"/>
        <v>59018</v>
      </c>
      <c r="N325">
        <f t="shared" ca="1" si="46"/>
        <v>59018</v>
      </c>
    </row>
    <row r="326" spans="1:14" x14ac:dyDescent="0.45">
      <c r="A326">
        <f t="shared" si="47"/>
        <v>325</v>
      </c>
      <c r="B326">
        <f t="shared" ca="1" si="40"/>
        <v>3.6721463964405454E-2</v>
      </c>
      <c r="C326" t="str">
        <f ca="1">IF(B326&lt;=distribution!$D$2,distribution!$B$2,IF(B326&lt;=distribution!$D$3,distribution!$B$3,distribution!$B$4))</f>
        <v>ON</v>
      </c>
      <c r="D326">
        <f t="shared" ca="1" si="41"/>
        <v>0.37875020130539028</v>
      </c>
      <c r="E326" t="str">
        <f ca="1">IF(D326&lt;=distribution!$D$5,distribution!$B$5,distribution!$B$6)</f>
        <v>A</v>
      </c>
      <c r="F326">
        <f t="shared" ca="1" si="42"/>
        <v>0.46874317001757138</v>
      </c>
      <c r="G326" t="str">
        <f ca="1">IF(F326&lt;=distribution!$D$7,distribution!$B$7,IF(F326&lt;=distribution!$D$8,distribution!$B$8,IF(F326&lt;=distribution!$D$9,distribution!$B$9,distribution!$B$10)))</f>
        <v>35-44</v>
      </c>
      <c r="H326">
        <f ca="1">VLOOKUP(G326,age_band!$A$1:$C$5,2,FALSE)</f>
        <v>35</v>
      </c>
      <c r="I326">
        <f ca="1">VLOOKUP(G326,age_band!$A$2:$C$5,3,FALSE)</f>
        <v>44</v>
      </c>
      <c r="J326">
        <f t="shared" ca="1" si="43"/>
        <v>38</v>
      </c>
      <c r="K326">
        <f t="shared" ca="1" si="44"/>
        <v>0.35078674992582703</v>
      </c>
      <c r="L326" t="str">
        <f ca="1">IF(K326&lt;=distribution!$D$11,distribution!$B$11,distribution!$B$12)</f>
        <v>N</v>
      </c>
      <c r="M326">
        <f t="shared" ca="1" si="45"/>
        <v>77958</v>
      </c>
      <c r="N326">
        <f t="shared" ca="1" si="46"/>
        <v>77958</v>
      </c>
    </row>
    <row r="327" spans="1:14" x14ac:dyDescent="0.45">
      <c r="A327">
        <f t="shared" si="47"/>
        <v>326</v>
      </c>
      <c r="B327">
        <f t="shared" ca="1" si="40"/>
        <v>0.67867322974736521</v>
      </c>
      <c r="C327" t="str">
        <f ca="1">IF(B327&lt;=distribution!$D$2,distribution!$B$2,IF(B327&lt;=distribution!$D$3,distribution!$B$3,distribution!$B$4))</f>
        <v>QC</v>
      </c>
      <c r="D327">
        <f t="shared" ca="1" si="41"/>
        <v>9.9491689224902591E-2</v>
      </c>
      <c r="E327" t="str">
        <f ca="1">IF(D327&lt;=distribution!$D$5,distribution!$B$5,distribution!$B$6)</f>
        <v>A</v>
      </c>
      <c r="F327">
        <f t="shared" ca="1" si="42"/>
        <v>0.92535720407458022</v>
      </c>
      <c r="G327" t="str">
        <f ca="1">IF(F327&lt;=distribution!$D$7,distribution!$B$7,IF(F327&lt;=distribution!$D$8,distribution!$B$8,IF(F327&lt;=distribution!$D$9,distribution!$B$9,distribution!$B$10)))</f>
        <v>55-64</v>
      </c>
      <c r="H327">
        <f ca="1">VLOOKUP(G327,age_band!$A$1:$C$5,2,FALSE)</f>
        <v>55</v>
      </c>
      <c r="I327">
        <f ca="1">VLOOKUP(G327,age_band!$A$2:$C$5,3,FALSE)</f>
        <v>64</v>
      </c>
      <c r="J327">
        <f t="shared" ca="1" si="43"/>
        <v>60</v>
      </c>
      <c r="K327">
        <f t="shared" ca="1" si="44"/>
        <v>0.11524614660762711</v>
      </c>
      <c r="L327" t="str">
        <f ca="1">IF(K327&lt;=distribution!$D$11,distribution!$B$11,distribution!$B$12)</f>
        <v>N</v>
      </c>
      <c r="M327">
        <f t="shared" ca="1" si="45"/>
        <v>106943</v>
      </c>
      <c r="N327">
        <f t="shared" ca="1" si="46"/>
        <v>106943</v>
      </c>
    </row>
    <row r="328" spans="1:14" x14ac:dyDescent="0.45">
      <c r="A328">
        <f t="shared" si="47"/>
        <v>327</v>
      </c>
      <c r="B328">
        <f t="shared" ca="1" si="40"/>
        <v>0.85466490401640449</v>
      </c>
      <c r="C328" t="str">
        <f ca="1">IF(B328&lt;=distribution!$D$2,distribution!$B$2,IF(B328&lt;=distribution!$D$3,distribution!$B$3,distribution!$B$4))</f>
        <v>BC</v>
      </c>
      <c r="D328">
        <f t="shared" ca="1" si="41"/>
        <v>0.63928860393536358</v>
      </c>
      <c r="E328" t="str">
        <f ca="1">IF(D328&lt;=distribution!$D$5,distribution!$B$5,distribution!$B$6)</f>
        <v>A</v>
      </c>
      <c r="F328">
        <f t="shared" ca="1" si="42"/>
        <v>0.3139481179608401</v>
      </c>
      <c r="G328" t="str">
        <f ca="1">IF(F328&lt;=distribution!$D$7,distribution!$B$7,IF(F328&lt;=distribution!$D$8,distribution!$B$8,IF(F328&lt;=distribution!$D$9,distribution!$B$9,distribution!$B$10)))</f>
        <v>35-44</v>
      </c>
      <c r="H328">
        <f ca="1">VLOOKUP(G328,age_band!$A$1:$C$5,2,FALSE)</f>
        <v>35</v>
      </c>
      <c r="I328">
        <f ca="1">VLOOKUP(G328,age_band!$A$2:$C$5,3,FALSE)</f>
        <v>44</v>
      </c>
      <c r="J328">
        <f t="shared" ca="1" si="43"/>
        <v>38</v>
      </c>
      <c r="K328">
        <f t="shared" ca="1" si="44"/>
        <v>0.55056392903674023</v>
      </c>
      <c r="L328" t="str">
        <f ca="1">IF(K328&lt;=distribution!$D$11,distribution!$B$11,distribution!$B$12)</f>
        <v>N</v>
      </c>
      <c r="M328">
        <f t="shared" ca="1" si="45"/>
        <v>63231</v>
      </c>
      <c r="N328">
        <f t="shared" ca="1" si="46"/>
        <v>63231</v>
      </c>
    </row>
    <row r="329" spans="1:14" x14ac:dyDescent="0.45">
      <c r="A329">
        <f t="shared" si="47"/>
        <v>328</v>
      </c>
      <c r="B329">
        <f t="shared" ca="1" si="40"/>
        <v>0.23349267477404545</v>
      </c>
      <c r="C329" t="str">
        <f ca="1">IF(B329&lt;=distribution!$D$2,distribution!$B$2,IF(B329&lt;=distribution!$D$3,distribution!$B$3,distribution!$B$4))</f>
        <v>ON</v>
      </c>
      <c r="D329">
        <f t="shared" ca="1" si="41"/>
        <v>0.27905262583055324</v>
      </c>
      <c r="E329" t="str">
        <f ca="1">IF(D329&lt;=distribution!$D$5,distribution!$B$5,distribution!$B$6)</f>
        <v>A</v>
      </c>
      <c r="F329">
        <f t="shared" ca="1" si="42"/>
        <v>0.19197028240715464</v>
      </c>
      <c r="G329" t="str">
        <f ca="1">IF(F329&lt;=distribution!$D$7,distribution!$B$7,IF(F329&lt;=distribution!$D$8,distribution!$B$8,IF(F329&lt;=distribution!$D$9,distribution!$B$9,distribution!$B$10)))</f>
        <v>25-34</v>
      </c>
      <c r="H329">
        <f ca="1">VLOOKUP(G329,age_band!$A$1:$C$5,2,FALSE)</f>
        <v>25</v>
      </c>
      <c r="I329">
        <f ca="1">VLOOKUP(G329,age_band!$A$2:$C$5,3,FALSE)</f>
        <v>34</v>
      </c>
      <c r="J329">
        <f t="shared" ca="1" si="43"/>
        <v>29</v>
      </c>
      <c r="K329">
        <f t="shared" ca="1" si="44"/>
        <v>0.4368306374285712</v>
      </c>
      <c r="L329" t="str">
        <f ca="1">IF(K329&lt;=distribution!$D$11,distribution!$B$11,distribution!$B$12)</f>
        <v>N</v>
      </c>
      <c r="M329">
        <f t="shared" ca="1" si="45"/>
        <v>109370</v>
      </c>
      <c r="N329">
        <f t="shared" ca="1" si="46"/>
        <v>109370</v>
      </c>
    </row>
    <row r="330" spans="1:14" x14ac:dyDescent="0.45">
      <c r="A330">
        <f t="shared" si="47"/>
        <v>329</v>
      </c>
      <c r="B330">
        <f t="shared" ca="1" si="40"/>
        <v>0.88492949719574254</v>
      </c>
      <c r="C330" t="str">
        <f ca="1">IF(B330&lt;=distribution!$D$2,distribution!$B$2,IF(B330&lt;=distribution!$D$3,distribution!$B$3,distribution!$B$4))</f>
        <v>BC</v>
      </c>
      <c r="D330">
        <f t="shared" ca="1" si="41"/>
        <v>0.37676539598242553</v>
      </c>
      <c r="E330" t="str">
        <f ca="1">IF(D330&lt;=distribution!$D$5,distribution!$B$5,distribution!$B$6)</f>
        <v>A</v>
      </c>
      <c r="F330">
        <f t="shared" ca="1" si="42"/>
        <v>0.7598369251814665</v>
      </c>
      <c r="G330" t="str">
        <f ca="1">IF(F330&lt;=distribution!$D$7,distribution!$B$7,IF(F330&lt;=distribution!$D$8,distribution!$B$8,IF(F330&lt;=distribution!$D$9,distribution!$B$9,distribution!$B$10)))</f>
        <v>45-54</v>
      </c>
      <c r="H330">
        <f ca="1">VLOOKUP(G330,age_band!$A$1:$C$5,2,FALSE)</f>
        <v>45</v>
      </c>
      <c r="I330">
        <f ca="1">VLOOKUP(G330,age_band!$A$2:$C$5,3,FALSE)</f>
        <v>54</v>
      </c>
      <c r="J330">
        <f t="shared" ca="1" si="43"/>
        <v>52</v>
      </c>
      <c r="K330">
        <f t="shared" ca="1" si="44"/>
        <v>0.85762578586074123</v>
      </c>
      <c r="L330" t="str">
        <f ca="1">IF(K330&lt;=distribution!$D$11,distribution!$B$11,distribution!$B$12)</f>
        <v>Y</v>
      </c>
      <c r="M330">
        <f t="shared" ca="1" si="45"/>
        <v>107945</v>
      </c>
      <c r="N330">
        <f t="shared" ca="1" si="46"/>
        <v>107945</v>
      </c>
    </row>
    <row r="331" spans="1:14" x14ac:dyDescent="0.45">
      <c r="A331">
        <f t="shared" si="47"/>
        <v>330</v>
      </c>
      <c r="B331">
        <f t="shared" ca="1" si="40"/>
        <v>0.16769590806927959</v>
      </c>
      <c r="C331" t="str">
        <f ca="1">IF(B331&lt;=distribution!$D$2,distribution!$B$2,IF(B331&lt;=distribution!$D$3,distribution!$B$3,distribution!$B$4))</f>
        <v>ON</v>
      </c>
      <c r="D331">
        <f t="shared" ca="1" si="41"/>
        <v>0.47963909087768419</v>
      </c>
      <c r="E331" t="str">
        <f ca="1">IF(D331&lt;=distribution!$D$5,distribution!$B$5,distribution!$B$6)</f>
        <v>A</v>
      </c>
      <c r="F331">
        <f t="shared" ca="1" si="42"/>
        <v>0.49786890568794473</v>
      </c>
      <c r="G331" t="str">
        <f ca="1">IF(F331&lt;=distribution!$D$7,distribution!$B$7,IF(F331&lt;=distribution!$D$8,distribution!$B$8,IF(F331&lt;=distribution!$D$9,distribution!$B$9,distribution!$B$10)))</f>
        <v>35-44</v>
      </c>
      <c r="H331">
        <f ca="1">VLOOKUP(G331,age_band!$A$1:$C$5,2,FALSE)</f>
        <v>35</v>
      </c>
      <c r="I331">
        <f ca="1">VLOOKUP(G331,age_band!$A$2:$C$5,3,FALSE)</f>
        <v>44</v>
      </c>
      <c r="J331">
        <f t="shared" ca="1" si="43"/>
        <v>39</v>
      </c>
      <c r="K331">
        <f t="shared" ca="1" si="44"/>
        <v>0.77044082128737434</v>
      </c>
      <c r="L331" t="str">
        <f ca="1">IF(K331&lt;=distribution!$D$11,distribution!$B$11,distribution!$B$12)</f>
        <v>N</v>
      </c>
      <c r="M331">
        <f t="shared" ca="1" si="45"/>
        <v>57275</v>
      </c>
      <c r="N331">
        <f t="shared" ca="1" si="46"/>
        <v>57275</v>
      </c>
    </row>
    <row r="332" spans="1:14" x14ac:dyDescent="0.45">
      <c r="A332">
        <f t="shared" si="47"/>
        <v>331</v>
      </c>
      <c r="B332">
        <f t="shared" ca="1" si="40"/>
        <v>0.60349945164171026</v>
      </c>
      <c r="C332" t="str">
        <f ca="1">IF(B332&lt;=distribution!$D$2,distribution!$B$2,IF(B332&lt;=distribution!$D$3,distribution!$B$3,distribution!$B$4))</f>
        <v>QC</v>
      </c>
      <c r="D332">
        <f t="shared" ca="1" si="41"/>
        <v>0.20232302678015357</v>
      </c>
      <c r="E332" t="str">
        <f ca="1">IF(D332&lt;=distribution!$D$5,distribution!$B$5,distribution!$B$6)</f>
        <v>A</v>
      </c>
      <c r="F332">
        <f t="shared" ca="1" si="42"/>
        <v>0.52466960730696777</v>
      </c>
      <c r="G332" t="str">
        <f ca="1">IF(F332&lt;=distribution!$D$7,distribution!$B$7,IF(F332&lt;=distribution!$D$8,distribution!$B$8,IF(F332&lt;=distribution!$D$9,distribution!$B$9,distribution!$B$10)))</f>
        <v>35-44</v>
      </c>
      <c r="H332">
        <f ca="1">VLOOKUP(G332,age_band!$A$1:$C$5,2,FALSE)</f>
        <v>35</v>
      </c>
      <c r="I332">
        <f ca="1">VLOOKUP(G332,age_band!$A$2:$C$5,3,FALSE)</f>
        <v>44</v>
      </c>
      <c r="J332">
        <f t="shared" ca="1" si="43"/>
        <v>42</v>
      </c>
      <c r="K332">
        <f t="shared" ca="1" si="44"/>
        <v>0.29393623519430745</v>
      </c>
      <c r="L332" t="str">
        <f ca="1">IF(K332&lt;=distribution!$D$11,distribution!$B$11,distribution!$B$12)</f>
        <v>N</v>
      </c>
      <c r="M332">
        <f t="shared" ca="1" si="45"/>
        <v>111277</v>
      </c>
      <c r="N332">
        <f t="shared" ca="1" si="46"/>
        <v>111277</v>
      </c>
    </row>
    <row r="333" spans="1:14" x14ac:dyDescent="0.45">
      <c r="A333">
        <f t="shared" si="47"/>
        <v>332</v>
      </c>
      <c r="B333">
        <f t="shared" ca="1" si="40"/>
        <v>0.30238853290288248</v>
      </c>
      <c r="C333" t="str">
        <f ca="1">IF(B333&lt;=distribution!$D$2,distribution!$B$2,IF(B333&lt;=distribution!$D$3,distribution!$B$3,distribution!$B$4))</f>
        <v>ON</v>
      </c>
      <c r="D333">
        <f t="shared" ca="1" si="41"/>
        <v>0.97975799725730239</v>
      </c>
      <c r="E333" t="str">
        <f ca="1">IF(D333&lt;=distribution!$D$5,distribution!$B$5,distribution!$B$6)</f>
        <v>B</v>
      </c>
      <c r="F333">
        <f t="shared" ca="1" si="42"/>
        <v>0.46038985906433794</v>
      </c>
      <c r="G333" t="str">
        <f ca="1">IF(F333&lt;=distribution!$D$7,distribution!$B$7,IF(F333&lt;=distribution!$D$8,distribution!$B$8,IF(F333&lt;=distribution!$D$9,distribution!$B$9,distribution!$B$10)))</f>
        <v>35-44</v>
      </c>
      <c r="H333">
        <f ca="1">VLOOKUP(G333,age_band!$A$1:$C$5,2,FALSE)</f>
        <v>35</v>
      </c>
      <c r="I333">
        <f ca="1">VLOOKUP(G333,age_band!$A$2:$C$5,3,FALSE)</f>
        <v>44</v>
      </c>
      <c r="J333">
        <f t="shared" ca="1" si="43"/>
        <v>38</v>
      </c>
      <c r="K333">
        <f t="shared" ca="1" si="44"/>
        <v>0.93354497549054893</v>
      </c>
      <c r="L333" t="str">
        <f ca="1">IF(K333&lt;=distribution!$D$11,distribution!$B$11,distribution!$B$12)</f>
        <v>Y</v>
      </c>
      <c r="M333">
        <f t="shared" ca="1" si="45"/>
        <v>72944</v>
      </c>
      <c r="N333">
        <f t="shared" ca="1" si="46"/>
        <v>72944</v>
      </c>
    </row>
    <row r="334" spans="1:14" x14ac:dyDescent="0.45">
      <c r="A334">
        <f t="shared" si="47"/>
        <v>333</v>
      </c>
      <c r="B334">
        <f t="shared" ca="1" si="40"/>
        <v>2.3355960113223051E-2</v>
      </c>
      <c r="C334" t="str">
        <f ca="1">IF(B334&lt;=distribution!$D$2,distribution!$B$2,IF(B334&lt;=distribution!$D$3,distribution!$B$3,distribution!$B$4))</f>
        <v>ON</v>
      </c>
      <c r="D334">
        <f t="shared" ca="1" si="41"/>
        <v>0.32719371004435516</v>
      </c>
      <c r="E334" t="str">
        <f ca="1">IF(D334&lt;=distribution!$D$5,distribution!$B$5,distribution!$B$6)</f>
        <v>A</v>
      </c>
      <c r="F334">
        <f t="shared" ca="1" si="42"/>
        <v>0.56301521260029586</v>
      </c>
      <c r="G334" t="str">
        <f ca="1">IF(F334&lt;=distribution!$D$7,distribution!$B$7,IF(F334&lt;=distribution!$D$8,distribution!$B$8,IF(F334&lt;=distribution!$D$9,distribution!$B$9,distribution!$B$10)))</f>
        <v>35-44</v>
      </c>
      <c r="H334">
        <f ca="1">VLOOKUP(G334,age_band!$A$1:$C$5,2,FALSE)</f>
        <v>35</v>
      </c>
      <c r="I334">
        <f ca="1">VLOOKUP(G334,age_band!$A$2:$C$5,3,FALSE)</f>
        <v>44</v>
      </c>
      <c r="J334">
        <f t="shared" ca="1" si="43"/>
        <v>40</v>
      </c>
      <c r="K334">
        <f t="shared" ca="1" si="44"/>
        <v>8.02751224570043E-2</v>
      </c>
      <c r="L334" t="str">
        <f ca="1">IF(K334&lt;=distribution!$D$11,distribution!$B$11,distribution!$B$12)</f>
        <v>N</v>
      </c>
      <c r="M334">
        <f t="shared" ca="1" si="45"/>
        <v>79058</v>
      </c>
      <c r="N334">
        <f t="shared" ca="1" si="46"/>
        <v>79058</v>
      </c>
    </row>
    <row r="335" spans="1:14" x14ac:dyDescent="0.45">
      <c r="A335">
        <f t="shared" si="47"/>
        <v>334</v>
      </c>
      <c r="B335">
        <f t="shared" ca="1" si="40"/>
        <v>0.81917854061410034</v>
      </c>
      <c r="C335" t="str">
        <f ca="1">IF(B335&lt;=distribution!$D$2,distribution!$B$2,IF(B335&lt;=distribution!$D$3,distribution!$B$3,distribution!$B$4))</f>
        <v>BC</v>
      </c>
      <c r="D335">
        <f t="shared" ca="1" si="41"/>
        <v>0.91092789983629097</v>
      </c>
      <c r="E335" t="str">
        <f ca="1">IF(D335&lt;=distribution!$D$5,distribution!$B$5,distribution!$B$6)</f>
        <v>B</v>
      </c>
      <c r="F335">
        <f t="shared" ca="1" si="42"/>
        <v>0.81265455380538665</v>
      </c>
      <c r="G335" t="str">
        <f ca="1">IF(F335&lt;=distribution!$D$7,distribution!$B$7,IF(F335&lt;=distribution!$D$8,distribution!$B$8,IF(F335&lt;=distribution!$D$9,distribution!$B$9,distribution!$B$10)))</f>
        <v>45-54</v>
      </c>
      <c r="H335">
        <f ca="1">VLOOKUP(G335,age_band!$A$1:$C$5,2,FALSE)</f>
        <v>45</v>
      </c>
      <c r="I335">
        <f ca="1">VLOOKUP(G335,age_band!$A$2:$C$5,3,FALSE)</f>
        <v>54</v>
      </c>
      <c r="J335">
        <f t="shared" ca="1" si="43"/>
        <v>51</v>
      </c>
      <c r="K335">
        <f t="shared" ca="1" si="44"/>
        <v>0.21459099899613632</v>
      </c>
      <c r="L335" t="str">
        <f ca="1">IF(K335&lt;=distribution!$D$11,distribution!$B$11,distribution!$B$12)</f>
        <v>N</v>
      </c>
      <c r="M335">
        <f t="shared" ca="1" si="45"/>
        <v>63673</v>
      </c>
      <c r="N335">
        <f t="shared" ca="1" si="46"/>
        <v>63673</v>
      </c>
    </row>
    <row r="336" spans="1:14" x14ac:dyDescent="0.45">
      <c r="A336">
        <f t="shared" si="47"/>
        <v>335</v>
      </c>
      <c r="B336">
        <f t="shared" ca="1" si="40"/>
        <v>0.61342382944419216</v>
      </c>
      <c r="C336" t="str">
        <f ca="1">IF(B336&lt;=distribution!$D$2,distribution!$B$2,IF(B336&lt;=distribution!$D$3,distribution!$B$3,distribution!$B$4))</f>
        <v>QC</v>
      </c>
      <c r="D336">
        <f t="shared" ca="1" si="41"/>
        <v>0.1273322829009792</v>
      </c>
      <c r="E336" t="str">
        <f ca="1">IF(D336&lt;=distribution!$D$5,distribution!$B$5,distribution!$B$6)</f>
        <v>A</v>
      </c>
      <c r="F336">
        <f t="shared" ca="1" si="42"/>
        <v>7.3900107422949168E-2</v>
      </c>
      <c r="G336" t="str">
        <f ca="1">IF(F336&lt;=distribution!$D$7,distribution!$B$7,IF(F336&lt;=distribution!$D$8,distribution!$B$8,IF(F336&lt;=distribution!$D$9,distribution!$B$9,distribution!$B$10)))</f>
        <v>25-34</v>
      </c>
      <c r="H336">
        <f ca="1">VLOOKUP(G336,age_band!$A$1:$C$5,2,FALSE)</f>
        <v>25</v>
      </c>
      <c r="I336">
        <f ca="1">VLOOKUP(G336,age_band!$A$2:$C$5,3,FALSE)</f>
        <v>34</v>
      </c>
      <c r="J336">
        <f t="shared" ca="1" si="43"/>
        <v>32</v>
      </c>
      <c r="K336">
        <f t="shared" ca="1" si="44"/>
        <v>0.12262726925910272</v>
      </c>
      <c r="L336" t="str">
        <f ca="1">IF(K336&lt;=distribution!$D$11,distribution!$B$11,distribution!$B$12)</f>
        <v>N</v>
      </c>
      <c r="M336">
        <f t="shared" ca="1" si="45"/>
        <v>69685</v>
      </c>
      <c r="N336">
        <f t="shared" ca="1" si="46"/>
        <v>69685</v>
      </c>
    </row>
    <row r="337" spans="1:14" x14ac:dyDescent="0.45">
      <c r="A337">
        <f t="shared" si="47"/>
        <v>336</v>
      </c>
      <c r="B337">
        <f t="shared" ca="1" si="40"/>
        <v>0.31543337236919555</v>
      </c>
      <c r="C337" t="str">
        <f ca="1">IF(B337&lt;=distribution!$D$2,distribution!$B$2,IF(B337&lt;=distribution!$D$3,distribution!$B$3,distribution!$B$4))</f>
        <v>ON</v>
      </c>
      <c r="D337">
        <f t="shared" ca="1" si="41"/>
        <v>8.5305409355131423E-2</v>
      </c>
      <c r="E337" t="str">
        <f ca="1">IF(D337&lt;=distribution!$D$5,distribution!$B$5,distribution!$B$6)</f>
        <v>A</v>
      </c>
      <c r="F337">
        <f t="shared" ca="1" si="42"/>
        <v>0.58023416405666939</v>
      </c>
      <c r="G337" t="str">
        <f ca="1">IF(F337&lt;=distribution!$D$7,distribution!$B$7,IF(F337&lt;=distribution!$D$8,distribution!$B$8,IF(F337&lt;=distribution!$D$9,distribution!$B$9,distribution!$B$10)))</f>
        <v>35-44</v>
      </c>
      <c r="H337">
        <f ca="1">VLOOKUP(G337,age_band!$A$1:$C$5,2,FALSE)</f>
        <v>35</v>
      </c>
      <c r="I337">
        <f ca="1">VLOOKUP(G337,age_band!$A$2:$C$5,3,FALSE)</f>
        <v>44</v>
      </c>
      <c r="J337">
        <f t="shared" ca="1" si="43"/>
        <v>38</v>
      </c>
      <c r="K337">
        <f t="shared" ca="1" si="44"/>
        <v>0.75567056936519483</v>
      </c>
      <c r="L337" t="str">
        <f ca="1">IF(K337&lt;=distribution!$D$11,distribution!$B$11,distribution!$B$12)</f>
        <v>N</v>
      </c>
      <c r="M337">
        <f t="shared" ca="1" si="45"/>
        <v>67358</v>
      </c>
      <c r="N337">
        <f t="shared" ca="1" si="46"/>
        <v>67358</v>
      </c>
    </row>
    <row r="338" spans="1:14" x14ac:dyDescent="0.45">
      <c r="A338">
        <f t="shared" si="47"/>
        <v>337</v>
      </c>
      <c r="B338">
        <f t="shared" ca="1" si="40"/>
        <v>0.10208778063805912</v>
      </c>
      <c r="C338" t="str">
        <f ca="1">IF(B338&lt;=distribution!$D$2,distribution!$B$2,IF(B338&lt;=distribution!$D$3,distribution!$B$3,distribution!$B$4))</f>
        <v>ON</v>
      </c>
      <c r="D338">
        <f t="shared" ca="1" si="41"/>
        <v>0.51130610724097769</v>
      </c>
      <c r="E338" t="str">
        <f ca="1">IF(D338&lt;=distribution!$D$5,distribution!$B$5,distribution!$B$6)</f>
        <v>A</v>
      </c>
      <c r="F338">
        <f t="shared" ca="1" si="42"/>
        <v>0.94821900761912892</v>
      </c>
      <c r="G338" t="str">
        <f ca="1">IF(F338&lt;=distribution!$D$7,distribution!$B$7,IF(F338&lt;=distribution!$D$8,distribution!$B$8,IF(F338&lt;=distribution!$D$9,distribution!$B$9,distribution!$B$10)))</f>
        <v>55-64</v>
      </c>
      <c r="H338">
        <f ca="1">VLOOKUP(G338,age_band!$A$1:$C$5,2,FALSE)</f>
        <v>55</v>
      </c>
      <c r="I338">
        <f ca="1">VLOOKUP(G338,age_band!$A$2:$C$5,3,FALSE)</f>
        <v>64</v>
      </c>
      <c r="J338">
        <f t="shared" ca="1" si="43"/>
        <v>58</v>
      </c>
      <c r="K338">
        <f t="shared" ca="1" si="44"/>
        <v>0.20533572562599001</v>
      </c>
      <c r="L338" t="str">
        <f ca="1">IF(K338&lt;=distribution!$D$11,distribution!$B$11,distribution!$B$12)</f>
        <v>N</v>
      </c>
      <c r="M338">
        <f t="shared" ca="1" si="45"/>
        <v>116646</v>
      </c>
      <c r="N338">
        <f t="shared" ca="1" si="46"/>
        <v>116646</v>
      </c>
    </row>
    <row r="339" spans="1:14" x14ac:dyDescent="0.45">
      <c r="A339">
        <f t="shared" si="47"/>
        <v>338</v>
      </c>
      <c r="B339">
        <f t="shared" ca="1" si="40"/>
        <v>0.3405824227958989</v>
      </c>
      <c r="C339" t="str">
        <f ca="1">IF(B339&lt;=distribution!$D$2,distribution!$B$2,IF(B339&lt;=distribution!$D$3,distribution!$B$3,distribution!$B$4))</f>
        <v>ON</v>
      </c>
      <c r="D339">
        <f t="shared" ca="1" si="41"/>
        <v>0.30471616807474744</v>
      </c>
      <c r="E339" t="str">
        <f ca="1">IF(D339&lt;=distribution!$D$5,distribution!$B$5,distribution!$B$6)</f>
        <v>A</v>
      </c>
      <c r="F339">
        <f t="shared" ca="1" si="42"/>
        <v>0.34768566947368229</v>
      </c>
      <c r="G339" t="str">
        <f ca="1">IF(F339&lt;=distribution!$D$7,distribution!$B$7,IF(F339&lt;=distribution!$D$8,distribution!$B$8,IF(F339&lt;=distribution!$D$9,distribution!$B$9,distribution!$B$10)))</f>
        <v>35-44</v>
      </c>
      <c r="H339">
        <f ca="1">VLOOKUP(G339,age_band!$A$1:$C$5,2,FALSE)</f>
        <v>35</v>
      </c>
      <c r="I339">
        <f ca="1">VLOOKUP(G339,age_band!$A$2:$C$5,3,FALSE)</f>
        <v>44</v>
      </c>
      <c r="J339">
        <f t="shared" ca="1" si="43"/>
        <v>40</v>
      </c>
      <c r="K339">
        <f t="shared" ca="1" si="44"/>
        <v>0.13418133508950791</v>
      </c>
      <c r="L339" t="str">
        <f ca="1">IF(K339&lt;=distribution!$D$11,distribution!$B$11,distribution!$B$12)</f>
        <v>N</v>
      </c>
      <c r="M339">
        <f t="shared" ca="1" si="45"/>
        <v>99310</v>
      </c>
      <c r="N339">
        <f t="shared" ca="1" si="46"/>
        <v>99310</v>
      </c>
    </row>
    <row r="340" spans="1:14" x14ac:dyDescent="0.45">
      <c r="A340">
        <f t="shared" si="47"/>
        <v>339</v>
      </c>
      <c r="B340">
        <f t="shared" ca="1" si="40"/>
        <v>0.50872758470802359</v>
      </c>
      <c r="C340" t="str">
        <f ca="1">IF(B340&lt;=distribution!$D$2,distribution!$B$2,IF(B340&lt;=distribution!$D$3,distribution!$B$3,distribution!$B$4))</f>
        <v>ON</v>
      </c>
      <c r="D340">
        <f t="shared" ca="1" si="41"/>
        <v>0.96068632625634776</v>
      </c>
      <c r="E340" t="str">
        <f ca="1">IF(D340&lt;=distribution!$D$5,distribution!$B$5,distribution!$B$6)</f>
        <v>B</v>
      </c>
      <c r="F340">
        <f t="shared" ca="1" si="42"/>
        <v>0.89304308459274195</v>
      </c>
      <c r="G340" t="str">
        <f ca="1">IF(F340&lt;=distribution!$D$7,distribution!$B$7,IF(F340&lt;=distribution!$D$8,distribution!$B$8,IF(F340&lt;=distribution!$D$9,distribution!$B$9,distribution!$B$10)))</f>
        <v>55-64</v>
      </c>
      <c r="H340">
        <f ca="1">VLOOKUP(G340,age_band!$A$1:$C$5,2,FALSE)</f>
        <v>55</v>
      </c>
      <c r="I340">
        <f ca="1">VLOOKUP(G340,age_band!$A$2:$C$5,3,FALSE)</f>
        <v>64</v>
      </c>
      <c r="J340">
        <f t="shared" ca="1" si="43"/>
        <v>62</v>
      </c>
      <c r="K340">
        <f t="shared" ca="1" si="44"/>
        <v>0.60138040157329786</v>
      </c>
      <c r="L340" t="str">
        <f ca="1">IF(K340&lt;=distribution!$D$11,distribution!$B$11,distribution!$B$12)</f>
        <v>N</v>
      </c>
      <c r="M340">
        <f t="shared" ca="1" si="45"/>
        <v>53473</v>
      </c>
      <c r="N340">
        <f t="shared" ca="1" si="46"/>
        <v>53473</v>
      </c>
    </row>
    <row r="341" spans="1:14" x14ac:dyDescent="0.45">
      <c r="A341">
        <f t="shared" si="47"/>
        <v>340</v>
      </c>
      <c r="B341">
        <f t="shared" ca="1" si="40"/>
        <v>0.9016180581074511</v>
      </c>
      <c r="C341" t="str">
        <f ca="1">IF(B341&lt;=distribution!$D$2,distribution!$B$2,IF(B341&lt;=distribution!$D$3,distribution!$B$3,distribution!$B$4))</f>
        <v>BC</v>
      </c>
      <c r="D341">
        <f t="shared" ca="1" si="41"/>
        <v>0.10187951087988123</v>
      </c>
      <c r="E341" t="str">
        <f ca="1">IF(D341&lt;=distribution!$D$5,distribution!$B$5,distribution!$B$6)</f>
        <v>A</v>
      </c>
      <c r="F341">
        <f t="shared" ca="1" si="42"/>
        <v>0.60442964814415778</v>
      </c>
      <c r="G341" t="str">
        <f ca="1">IF(F341&lt;=distribution!$D$7,distribution!$B$7,IF(F341&lt;=distribution!$D$8,distribution!$B$8,IF(F341&lt;=distribution!$D$9,distribution!$B$9,distribution!$B$10)))</f>
        <v>45-54</v>
      </c>
      <c r="H341">
        <f ca="1">VLOOKUP(G341,age_band!$A$1:$C$5,2,FALSE)</f>
        <v>45</v>
      </c>
      <c r="I341">
        <f ca="1">VLOOKUP(G341,age_band!$A$2:$C$5,3,FALSE)</f>
        <v>54</v>
      </c>
      <c r="J341">
        <f t="shared" ca="1" si="43"/>
        <v>49</v>
      </c>
      <c r="K341">
        <f t="shared" ca="1" si="44"/>
        <v>0.12948384259001955</v>
      </c>
      <c r="L341" t="str">
        <f ca="1">IF(K341&lt;=distribution!$D$11,distribution!$B$11,distribution!$B$12)</f>
        <v>N</v>
      </c>
      <c r="M341">
        <f t="shared" ca="1" si="45"/>
        <v>66213</v>
      </c>
      <c r="N341">
        <f t="shared" ca="1" si="46"/>
        <v>66213</v>
      </c>
    </row>
    <row r="342" spans="1:14" x14ac:dyDescent="0.45">
      <c r="A342">
        <f t="shared" si="47"/>
        <v>341</v>
      </c>
      <c r="B342">
        <f t="shared" ca="1" si="40"/>
        <v>0.18245686306989983</v>
      </c>
      <c r="C342" t="str">
        <f ca="1">IF(B342&lt;=distribution!$D$2,distribution!$B$2,IF(B342&lt;=distribution!$D$3,distribution!$B$3,distribution!$B$4))</f>
        <v>ON</v>
      </c>
      <c r="D342">
        <f t="shared" ca="1" si="41"/>
        <v>0.55665550664427088</v>
      </c>
      <c r="E342" t="str">
        <f ca="1">IF(D342&lt;=distribution!$D$5,distribution!$B$5,distribution!$B$6)</f>
        <v>A</v>
      </c>
      <c r="F342">
        <f t="shared" ca="1" si="42"/>
        <v>0.23429643161212199</v>
      </c>
      <c r="G342" t="str">
        <f ca="1">IF(F342&lt;=distribution!$D$7,distribution!$B$7,IF(F342&lt;=distribution!$D$8,distribution!$B$8,IF(F342&lt;=distribution!$D$9,distribution!$B$9,distribution!$B$10)))</f>
        <v>25-34</v>
      </c>
      <c r="H342">
        <f ca="1">VLOOKUP(G342,age_band!$A$1:$C$5,2,FALSE)</f>
        <v>25</v>
      </c>
      <c r="I342">
        <f ca="1">VLOOKUP(G342,age_band!$A$2:$C$5,3,FALSE)</f>
        <v>34</v>
      </c>
      <c r="J342">
        <f t="shared" ca="1" si="43"/>
        <v>26</v>
      </c>
      <c r="K342">
        <f t="shared" ca="1" si="44"/>
        <v>0.21800646002032753</v>
      </c>
      <c r="L342" t="str">
        <f ca="1">IF(K342&lt;=distribution!$D$11,distribution!$B$11,distribution!$B$12)</f>
        <v>N</v>
      </c>
      <c r="M342">
        <f t="shared" ca="1" si="45"/>
        <v>120955</v>
      </c>
      <c r="N342">
        <f t="shared" ca="1" si="46"/>
        <v>120955</v>
      </c>
    </row>
    <row r="343" spans="1:14" x14ac:dyDescent="0.45">
      <c r="A343">
        <f t="shared" si="47"/>
        <v>342</v>
      </c>
      <c r="B343">
        <f t="shared" ca="1" si="40"/>
        <v>0.31499691067885416</v>
      </c>
      <c r="C343" t="str">
        <f ca="1">IF(B343&lt;=distribution!$D$2,distribution!$B$2,IF(B343&lt;=distribution!$D$3,distribution!$B$3,distribution!$B$4))</f>
        <v>ON</v>
      </c>
      <c r="D343">
        <f t="shared" ca="1" si="41"/>
        <v>0.8921354658939965</v>
      </c>
      <c r="E343" t="str">
        <f ca="1">IF(D343&lt;=distribution!$D$5,distribution!$B$5,distribution!$B$6)</f>
        <v>B</v>
      </c>
      <c r="F343">
        <f t="shared" ca="1" si="42"/>
        <v>0.24140996723796959</v>
      </c>
      <c r="G343" t="str">
        <f ca="1">IF(F343&lt;=distribution!$D$7,distribution!$B$7,IF(F343&lt;=distribution!$D$8,distribution!$B$8,IF(F343&lt;=distribution!$D$9,distribution!$B$9,distribution!$B$10)))</f>
        <v>25-34</v>
      </c>
      <c r="H343">
        <f ca="1">VLOOKUP(G343,age_band!$A$1:$C$5,2,FALSE)</f>
        <v>25</v>
      </c>
      <c r="I343">
        <f ca="1">VLOOKUP(G343,age_band!$A$2:$C$5,3,FALSE)</f>
        <v>34</v>
      </c>
      <c r="J343">
        <f t="shared" ca="1" si="43"/>
        <v>34</v>
      </c>
      <c r="K343">
        <f t="shared" ca="1" si="44"/>
        <v>0.86244555608306539</v>
      </c>
      <c r="L343" t="str">
        <f ca="1">IF(K343&lt;=distribution!$D$11,distribution!$B$11,distribution!$B$12)</f>
        <v>Y</v>
      </c>
      <c r="M343">
        <f t="shared" ca="1" si="45"/>
        <v>79011</v>
      </c>
      <c r="N343">
        <f t="shared" ca="1" si="46"/>
        <v>79011</v>
      </c>
    </row>
    <row r="344" spans="1:14" x14ac:dyDescent="0.45">
      <c r="A344">
        <f t="shared" si="47"/>
        <v>343</v>
      </c>
      <c r="B344">
        <f t="shared" ca="1" si="40"/>
        <v>0.19976305687696849</v>
      </c>
      <c r="C344" t="str">
        <f ca="1">IF(B344&lt;=distribution!$D$2,distribution!$B$2,IF(B344&lt;=distribution!$D$3,distribution!$B$3,distribution!$B$4))</f>
        <v>ON</v>
      </c>
      <c r="D344">
        <f t="shared" ca="1" si="41"/>
        <v>0.7828797041885649</v>
      </c>
      <c r="E344" t="str">
        <f ca="1">IF(D344&lt;=distribution!$D$5,distribution!$B$5,distribution!$B$6)</f>
        <v>B</v>
      </c>
      <c r="F344">
        <f t="shared" ca="1" si="42"/>
        <v>0.50909580243130159</v>
      </c>
      <c r="G344" t="str">
        <f ca="1">IF(F344&lt;=distribution!$D$7,distribution!$B$7,IF(F344&lt;=distribution!$D$8,distribution!$B$8,IF(F344&lt;=distribution!$D$9,distribution!$B$9,distribution!$B$10)))</f>
        <v>35-44</v>
      </c>
      <c r="H344">
        <f ca="1">VLOOKUP(G344,age_band!$A$1:$C$5,2,FALSE)</f>
        <v>35</v>
      </c>
      <c r="I344">
        <f ca="1">VLOOKUP(G344,age_band!$A$2:$C$5,3,FALSE)</f>
        <v>44</v>
      </c>
      <c r="J344">
        <f t="shared" ca="1" si="43"/>
        <v>41</v>
      </c>
      <c r="K344">
        <f t="shared" ca="1" si="44"/>
        <v>0.71469993020785771</v>
      </c>
      <c r="L344" t="str">
        <f ca="1">IF(K344&lt;=distribution!$D$11,distribution!$B$11,distribution!$B$12)</f>
        <v>N</v>
      </c>
      <c r="M344">
        <f t="shared" ca="1" si="45"/>
        <v>78732</v>
      </c>
      <c r="N344">
        <f t="shared" ca="1" si="46"/>
        <v>78732</v>
      </c>
    </row>
    <row r="345" spans="1:14" x14ac:dyDescent="0.45">
      <c r="A345">
        <f t="shared" si="47"/>
        <v>344</v>
      </c>
      <c r="B345">
        <f t="shared" ca="1" si="40"/>
        <v>0.97086736027678489</v>
      </c>
      <c r="C345" t="str">
        <f ca="1">IF(B345&lt;=distribution!$D$2,distribution!$B$2,IF(B345&lt;=distribution!$D$3,distribution!$B$3,distribution!$B$4))</f>
        <v>BC</v>
      </c>
      <c r="D345">
        <f t="shared" ca="1" si="41"/>
        <v>0.28115220134276264</v>
      </c>
      <c r="E345" t="str">
        <f ca="1">IF(D345&lt;=distribution!$D$5,distribution!$B$5,distribution!$B$6)</f>
        <v>A</v>
      </c>
      <c r="F345">
        <f t="shared" ca="1" si="42"/>
        <v>0.50168863501514016</v>
      </c>
      <c r="G345" t="str">
        <f ca="1">IF(F345&lt;=distribution!$D$7,distribution!$B$7,IF(F345&lt;=distribution!$D$8,distribution!$B$8,IF(F345&lt;=distribution!$D$9,distribution!$B$9,distribution!$B$10)))</f>
        <v>35-44</v>
      </c>
      <c r="H345">
        <f ca="1">VLOOKUP(G345,age_band!$A$1:$C$5,2,FALSE)</f>
        <v>35</v>
      </c>
      <c r="I345">
        <f ca="1">VLOOKUP(G345,age_band!$A$2:$C$5,3,FALSE)</f>
        <v>44</v>
      </c>
      <c r="J345">
        <f t="shared" ca="1" si="43"/>
        <v>35</v>
      </c>
      <c r="K345">
        <f t="shared" ca="1" si="44"/>
        <v>0.99851711250986819</v>
      </c>
      <c r="L345" t="str">
        <f ca="1">IF(K345&lt;=distribution!$D$11,distribution!$B$11,distribution!$B$12)</f>
        <v>Y</v>
      </c>
      <c r="M345">
        <f t="shared" ca="1" si="45"/>
        <v>88871</v>
      </c>
      <c r="N345">
        <f t="shared" ca="1" si="46"/>
        <v>88871</v>
      </c>
    </row>
    <row r="346" spans="1:14" x14ac:dyDescent="0.45">
      <c r="A346">
        <f t="shared" si="47"/>
        <v>345</v>
      </c>
      <c r="B346">
        <f t="shared" ca="1" si="40"/>
        <v>0.75676978162758946</v>
      </c>
      <c r="C346" t="str">
        <f ca="1">IF(B346&lt;=distribution!$D$2,distribution!$B$2,IF(B346&lt;=distribution!$D$3,distribution!$B$3,distribution!$B$4))</f>
        <v>BC</v>
      </c>
      <c r="D346">
        <f t="shared" ca="1" si="41"/>
        <v>0.63139215872128096</v>
      </c>
      <c r="E346" t="str">
        <f ca="1">IF(D346&lt;=distribution!$D$5,distribution!$B$5,distribution!$B$6)</f>
        <v>A</v>
      </c>
      <c r="F346">
        <f t="shared" ca="1" si="42"/>
        <v>0.61696915941664476</v>
      </c>
      <c r="G346" t="str">
        <f ca="1">IF(F346&lt;=distribution!$D$7,distribution!$B$7,IF(F346&lt;=distribution!$D$8,distribution!$B$8,IF(F346&lt;=distribution!$D$9,distribution!$B$9,distribution!$B$10)))</f>
        <v>45-54</v>
      </c>
      <c r="H346">
        <f ca="1">VLOOKUP(G346,age_band!$A$1:$C$5,2,FALSE)</f>
        <v>45</v>
      </c>
      <c r="I346">
        <f ca="1">VLOOKUP(G346,age_band!$A$2:$C$5,3,FALSE)</f>
        <v>54</v>
      </c>
      <c r="J346">
        <f t="shared" ca="1" si="43"/>
        <v>45</v>
      </c>
      <c r="K346">
        <f t="shared" ca="1" si="44"/>
        <v>0.57485460997704807</v>
      </c>
      <c r="L346" t="str">
        <f ca="1">IF(K346&lt;=distribution!$D$11,distribution!$B$11,distribution!$B$12)</f>
        <v>N</v>
      </c>
      <c r="M346">
        <f t="shared" ca="1" si="45"/>
        <v>100232</v>
      </c>
      <c r="N346">
        <f t="shared" ca="1" si="46"/>
        <v>100232</v>
      </c>
    </row>
    <row r="347" spans="1:14" x14ac:dyDescent="0.45">
      <c r="A347">
        <f t="shared" si="47"/>
        <v>346</v>
      </c>
      <c r="B347">
        <f t="shared" ca="1" si="40"/>
        <v>0.91961749056662134</v>
      </c>
      <c r="C347" t="str">
        <f ca="1">IF(B347&lt;=distribution!$D$2,distribution!$B$2,IF(B347&lt;=distribution!$D$3,distribution!$B$3,distribution!$B$4))</f>
        <v>BC</v>
      </c>
      <c r="D347">
        <f t="shared" ca="1" si="41"/>
        <v>0.25314766711849435</v>
      </c>
      <c r="E347" t="str">
        <f ca="1">IF(D347&lt;=distribution!$D$5,distribution!$B$5,distribution!$B$6)</f>
        <v>A</v>
      </c>
      <c r="F347">
        <f t="shared" ca="1" si="42"/>
        <v>0.38175347206338239</v>
      </c>
      <c r="G347" t="str">
        <f ca="1">IF(F347&lt;=distribution!$D$7,distribution!$B$7,IF(F347&lt;=distribution!$D$8,distribution!$B$8,IF(F347&lt;=distribution!$D$9,distribution!$B$9,distribution!$B$10)))</f>
        <v>35-44</v>
      </c>
      <c r="H347">
        <f ca="1">VLOOKUP(G347,age_band!$A$1:$C$5,2,FALSE)</f>
        <v>35</v>
      </c>
      <c r="I347">
        <f ca="1">VLOOKUP(G347,age_band!$A$2:$C$5,3,FALSE)</f>
        <v>44</v>
      </c>
      <c r="J347">
        <f t="shared" ca="1" si="43"/>
        <v>43</v>
      </c>
      <c r="K347">
        <f t="shared" ca="1" si="44"/>
        <v>0.5044123900289248</v>
      </c>
      <c r="L347" t="str">
        <f ca="1">IF(K347&lt;=distribution!$D$11,distribution!$B$11,distribution!$B$12)</f>
        <v>N</v>
      </c>
      <c r="M347">
        <f t="shared" ca="1" si="45"/>
        <v>76392</v>
      </c>
      <c r="N347">
        <f t="shared" ca="1" si="46"/>
        <v>76392</v>
      </c>
    </row>
    <row r="348" spans="1:14" x14ac:dyDescent="0.45">
      <c r="A348">
        <f t="shared" si="47"/>
        <v>347</v>
      </c>
      <c r="B348">
        <f t="shared" ca="1" si="40"/>
        <v>0.5584873348170698</v>
      </c>
      <c r="C348" t="str">
        <f ca="1">IF(B348&lt;=distribution!$D$2,distribution!$B$2,IF(B348&lt;=distribution!$D$3,distribution!$B$3,distribution!$B$4))</f>
        <v>QC</v>
      </c>
      <c r="D348">
        <f t="shared" ca="1" si="41"/>
        <v>8.2296745591249332E-2</v>
      </c>
      <c r="E348" t="str">
        <f ca="1">IF(D348&lt;=distribution!$D$5,distribution!$B$5,distribution!$B$6)</f>
        <v>A</v>
      </c>
      <c r="F348">
        <f t="shared" ca="1" si="42"/>
        <v>0.51184757085111843</v>
      </c>
      <c r="G348" t="str">
        <f ca="1">IF(F348&lt;=distribution!$D$7,distribution!$B$7,IF(F348&lt;=distribution!$D$8,distribution!$B$8,IF(F348&lt;=distribution!$D$9,distribution!$B$9,distribution!$B$10)))</f>
        <v>35-44</v>
      </c>
      <c r="H348">
        <f ca="1">VLOOKUP(G348,age_band!$A$1:$C$5,2,FALSE)</f>
        <v>35</v>
      </c>
      <c r="I348">
        <f ca="1">VLOOKUP(G348,age_band!$A$2:$C$5,3,FALSE)</f>
        <v>44</v>
      </c>
      <c r="J348">
        <f t="shared" ca="1" si="43"/>
        <v>38</v>
      </c>
      <c r="K348">
        <f t="shared" ca="1" si="44"/>
        <v>0.27030921470530844</v>
      </c>
      <c r="L348" t="str">
        <f ca="1">IF(K348&lt;=distribution!$D$11,distribution!$B$11,distribution!$B$12)</f>
        <v>N</v>
      </c>
      <c r="M348">
        <f t="shared" ca="1" si="45"/>
        <v>54490</v>
      </c>
      <c r="N348">
        <f t="shared" ca="1" si="46"/>
        <v>54490</v>
      </c>
    </row>
    <row r="349" spans="1:14" x14ac:dyDescent="0.45">
      <c r="A349">
        <f t="shared" si="47"/>
        <v>348</v>
      </c>
      <c r="B349">
        <f t="shared" ca="1" si="40"/>
        <v>2.5564539803610842E-3</v>
      </c>
      <c r="C349" t="str">
        <f ca="1">IF(B349&lt;=distribution!$D$2,distribution!$B$2,IF(B349&lt;=distribution!$D$3,distribution!$B$3,distribution!$B$4))</f>
        <v>ON</v>
      </c>
      <c r="D349">
        <f t="shared" ca="1" si="41"/>
        <v>0.17488306562618294</v>
      </c>
      <c r="E349" t="str">
        <f ca="1">IF(D349&lt;=distribution!$D$5,distribution!$B$5,distribution!$B$6)</f>
        <v>A</v>
      </c>
      <c r="F349">
        <f t="shared" ca="1" si="42"/>
        <v>0.1127488793614092</v>
      </c>
      <c r="G349" t="str">
        <f ca="1">IF(F349&lt;=distribution!$D$7,distribution!$B$7,IF(F349&lt;=distribution!$D$8,distribution!$B$8,IF(F349&lt;=distribution!$D$9,distribution!$B$9,distribution!$B$10)))</f>
        <v>25-34</v>
      </c>
      <c r="H349">
        <f ca="1">VLOOKUP(G349,age_band!$A$1:$C$5,2,FALSE)</f>
        <v>25</v>
      </c>
      <c r="I349">
        <f ca="1">VLOOKUP(G349,age_band!$A$2:$C$5,3,FALSE)</f>
        <v>34</v>
      </c>
      <c r="J349">
        <f t="shared" ca="1" si="43"/>
        <v>34</v>
      </c>
      <c r="K349">
        <f t="shared" ca="1" si="44"/>
        <v>0.1600825775297543</v>
      </c>
      <c r="L349" t="str">
        <f ca="1">IF(K349&lt;=distribution!$D$11,distribution!$B$11,distribution!$B$12)</f>
        <v>N</v>
      </c>
      <c r="M349">
        <f t="shared" ca="1" si="45"/>
        <v>87868</v>
      </c>
      <c r="N349">
        <f t="shared" ca="1" si="46"/>
        <v>87868</v>
      </c>
    </row>
    <row r="350" spans="1:14" x14ac:dyDescent="0.45">
      <c r="A350">
        <f t="shared" si="47"/>
        <v>349</v>
      </c>
      <c r="B350">
        <f t="shared" ca="1" si="40"/>
        <v>0.63271104536067213</v>
      </c>
      <c r="C350" t="str">
        <f ca="1">IF(B350&lt;=distribution!$D$2,distribution!$B$2,IF(B350&lt;=distribution!$D$3,distribution!$B$3,distribution!$B$4))</f>
        <v>QC</v>
      </c>
      <c r="D350">
        <f t="shared" ca="1" si="41"/>
        <v>0.26367106862859113</v>
      </c>
      <c r="E350" t="str">
        <f ca="1">IF(D350&lt;=distribution!$D$5,distribution!$B$5,distribution!$B$6)</f>
        <v>A</v>
      </c>
      <c r="F350">
        <f t="shared" ca="1" si="42"/>
        <v>0.69414641060490534</v>
      </c>
      <c r="G350" t="str">
        <f ca="1">IF(F350&lt;=distribution!$D$7,distribution!$B$7,IF(F350&lt;=distribution!$D$8,distribution!$B$8,IF(F350&lt;=distribution!$D$9,distribution!$B$9,distribution!$B$10)))</f>
        <v>45-54</v>
      </c>
      <c r="H350">
        <f ca="1">VLOOKUP(G350,age_band!$A$1:$C$5,2,FALSE)</f>
        <v>45</v>
      </c>
      <c r="I350">
        <f ca="1">VLOOKUP(G350,age_band!$A$2:$C$5,3,FALSE)</f>
        <v>54</v>
      </c>
      <c r="J350">
        <f t="shared" ca="1" si="43"/>
        <v>46</v>
      </c>
      <c r="K350">
        <f t="shared" ca="1" si="44"/>
        <v>5.3228242095381351E-2</v>
      </c>
      <c r="L350" t="str">
        <f ca="1">IF(K350&lt;=distribution!$D$11,distribution!$B$11,distribution!$B$12)</f>
        <v>N</v>
      </c>
      <c r="M350">
        <f t="shared" ca="1" si="45"/>
        <v>123807</v>
      </c>
      <c r="N350">
        <f t="shared" ca="1" si="46"/>
        <v>123807</v>
      </c>
    </row>
    <row r="351" spans="1:14" x14ac:dyDescent="0.45">
      <c r="A351">
        <f t="shared" si="47"/>
        <v>350</v>
      </c>
      <c r="B351">
        <f t="shared" ca="1" si="40"/>
        <v>0.57725139041695728</v>
      </c>
      <c r="C351" t="str">
        <f ca="1">IF(B351&lt;=distribution!$D$2,distribution!$B$2,IF(B351&lt;=distribution!$D$3,distribution!$B$3,distribution!$B$4))</f>
        <v>QC</v>
      </c>
      <c r="D351">
        <f t="shared" ca="1" si="41"/>
        <v>0.98788103555407891</v>
      </c>
      <c r="E351" t="str">
        <f ca="1">IF(D351&lt;=distribution!$D$5,distribution!$B$5,distribution!$B$6)</f>
        <v>B</v>
      </c>
      <c r="F351">
        <f t="shared" ca="1" si="42"/>
        <v>0.23599077543809233</v>
      </c>
      <c r="G351" t="str">
        <f ca="1">IF(F351&lt;=distribution!$D$7,distribution!$B$7,IF(F351&lt;=distribution!$D$8,distribution!$B$8,IF(F351&lt;=distribution!$D$9,distribution!$B$9,distribution!$B$10)))</f>
        <v>25-34</v>
      </c>
      <c r="H351">
        <f ca="1">VLOOKUP(G351,age_band!$A$1:$C$5,2,FALSE)</f>
        <v>25</v>
      </c>
      <c r="I351">
        <f ca="1">VLOOKUP(G351,age_band!$A$2:$C$5,3,FALSE)</f>
        <v>34</v>
      </c>
      <c r="J351">
        <f t="shared" ca="1" si="43"/>
        <v>31</v>
      </c>
      <c r="K351">
        <f t="shared" ca="1" si="44"/>
        <v>0.13250671957389182</v>
      </c>
      <c r="L351" t="str">
        <f ca="1">IF(K351&lt;=distribution!$D$11,distribution!$B$11,distribution!$B$12)</f>
        <v>N</v>
      </c>
      <c r="M351">
        <f t="shared" ca="1" si="45"/>
        <v>51789</v>
      </c>
      <c r="N351">
        <f t="shared" ca="1" si="46"/>
        <v>51789</v>
      </c>
    </row>
    <row r="352" spans="1:14" x14ac:dyDescent="0.45">
      <c r="A352">
        <f t="shared" si="47"/>
        <v>351</v>
      </c>
      <c r="B352">
        <f t="shared" ca="1" si="40"/>
        <v>9.3382629482849588E-2</v>
      </c>
      <c r="C352" t="str">
        <f ca="1">IF(B352&lt;=distribution!$D$2,distribution!$B$2,IF(B352&lt;=distribution!$D$3,distribution!$B$3,distribution!$B$4))</f>
        <v>ON</v>
      </c>
      <c r="D352">
        <f t="shared" ca="1" si="41"/>
        <v>0.51900618990953928</v>
      </c>
      <c r="E352" t="str">
        <f ca="1">IF(D352&lt;=distribution!$D$5,distribution!$B$5,distribution!$B$6)</f>
        <v>A</v>
      </c>
      <c r="F352">
        <f t="shared" ca="1" si="42"/>
        <v>0.29130489529795245</v>
      </c>
      <c r="G352" t="str">
        <f ca="1">IF(F352&lt;=distribution!$D$7,distribution!$B$7,IF(F352&lt;=distribution!$D$8,distribution!$B$8,IF(F352&lt;=distribution!$D$9,distribution!$B$9,distribution!$B$10)))</f>
        <v>35-44</v>
      </c>
      <c r="H352">
        <f ca="1">VLOOKUP(G352,age_band!$A$1:$C$5,2,FALSE)</f>
        <v>35</v>
      </c>
      <c r="I352">
        <f ca="1">VLOOKUP(G352,age_band!$A$2:$C$5,3,FALSE)</f>
        <v>44</v>
      </c>
      <c r="J352">
        <f t="shared" ca="1" si="43"/>
        <v>39</v>
      </c>
      <c r="K352">
        <f t="shared" ca="1" si="44"/>
        <v>0.51788966310601581</v>
      </c>
      <c r="L352" t="str">
        <f ca="1">IF(K352&lt;=distribution!$D$11,distribution!$B$11,distribution!$B$12)</f>
        <v>N</v>
      </c>
      <c r="M352">
        <f t="shared" ca="1" si="45"/>
        <v>113072</v>
      </c>
      <c r="N352">
        <f t="shared" ca="1" si="46"/>
        <v>113072</v>
      </c>
    </row>
    <row r="353" spans="1:14" x14ac:dyDescent="0.45">
      <c r="A353">
        <f t="shared" si="47"/>
        <v>352</v>
      </c>
      <c r="B353">
        <f t="shared" ca="1" si="40"/>
        <v>0.31033567727053513</v>
      </c>
      <c r="C353" t="str">
        <f ca="1">IF(B353&lt;=distribution!$D$2,distribution!$B$2,IF(B353&lt;=distribution!$D$3,distribution!$B$3,distribution!$B$4))</f>
        <v>ON</v>
      </c>
      <c r="D353">
        <f t="shared" ca="1" si="41"/>
        <v>0.75893574786919271</v>
      </c>
      <c r="E353" t="str">
        <f ca="1">IF(D353&lt;=distribution!$D$5,distribution!$B$5,distribution!$B$6)</f>
        <v>B</v>
      </c>
      <c r="F353">
        <f t="shared" ca="1" si="42"/>
        <v>0.99535171414698342</v>
      </c>
      <c r="G353" t="str">
        <f ca="1">IF(F353&lt;=distribution!$D$7,distribution!$B$7,IF(F353&lt;=distribution!$D$8,distribution!$B$8,IF(F353&lt;=distribution!$D$9,distribution!$B$9,distribution!$B$10)))</f>
        <v>55-64</v>
      </c>
      <c r="H353">
        <f ca="1">VLOOKUP(G353,age_band!$A$1:$C$5,2,FALSE)</f>
        <v>55</v>
      </c>
      <c r="I353">
        <f ca="1">VLOOKUP(G353,age_band!$A$2:$C$5,3,FALSE)</f>
        <v>64</v>
      </c>
      <c r="J353">
        <f t="shared" ca="1" si="43"/>
        <v>64</v>
      </c>
      <c r="K353">
        <f t="shared" ca="1" si="44"/>
        <v>0.53106230336356586</v>
      </c>
      <c r="L353" t="str">
        <f ca="1">IF(K353&lt;=distribution!$D$11,distribution!$B$11,distribution!$B$12)</f>
        <v>N</v>
      </c>
      <c r="M353">
        <f t="shared" ca="1" si="45"/>
        <v>59799</v>
      </c>
      <c r="N353">
        <f t="shared" ca="1" si="46"/>
        <v>59799</v>
      </c>
    </row>
    <row r="354" spans="1:14" x14ac:dyDescent="0.45">
      <c r="A354">
        <f t="shared" si="47"/>
        <v>353</v>
      </c>
      <c r="B354">
        <f t="shared" ca="1" si="40"/>
        <v>0.86495103607162804</v>
      </c>
      <c r="C354" t="str">
        <f ca="1">IF(B354&lt;=distribution!$D$2,distribution!$B$2,IF(B354&lt;=distribution!$D$3,distribution!$B$3,distribution!$B$4))</f>
        <v>BC</v>
      </c>
      <c r="D354">
        <f t="shared" ca="1" si="41"/>
        <v>6.3351395192218107E-2</v>
      </c>
      <c r="E354" t="str">
        <f ca="1">IF(D354&lt;=distribution!$D$5,distribution!$B$5,distribution!$B$6)</f>
        <v>A</v>
      </c>
      <c r="F354">
        <f t="shared" ca="1" si="42"/>
        <v>0.96321736270188996</v>
      </c>
      <c r="G354" t="str">
        <f ca="1">IF(F354&lt;=distribution!$D$7,distribution!$B$7,IF(F354&lt;=distribution!$D$8,distribution!$B$8,IF(F354&lt;=distribution!$D$9,distribution!$B$9,distribution!$B$10)))</f>
        <v>55-64</v>
      </c>
      <c r="H354">
        <f ca="1">VLOOKUP(G354,age_band!$A$1:$C$5,2,FALSE)</f>
        <v>55</v>
      </c>
      <c r="I354">
        <f ca="1">VLOOKUP(G354,age_band!$A$2:$C$5,3,FALSE)</f>
        <v>64</v>
      </c>
      <c r="J354">
        <f t="shared" ca="1" si="43"/>
        <v>61</v>
      </c>
      <c r="K354">
        <f t="shared" ca="1" si="44"/>
        <v>0.22174739048995351</v>
      </c>
      <c r="L354" t="str">
        <f ca="1">IF(K354&lt;=distribution!$D$11,distribution!$B$11,distribution!$B$12)</f>
        <v>N</v>
      </c>
      <c r="M354">
        <f t="shared" ca="1" si="45"/>
        <v>86874</v>
      </c>
      <c r="N354">
        <f t="shared" ca="1" si="46"/>
        <v>86874</v>
      </c>
    </row>
    <row r="355" spans="1:14" x14ac:dyDescent="0.45">
      <c r="A355">
        <f t="shared" si="47"/>
        <v>354</v>
      </c>
      <c r="B355">
        <f t="shared" ca="1" si="40"/>
        <v>0.57034848972932328</v>
      </c>
      <c r="C355" t="str">
        <f ca="1">IF(B355&lt;=distribution!$D$2,distribution!$B$2,IF(B355&lt;=distribution!$D$3,distribution!$B$3,distribution!$B$4))</f>
        <v>QC</v>
      </c>
      <c r="D355">
        <f t="shared" ca="1" si="41"/>
        <v>0.14656115348300602</v>
      </c>
      <c r="E355" t="str">
        <f ca="1">IF(D355&lt;=distribution!$D$5,distribution!$B$5,distribution!$B$6)</f>
        <v>A</v>
      </c>
      <c r="F355">
        <f t="shared" ca="1" si="42"/>
        <v>0.20985532776524596</v>
      </c>
      <c r="G355" t="str">
        <f ca="1">IF(F355&lt;=distribution!$D$7,distribution!$B$7,IF(F355&lt;=distribution!$D$8,distribution!$B$8,IF(F355&lt;=distribution!$D$9,distribution!$B$9,distribution!$B$10)))</f>
        <v>25-34</v>
      </c>
      <c r="H355">
        <f ca="1">VLOOKUP(G355,age_band!$A$1:$C$5,2,FALSE)</f>
        <v>25</v>
      </c>
      <c r="I355">
        <f ca="1">VLOOKUP(G355,age_band!$A$2:$C$5,3,FALSE)</f>
        <v>34</v>
      </c>
      <c r="J355">
        <f t="shared" ca="1" si="43"/>
        <v>26</v>
      </c>
      <c r="K355">
        <f t="shared" ca="1" si="44"/>
        <v>0.65941301317140222</v>
      </c>
      <c r="L355" t="str">
        <f ca="1">IF(K355&lt;=distribution!$D$11,distribution!$B$11,distribution!$B$12)</f>
        <v>N</v>
      </c>
      <c r="M355">
        <f t="shared" ca="1" si="45"/>
        <v>126902</v>
      </c>
      <c r="N355">
        <f t="shared" ca="1" si="46"/>
        <v>126902</v>
      </c>
    </row>
    <row r="356" spans="1:14" x14ac:dyDescent="0.45">
      <c r="A356">
        <f t="shared" si="47"/>
        <v>355</v>
      </c>
      <c r="B356">
        <f t="shared" ca="1" si="40"/>
        <v>1.1189622831877521E-3</v>
      </c>
      <c r="C356" t="str">
        <f ca="1">IF(B356&lt;=distribution!$D$2,distribution!$B$2,IF(B356&lt;=distribution!$D$3,distribution!$B$3,distribution!$B$4))</f>
        <v>ON</v>
      </c>
      <c r="D356">
        <f t="shared" ca="1" si="41"/>
        <v>0.46539659708265302</v>
      </c>
      <c r="E356" t="str">
        <f ca="1">IF(D356&lt;=distribution!$D$5,distribution!$B$5,distribution!$B$6)</f>
        <v>A</v>
      </c>
      <c r="F356">
        <f t="shared" ca="1" si="42"/>
        <v>3.5672491954142016E-2</v>
      </c>
      <c r="G356" t="str">
        <f ca="1">IF(F356&lt;=distribution!$D$7,distribution!$B$7,IF(F356&lt;=distribution!$D$8,distribution!$B$8,IF(F356&lt;=distribution!$D$9,distribution!$B$9,distribution!$B$10)))</f>
        <v>25-34</v>
      </c>
      <c r="H356">
        <f ca="1">VLOOKUP(G356,age_band!$A$1:$C$5,2,FALSE)</f>
        <v>25</v>
      </c>
      <c r="I356">
        <f ca="1">VLOOKUP(G356,age_band!$A$2:$C$5,3,FALSE)</f>
        <v>34</v>
      </c>
      <c r="J356">
        <f t="shared" ca="1" si="43"/>
        <v>32</v>
      </c>
      <c r="K356">
        <f t="shared" ca="1" si="44"/>
        <v>0.49221491123465722</v>
      </c>
      <c r="L356" t="str">
        <f ca="1">IF(K356&lt;=distribution!$D$11,distribution!$B$11,distribution!$B$12)</f>
        <v>N</v>
      </c>
      <c r="M356">
        <f t="shared" ca="1" si="45"/>
        <v>89787</v>
      </c>
      <c r="N356">
        <f t="shared" ca="1" si="46"/>
        <v>89787</v>
      </c>
    </row>
    <row r="357" spans="1:14" x14ac:dyDescent="0.45">
      <c r="A357">
        <f t="shared" si="47"/>
        <v>356</v>
      </c>
      <c r="B357">
        <f t="shared" ca="1" si="40"/>
        <v>0.62760879862531993</v>
      </c>
      <c r="C357" t="str">
        <f ca="1">IF(B357&lt;=distribution!$D$2,distribution!$B$2,IF(B357&lt;=distribution!$D$3,distribution!$B$3,distribution!$B$4))</f>
        <v>QC</v>
      </c>
      <c r="D357">
        <f t="shared" ca="1" si="41"/>
        <v>0.85713279966615508</v>
      </c>
      <c r="E357" t="str">
        <f ca="1">IF(D357&lt;=distribution!$D$5,distribution!$B$5,distribution!$B$6)</f>
        <v>B</v>
      </c>
      <c r="F357">
        <f t="shared" ca="1" si="42"/>
        <v>0.5417196744277597</v>
      </c>
      <c r="G357" t="str">
        <f ca="1">IF(F357&lt;=distribution!$D$7,distribution!$B$7,IF(F357&lt;=distribution!$D$8,distribution!$B$8,IF(F357&lt;=distribution!$D$9,distribution!$B$9,distribution!$B$10)))</f>
        <v>35-44</v>
      </c>
      <c r="H357">
        <f ca="1">VLOOKUP(G357,age_band!$A$1:$C$5,2,FALSE)</f>
        <v>35</v>
      </c>
      <c r="I357">
        <f ca="1">VLOOKUP(G357,age_band!$A$2:$C$5,3,FALSE)</f>
        <v>44</v>
      </c>
      <c r="J357">
        <f t="shared" ca="1" si="43"/>
        <v>39</v>
      </c>
      <c r="K357">
        <f t="shared" ca="1" si="44"/>
        <v>0.19545874599165969</v>
      </c>
      <c r="L357" t="str">
        <f ca="1">IF(K357&lt;=distribution!$D$11,distribution!$B$11,distribution!$B$12)</f>
        <v>N</v>
      </c>
      <c r="M357">
        <f t="shared" ca="1" si="45"/>
        <v>64026</v>
      </c>
      <c r="N357">
        <f t="shared" ca="1" si="46"/>
        <v>64026</v>
      </c>
    </row>
    <row r="358" spans="1:14" x14ac:dyDescent="0.45">
      <c r="A358">
        <f t="shared" si="47"/>
        <v>357</v>
      </c>
      <c r="B358">
        <f t="shared" ca="1" si="40"/>
        <v>0.99830806000483741</v>
      </c>
      <c r="C358" t="str">
        <f ca="1">IF(B358&lt;=distribution!$D$2,distribution!$B$2,IF(B358&lt;=distribution!$D$3,distribution!$B$3,distribution!$B$4))</f>
        <v>BC</v>
      </c>
      <c r="D358">
        <f t="shared" ca="1" si="41"/>
        <v>0.39894400364044735</v>
      </c>
      <c r="E358" t="str">
        <f ca="1">IF(D358&lt;=distribution!$D$5,distribution!$B$5,distribution!$B$6)</f>
        <v>A</v>
      </c>
      <c r="F358">
        <f t="shared" ca="1" si="42"/>
        <v>0.59053772549952011</v>
      </c>
      <c r="G358" t="str">
        <f ca="1">IF(F358&lt;=distribution!$D$7,distribution!$B$7,IF(F358&lt;=distribution!$D$8,distribution!$B$8,IF(F358&lt;=distribution!$D$9,distribution!$B$9,distribution!$B$10)))</f>
        <v>35-44</v>
      </c>
      <c r="H358">
        <f ca="1">VLOOKUP(G358,age_band!$A$1:$C$5,2,FALSE)</f>
        <v>35</v>
      </c>
      <c r="I358">
        <f ca="1">VLOOKUP(G358,age_band!$A$2:$C$5,3,FALSE)</f>
        <v>44</v>
      </c>
      <c r="J358">
        <f t="shared" ca="1" si="43"/>
        <v>36</v>
      </c>
      <c r="K358">
        <f t="shared" ca="1" si="44"/>
        <v>0.19126449347230046</v>
      </c>
      <c r="L358" t="str">
        <f ca="1">IF(K358&lt;=distribution!$D$11,distribution!$B$11,distribution!$B$12)</f>
        <v>N</v>
      </c>
      <c r="M358">
        <f t="shared" ca="1" si="45"/>
        <v>56898</v>
      </c>
      <c r="N358">
        <f t="shared" ca="1" si="46"/>
        <v>56898</v>
      </c>
    </row>
    <row r="359" spans="1:14" x14ac:dyDescent="0.45">
      <c r="A359">
        <f t="shared" si="47"/>
        <v>358</v>
      </c>
      <c r="B359">
        <f t="shared" ca="1" si="40"/>
        <v>0.61295845081957667</v>
      </c>
      <c r="C359" t="str">
        <f ca="1">IF(B359&lt;=distribution!$D$2,distribution!$B$2,IF(B359&lt;=distribution!$D$3,distribution!$B$3,distribution!$B$4))</f>
        <v>QC</v>
      </c>
      <c r="D359">
        <f t="shared" ca="1" si="41"/>
        <v>0.50196687186318967</v>
      </c>
      <c r="E359" t="str">
        <f ca="1">IF(D359&lt;=distribution!$D$5,distribution!$B$5,distribution!$B$6)</f>
        <v>A</v>
      </c>
      <c r="F359">
        <f t="shared" ca="1" si="42"/>
        <v>0.85773037112213113</v>
      </c>
      <c r="G359" t="str">
        <f ca="1">IF(F359&lt;=distribution!$D$7,distribution!$B$7,IF(F359&lt;=distribution!$D$8,distribution!$B$8,IF(F359&lt;=distribution!$D$9,distribution!$B$9,distribution!$B$10)))</f>
        <v>55-64</v>
      </c>
      <c r="H359">
        <f ca="1">VLOOKUP(G359,age_band!$A$1:$C$5,2,FALSE)</f>
        <v>55</v>
      </c>
      <c r="I359">
        <f ca="1">VLOOKUP(G359,age_band!$A$2:$C$5,3,FALSE)</f>
        <v>64</v>
      </c>
      <c r="J359">
        <f t="shared" ca="1" si="43"/>
        <v>64</v>
      </c>
      <c r="K359">
        <f t="shared" ca="1" si="44"/>
        <v>0.62040786026032813</v>
      </c>
      <c r="L359" t="str">
        <f ca="1">IF(K359&lt;=distribution!$D$11,distribution!$B$11,distribution!$B$12)</f>
        <v>N</v>
      </c>
      <c r="M359">
        <f t="shared" ca="1" si="45"/>
        <v>78087</v>
      </c>
      <c r="N359">
        <f t="shared" ca="1" si="46"/>
        <v>78087</v>
      </c>
    </row>
    <row r="360" spans="1:14" x14ac:dyDescent="0.45">
      <c r="A360">
        <f t="shared" si="47"/>
        <v>359</v>
      </c>
      <c r="B360">
        <f t="shared" ca="1" si="40"/>
        <v>0.32825873655580606</v>
      </c>
      <c r="C360" t="str">
        <f ca="1">IF(B360&lt;=distribution!$D$2,distribution!$B$2,IF(B360&lt;=distribution!$D$3,distribution!$B$3,distribution!$B$4))</f>
        <v>ON</v>
      </c>
      <c r="D360">
        <f t="shared" ca="1" si="41"/>
        <v>0.62527596780499661</v>
      </c>
      <c r="E360" t="str">
        <f ca="1">IF(D360&lt;=distribution!$D$5,distribution!$B$5,distribution!$B$6)</f>
        <v>A</v>
      </c>
      <c r="F360">
        <f t="shared" ca="1" si="42"/>
        <v>0.55577037031194487</v>
      </c>
      <c r="G360" t="str">
        <f ca="1">IF(F360&lt;=distribution!$D$7,distribution!$B$7,IF(F360&lt;=distribution!$D$8,distribution!$B$8,IF(F360&lt;=distribution!$D$9,distribution!$B$9,distribution!$B$10)))</f>
        <v>35-44</v>
      </c>
      <c r="H360">
        <f ca="1">VLOOKUP(G360,age_band!$A$1:$C$5,2,FALSE)</f>
        <v>35</v>
      </c>
      <c r="I360">
        <f ca="1">VLOOKUP(G360,age_band!$A$2:$C$5,3,FALSE)</f>
        <v>44</v>
      </c>
      <c r="J360">
        <f t="shared" ca="1" si="43"/>
        <v>43</v>
      </c>
      <c r="K360">
        <f t="shared" ca="1" si="44"/>
        <v>0.9858165992914748</v>
      </c>
      <c r="L360" t="str">
        <f ca="1">IF(K360&lt;=distribution!$D$11,distribution!$B$11,distribution!$B$12)</f>
        <v>Y</v>
      </c>
      <c r="M360">
        <f t="shared" ca="1" si="45"/>
        <v>68880</v>
      </c>
      <c r="N360">
        <f t="shared" ca="1" si="46"/>
        <v>68880</v>
      </c>
    </row>
    <row r="361" spans="1:14" x14ac:dyDescent="0.45">
      <c r="A361">
        <f t="shared" si="47"/>
        <v>360</v>
      </c>
      <c r="B361">
        <f t="shared" ca="1" si="40"/>
        <v>0.86931427762767477</v>
      </c>
      <c r="C361" t="str">
        <f ca="1">IF(B361&lt;=distribution!$D$2,distribution!$B$2,IF(B361&lt;=distribution!$D$3,distribution!$B$3,distribution!$B$4))</f>
        <v>BC</v>
      </c>
      <c r="D361">
        <f t="shared" ca="1" si="41"/>
        <v>0.49240511889568672</v>
      </c>
      <c r="E361" t="str">
        <f ca="1">IF(D361&lt;=distribution!$D$5,distribution!$B$5,distribution!$B$6)</f>
        <v>A</v>
      </c>
      <c r="F361">
        <f t="shared" ca="1" si="42"/>
        <v>0.82808005061706302</v>
      </c>
      <c r="G361" t="str">
        <f ca="1">IF(F361&lt;=distribution!$D$7,distribution!$B$7,IF(F361&lt;=distribution!$D$8,distribution!$B$8,IF(F361&lt;=distribution!$D$9,distribution!$B$9,distribution!$B$10)))</f>
        <v>45-54</v>
      </c>
      <c r="H361">
        <f ca="1">VLOOKUP(G361,age_band!$A$1:$C$5,2,FALSE)</f>
        <v>45</v>
      </c>
      <c r="I361">
        <f ca="1">VLOOKUP(G361,age_band!$A$2:$C$5,3,FALSE)</f>
        <v>54</v>
      </c>
      <c r="J361">
        <f t="shared" ca="1" si="43"/>
        <v>48</v>
      </c>
      <c r="K361">
        <f t="shared" ca="1" si="44"/>
        <v>0.12941299044149446</v>
      </c>
      <c r="L361" t="str">
        <f ca="1">IF(K361&lt;=distribution!$D$11,distribution!$B$11,distribution!$B$12)</f>
        <v>N</v>
      </c>
      <c r="M361">
        <f t="shared" ca="1" si="45"/>
        <v>51869</v>
      </c>
      <c r="N361">
        <f t="shared" ca="1" si="46"/>
        <v>51869</v>
      </c>
    </row>
    <row r="362" spans="1:14" x14ac:dyDescent="0.45">
      <c r="A362">
        <f t="shared" si="47"/>
        <v>361</v>
      </c>
      <c r="B362">
        <f t="shared" ca="1" si="40"/>
        <v>0.15791058444224815</v>
      </c>
      <c r="C362" t="str">
        <f ca="1">IF(B362&lt;=distribution!$D$2,distribution!$B$2,IF(B362&lt;=distribution!$D$3,distribution!$B$3,distribution!$B$4))</f>
        <v>ON</v>
      </c>
      <c r="D362">
        <f t="shared" ca="1" si="41"/>
        <v>0.11722561157161693</v>
      </c>
      <c r="E362" t="str">
        <f ca="1">IF(D362&lt;=distribution!$D$5,distribution!$B$5,distribution!$B$6)</f>
        <v>A</v>
      </c>
      <c r="F362">
        <f t="shared" ca="1" si="42"/>
        <v>0.37585853218267051</v>
      </c>
      <c r="G362" t="str">
        <f ca="1">IF(F362&lt;=distribution!$D$7,distribution!$B$7,IF(F362&lt;=distribution!$D$8,distribution!$B$8,IF(F362&lt;=distribution!$D$9,distribution!$B$9,distribution!$B$10)))</f>
        <v>35-44</v>
      </c>
      <c r="H362">
        <f ca="1">VLOOKUP(G362,age_band!$A$1:$C$5,2,FALSE)</f>
        <v>35</v>
      </c>
      <c r="I362">
        <f ca="1">VLOOKUP(G362,age_band!$A$2:$C$5,3,FALSE)</f>
        <v>44</v>
      </c>
      <c r="J362">
        <f t="shared" ca="1" si="43"/>
        <v>41</v>
      </c>
      <c r="K362">
        <f t="shared" ca="1" si="44"/>
        <v>0.38439791558453651</v>
      </c>
      <c r="L362" t="str">
        <f ca="1">IF(K362&lt;=distribution!$D$11,distribution!$B$11,distribution!$B$12)</f>
        <v>N</v>
      </c>
      <c r="M362">
        <f t="shared" ca="1" si="45"/>
        <v>82149</v>
      </c>
      <c r="N362">
        <f t="shared" ca="1" si="46"/>
        <v>82149</v>
      </c>
    </row>
    <row r="363" spans="1:14" x14ac:dyDescent="0.45">
      <c r="A363">
        <f t="shared" si="47"/>
        <v>362</v>
      </c>
      <c r="B363">
        <f t="shared" ca="1" si="40"/>
        <v>0.61882727979436347</v>
      </c>
      <c r="C363" t="str">
        <f ca="1">IF(B363&lt;=distribution!$D$2,distribution!$B$2,IF(B363&lt;=distribution!$D$3,distribution!$B$3,distribution!$B$4))</f>
        <v>QC</v>
      </c>
      <c r="D363">
        <f t="shared" ca="1" si="41"/>
        <v>0.37867690329527925</v>
      </c>
      <c r="E363" t="str">
        <f ca="1">IF(D363&lt;=distribution!$D$5,distribution!$B$5,distribution!$B$6)</f>
        <v>A</v>
      </c>
      <c r="F363">
        <f t="shared" ca="1" si="42"/>
        <v>1.6086612918988052E-2</v>
      </c>
      <c r="G363" t="str">
        <f ca="1">IF(F363&lt;=distribution!$D$7,distribution!$B$7,IF(F363&lt;=distribution!$D$8,distribution!$B$8,IF(F363&lt;=distribution!$D$9,distribution!$B$9,distribution!$B$10)))</f>
        <v>25-34</v>
      </c>
      <c r="H363">
        <f ca="1">VLOOKUP(G363,age_band!$A$1:$C$5,2,FALSE)</f>
        <v>25</v>
      </c>
      <c r="I363">
        <f ca="1">VLOOKUP(G363,age_band!$A$2:$C$5,3,FALSE)</f>
        <v>34</v>
      </c>
      <c r="J363">
        <f t="shared" ca="1" si="43"/>
        <v>30</v>
      </c>
      <c r="K363">
        <f t="shared" ca="1" si="44"/>
        <v>0.27658247870382935</v>
      </c>
      <c r="L363" t="str">
        <f ca="1">IF(K363&lt;=distribution!$D$11,distribution!$B$11,distribution!$B$12)</f>
        <v>N</v>
      </c>
      <c r="M363">
        <f t="shared" ca="1" si="45"/>
        <v>90254</v>
      </c>
      <c r="N363">
        <f t="shared" ca="1" si="46"/>
        <v>90254</v>
      </c>
    </row>
    <row r="364" spans="1:14" x14ac:dyDescent="0.45">
      <c r="A364">
        <f t="shared" si="47"/>
        <v>363</v>
      </c>
      <c r="B364">
        <f t="shared" ca="1" si="40"/>
        <v>0.47416369667485836</v>
      </c>
      <c r="C364" t="str">
        <f ca="1">IF(B364&lt;=distribution!$D$2,distribution!$B$2,IF(B364&lt;=distribution!$D$3,distribution!$B$3,distribution!$B$4))</f>
        <v>ON</v>
      </c>
      <c r="D364">
        <f t="shared" ca="1" si="41"/>
        <v>0.11896227596885622</v>
      </c>
      <c r="E364" t="str">
        <f ca="1">IF(D364&lt;=distribution!$D$5,distribution!$B$5,distribution!$B$6)</f>
        <v>A</v>
      </c>
      <c r="F364">
        <f t="shared" ca="1" si="42"/>
        <v>0.37609667468011432</v>
      </c>
      <c r="G364" t="str">
        <f ca="1">IF(F364&lt;=distribution!$D$7,distribution!$B$7,IF(F364&lt;=distribution!$D$8,distribution!$B$8,IF(F364&lt;=distribution!$D$9,distribution!$B$9,distribution!$B$10)))</f>
        <v>35-44</v>
      </c>
      <c r="H364">
        <f ca="1">VLOOKUP(G364,age_band!$A$1:$C$5,2,FALSE)</f>
        <v>35</v>
      </c>
      <c r="I364">
        <f ca="1">VLOOKUP(G364,age_band!$A$2:$C$5,3,FALSE)</f>
        <v>44</v>
      </c>
      <c r="J364">
        <f t="shared" ca="1" si="43"/>
        <v>36</v>
      </c>
      <c r="K364">
        <f t="shared" ca="1" si="44"/>
        <v>4.4130942537330409E-2</v>
      </c>
      <c r="L364" t="str">
        <f ca="1">IF(K364&lt;=distribution!$D$11,distribution!$B$11,distribution!$B$12)</f>
        <v>N</v>
      </c>
      <c r="M364">
        <f t="shared" ca="1" si="45"/>
        <v>82810</v>
      </c>
      <c r="N364">
        <f t="shared" ca="1" si="46"/>
        <v>82810</v>
      </c>
    </row>
    <row r="365" spans="1:14" x14ac:dyDescent="0.45">
      <c r="A365">
        <f t="shared" si="47"/>
        <v>364</v>
      </c>
      <c r="B365">
        <f t="shared" ca="1" si="40"/>
        <v>0.95253688176833295</v>
      </c>
      <c r="C365" t="str">
        <f ca="1">IF(B365&lt;=distribution!$D$2,distribution!$B$2,IF(B365&lt;=distribution!$D$3,distribution!$B$3,distribution!$B$4))</f>
        <v>BC</v>
      </c>
      <c r="D365">
        <f t="shared" ca="1" si="41"/>
        <v>0.24638264392173448</v>
      </c>
      <c r="E365" t="str">
        <f ca="1">IF(D365&lt;=distribution!$D$5,distribution!$B$5,distribution!$B$6)</f>
        <v>A</v>
      </c>
      <c r="F365">
        <f t="shared" ca="1" si="42"/>
        <v>0.98804479737663853</v>
      </c>
      <c r="G365" t="str">
        <f ca="1">IF(F365&lt;=distribution!$D$7,distribution!$B$7,IF(F365&lt;=distribution!$D$8,distribution!$B$8,IF(F365&lt;=distribution!$D$9,distribution!$B$9,distribution!$B$10)))</f>
        <v>55-64</v>
      </c>
      <c r="H365">
        <f ca="1">VLOOKUP(G365,age_band!$A$1:$C$5,2,FALSE)</f>
        <v>55</v>
      </c>
      <c r="I365">
        <f ca="1">VLOOKUP(G365,age_band!$A$2:$C$5,3,FALSE)</f>
        <v>64</v>
      </c>
      <c r="J365">
        <f t="shared" ca="1" si="43"/>
        <v>59</v>
      </c>
      <c r="K365">
        <f t="shared" ca="1" si="44"/>
        <v>0.44794080240257794</v>
      </c>
      <c r="L365" t="str">
        <f ca="1">IF(K365&lt;=distribution!$D$11,distribution!$B$11,distribution!$B$12)</f>
        <v>N</v>
      </c>
      <c r="M365">
        <f t="shared" ca="1" si="45"/>
        <v>117337</v>
      </c>
      <c r="N365">
        <f t="shared" ca="1" si="46"/>
        <v>117337</v>
      </c>
    </row>
    <row r="366" spans="1:14" x14ac:dyDescent="0.45">
      <c r="A366">
        <f t="shared" si="47"/>
        <v>365</v>
      </c>
      <c r="B366">
        <f t="shared" ca="1" si="40"/>
        <v>2.9983422353230926E-2</v>
      </c>
      <c r="C366" t="str">
        <f ca="1">IF(B366&lt;=distribution!$D$2,distribution!$B$2,IF(B366&lt;=distribution!$D$3,distribution!$B$3,distribution!$B$4))</f>
        <v>ON</v>
      </c>
      <c r="D366">
        <f t="shared" ca="1" si="41"/>
        <v>0.75576031833020385</v>
      </c>
      <c r="E366" t="str">
        <f ca="1">IF(D366&lt;=distribution!$D$5,distribution!$B$5,distribution!$B$6)</f>
        <v>B</v>
      </c>
      <c r="F366">
        <f t="shared" ca="1" si="42"/>
        <v>0.72522378088051609</v>
      </c>
      <c r="G366" t="str">
        <f ca="1">IF(F366&lt;=distribution!$D$7,distribution!$B$7,IF(F366&lt;=distribution!$D$8,distribution!$B$8,IF(F366&lt;=distribution!$D$9,distribution!$B$9,distribution!$B$10)))</f>
        <v>45-54</v>
      </c>
      <c r="H366">
        <f ca="1">VLOOKUP(G366,age_band!$A$1:$C$5,2,FALSE)</f>
        <v>45</v>
      </c>
      <c r="I366">
        <f ca="1">VLOOKUP(G366,age_band!$A$2:$C$5,3,FALSE)</f>
        <v>54</v>
      </c>
      <c r="J366">
        <f t="shared" ca="1" si="43"/>
        <v>51</v>
      </c>
      <c r="K366">
        <f t="shared" ca="1" si="44"/>
        <v>0.34744889997941764</v>
      </c>
      <c r="L366" t="str">
        <f ca="1">IF(K366&lt;=distribution!$D$11,distribution!$B$11,distribution!$B$12)</f>
        <v>N</v>
      </c>
      <c r="M366">
        <f t="shared" ca="1" si="45"/>
        <v>49740</v>
      </c>
      <c r="N366">
        <f t="shared" ca="1" si="46"/>
        <v>49740</v>
      </c>
    </row>
    <row r="367" spans="1:14" x14ac:dyDescent="0.45">
      <c r="A367">
        <f t="shared" si="47"/>
        <v>366</v>
      </c>
      <c r="B367">
        <f t="shared" ca="1" si="40"/>
        <v>0.48088279625680019</v>
      </c>
      <c r="C367" t="str">
        <f ca="1">IF(B367&lt;=distribution!$D$2,distribution!$B$2,IF(B367&lt;=distribution!$D$3,distribution!$B$3,distribution!$B$4))</f>
        <v>ON</v>
      </c>
      <c r="D367">
        <f t="shared" ca="1" si="41"/>
        <v>0.96596998205638318</v>
      </c>
      <c r="E367" t="str">
        <f ca="1">IF(D367&lt;=distribution!$D$5,distribution!$B$5,distribution!$B$6)</f>
        <v>B</v>
      </c>
      <c r="F367">
        <f t="shared" ca="1" si="42"/>
        <v>0.21405008759093425</v>
      </c>
      <c r="G367" t="str">
        <f ca="1">IF(F367&lt;=distribution!$D$7,distribution!$B$7,IF(F367&lt;=distribution!$D$8,distribution!$B$8,IF(F367&lt;=distribution!$D$9,distribution!$B$9,distribution!$B$10)))</f>
        <v>25-34</v>
      </c>
      <c r="H367">
        <f ca="1">VLOOKUP(G367,age_band!$A$1:$C$5,2,FALSE)</f>
        <v>25</v>
      </c>
      <c r="I367">
        <f ca="1">VLOOKUP(G367,age_band!$A$2:$C$5,3,FALSE)</f>
        <v>34</v>
      </c>
      <c r="J367">
        <f t="shared" ca="1" si="43"/>
        <v>29</v>
      </c>
      <c r="K367">
        <f t="shared" ca="1" si="44"/>
        <v>0.41252538826087237</v>
      </c>
      <c r="L367" t="str">
        <f ca="1">IF(K367&lt;=distribution!$D$11,distribution!$B$11,distribution!$B$12)</f>
        <v>N</v>
      </c>
      <c r="M367">
        <f t="shared" ca="1" si="45"/>
        <v>58804</v>
      </c>
      <c r="N367">
        <f t="shared" ca="1" si="46"/>
        <v>58804</v>
      </c>
    </row>
    <row r="368" spans="1:14" x14ac:dyDescent="0.45">
      <c r="A368">
        <f t="shared" si="47"/>
        <v>367</v>
      </c>
      <c r="B368">
        <f t="shared" ca="1" si="40"/>
        <v>0.19886273931837206</v>
      </c>
      <c r="C368" t="str">
        <f ca="1">IF(B368&lt;=distribution!$D$2,distribution!$B$2,IF(B368&lt;=distribution!$D$3,distribution!$B$3,distribution!$B$4))</f>
        <v>ON</v>
      </c>
      <c r="D368">
        <f t="shared" ca="1" si="41"/>
        <v>0.67958716036374633</v>
      </c>
      <c r="E368" t="str">
        <f ca="1">IF(D368&lt;=distribution!$D$5,distribution!$B$5,distribution!$B$6)</f>
        <v>B</v>
      </c>
      <c r="F368">
        <f t="shared" ca="1" si="42"/>
        <v>0.6739322005410473</v>
      </c>
      <c r="G368" t="str">
        <f ca="1">IF(F368&lt;=distribution!$D$7,distribution!$B$7,IF(F368&lt;=distribution!$D$8,distribution!$B$8,IF(F368&lt;=distribution!$D$9,distribution!$B$9,distribution!$B$10)))</f>
        <v>45-54</v>
      </c>
      <c r="H368">
        <f ca="1">VLOOKUP(G368,age_band!$A$1:$C$5,2,FALSE)</f>
        <v>45</v>
      </c>
      <c r="I368">
        <f ca="1">VLOOKUP(G368,age_band!$A$2:$C$5,3,FALSE)</f>
        <v>54</v>
      </c>
      <c r="J368">
        <f t="shared" ca="1" si="43"/>
        <v>53</v>
      </c>
      <c r="K368">
        <f t="shared" ca="1" si="44"/>
        <v>7.0911772809076457E-2</v>
      </c>
      <c r="L368" t="str">
        <f ca="1">IF(K368&lt;=distribution!$D$11,distribution!$B$11,distribution!$B$12)</f>
        <v>N</v>
      </c>
      <c r="M368">
        <f t="shared" ca="1" si="45"/>
        <v>68505</v>
      </c>
      <c r="N368">
        <f t="shared" ca="1" si="46"/>
        <v>68505</v>
      </c>
    </row>
    <row r="369" spans="1:14" x14ac:dyDescent="0.45">
      <c r="A369">
        <f t="shared" si="47"/>
        <v>368</v>
      </c>
      <c r="B369">
        <f t="shared" ca="1" si="40"/>
        <v>0.48683361355242238</v>
      </c>
      <c r="C369" t="str">
        <f ca="1">IF(B369&lt;=distribution!$D$2,distribution!$B$2,IF(B369&lt;=distribution!$D$3,distribution!$B$3,distribution!$B$4))</f>
        <v>ON</v>
      </c>
      <c r="D369">
        <f t="shared" ca="1" si="41"/>
        <v>0.7297546411115885</v>
      </c>
      <c r="E369" t="str">
        <f ca="1">IF(D369&lt;=distribution!$D$5,distribution!$B$5,distribution!$B$6)</f>
        <v>B</v>
      </c>
      <c r="F369">
        <f t="shared" ca="1" si="42"/>
        <v>0.75888875551667323</v>
      </c>
      <c r="G369" t="str">
        <f ca="1">IF(F369&lt;=distribution!$D$7,distribution!$B$7,IF(F369&lt;=distribution!$D$8,distribution!$B$8,IF(F369&lt;=distribution!$D$9,distribution!$B$9,distribution!$B$10)))</f>
        <v>45-54</v>
      </c>
      <c r="H369">
        <f ca="1">VLOOKUP(G369,age_band!$A$1:$C$5,2,FALSE)</f>
        <v>45</v>
      </c>
      <c r="I369">
        <f ca="1">VLOOKUP(G369,age_band!$A$2:$C$5,3,FALSE)</f>
        <v>54</v>
      </c>
      <c r="J369">
        <f t="shared" ca="1" si="43"/>
        <v>46</v>
      </c>
      <c r="K369">
        <f t="shared" ca="1" si="44"/>
        <v>0.66260875517249662</v>
      </c>
      <c r="L369" t="str">
        <f ca="1">IF(K369&lt;=distribution!$D$11,distribution!$B$11,distribution!$B$12)</f>
        <v>N</v>
      </c>
      <c r="M369">
        <f t="shared" ca="1" si="45"/>
        <v>57991</v>
      </c>
      <c r="N369">
        <f t="shared" ca="1" si="46"/>
        <v>57991</v>
      </c>
    </row>
    <row r="370" spans="1:14" x14ac:dyDescent="0.45">
      <c r="A370">
        <f t="shared" si="47"/>
        <v>369</v>
      </c>
      <c r="B370">
        <f t="shared" ca="1" si="40"/>
        <v>0.70858480955109837</v>
      </c>
      <c r="C370" t="str">
        <f ca="1">IF(B370&lt;=distribution!$D$2,distribution!$B$2,IF(B370&lt;=distribution!$D$3,distribution!$B$3,distribution!$B$4))</f>
        <v>QC</v>
      </c>
      <c r="D370">
        <f t="shared" ca="1" si="41"/>
        <v>6.1621005453615152E-2</v>
      </c>
      <c r="E370" t="str">
        <f ca="1">IF(D370&lt;=distribution!$D$5,distribution!$B$5,distribution!$B$6)</f>
        <v>A</v>
      </c>
      <c r="F370">
        <f t="shared" ca="1" si="42"/>
        <v>0.9213411013532814</v>
      </c>
      <c r="G370" t="str">
        <f ca="1">IF(F370&lt;=distribution!$D$7,distribution!$B$7,IF(F370&lt;=distribution!$D$8,distribution!$B$8,IF(F370&lt;=distribution!$D$9,distribution!$B$9,distribution!$B$10)))</f>
        <v>55-64</v>
      </c>
      <c r="H370">
        <f ca="1">VLOOKUP(G370,age_band!$A$1:$C$5,2,FALSE)</f>
        <v>55</v>
      </c>
      <c r="I370">
        <f ca="1">VLOOKUP(G370,age_band!$A$2:$C$5,3,FALSE)</f>
        <v>64</v>
      </c>
      <c r="J370">
        <f t="shared" ca="1" si="43"/>
        <v>57</v>
      </c>
      <c r="K370">
        <f t="shared" ca="1" si="44"/>
        <v>0.26184108413512175</v>
      </c>
      <c r="L370" t="str">
        <f ca="1">IF(K370&lt;=distribution!$D$11,distribution!$B$11,distribution!$B$12)</f>
        <v>N</v>
      </c>
      <c r="M370">
        <f t="shared" ca="1" si="45"/>
        <v>73325</v>
      </c>
      <c r="N370">
        <f t="shared" ca="1" si="46"/>
        <v>73325</v>
      </c>
    </row>
    <row r="371" spans="1:14" x14ac:dyDescent="0.45">
      <c r="A371">
        <f t="shared" si="47"/>
        <v>370</v>
      </c>
      <c r="B371">
        <f t="shared" ca="1" si="40"/>
        <v>0.54547009196961216</v>
      </c>
      <c r="C371" t="str">
        <f ca="1">IF(B371&lt;=distribution!$D$2,distribution!$B$2,IF(B371&lt;=distribution!$D$3,distribution!$B$3,distribution!$B$4))</f>
        <v>ON</v>
      </c>
      <c r="D371">
        <f t="shared" ca="1" si="41"/>
        <v>0.37768145146613308</v>
      </c>
      <c r="E371" t="str">
        <f ca="1">IF(D371&lt;=distribution!$D$5,distribution!$B$5,distribution!$B$6)</f>
        <v>A</v>
      </c>
      <c r="F371">
        <f t="shared" ca="1" si="42"/>
        <v>0.17011833541677457</v>
      </c>
      <c r="G371" t="str">
        <f ca="1">IF(F371&lt;=distribution!$D$7,distribution!$B$7,IF(F371&lt;=distribution!$D$8,distribution!$B$8,IF(F371&lt;=distribution!$D$9,distribution!$B$9,distribution!$B$10)))</f>
        <v>25-34</v>
      </c>
      <c r="H371">
        <f ca="1">VLOOKUP(G371,age_band!$A$1:$C$5,2,FALSE)</f>
        <v>25</v>
      </c>
      <c r="I371">
        <f ca="1">VLOOKUP(G371,age_band!$A$2:$C$5,3,FALSE)</f>
        <v>34</v>
      </c>
      <c r="J371">
        <f t="shared" ca="1" si="43"/>
        <v>34</v>
      </c>
      <c r="K371">
        <f t="shared" ca="1" si="44"/>
        <v>0.5207357506478747</v>
      </c>
      <c r="L371" t="str">
        <f ca="1">IF(K371&lt;=distribution!$D$11,distribution!$B$11,distribution!$B$12)</f>
        <v>N</v>
      </c>
      <c r="M371">
        <f t="shared" ca="1" si="45"/>
        <v>112838</v>
      </c>
      <c r="N371">
        <f t="shared" ca="1" si="46"/>
        <v>112838</v>
      </c>
    </row>
    <row r="372" spans="1:14" x14ac:dyDescent="0.45">
      <c r="A372">
        <f t="shared" si="47"/>
        <v>371</v>
      </c>
      <c r="B372">
        <f t="shared" ca="1" si="40"/>
        <v>0.15297607258823331</v>
      </c>
      <c r="C372" t="str">
        <f ca="1">IF(B372&lt;=distribution!$D$2,distribution!$B$2,IF(B372&lt;=distribution!$D$3,distribution!$B$3,distribution!$B$4))</f>
        <v>ON</v>
      </c>
      <c r="D372">
        <f t="shared" ca="1" si="41"/>
        <v>0.89484826758311586</v>
      </c>
      <c r="E372" t="str">
        <f ca="1">IF(D372&lt;=distribution!$D$5,distribution!$B$5,distribution!$B$6)</f>
        <v>B</v>
      </c>
      <c r="F372">
        <f t="shared" ca="1" si="42"/>
        <v>5.3813947621205949E-2</v>
      </c>
      <c r="G372" t="str">
        <f ca="1">IF(F372&lt;=distribution!$D$7,distribution!$B$7,IF(F372&lt;=distribution!$D$8,distribution!$B$8,IF(F372&lt;=distribution!$D$9,distribution!$B$9,distribution!$B$10)))</f>
        <v>25-34</v>
      </c>
      <c r="H372">
        <f ca="1">VLOOKUP(G372,age_band!$A$1:$C$5,2,FALSE)</f>
        <v>25</v>
      </c>
      <c r="I372">
        <f ca="1">VLOOKUP(G372,age_band!$A$2:$C$5,3,FALSE)</f>
        <v>34</v>
      </c>
      <c r="J372">
        <f t="shared" ca="1" si="43"/>
        <v>31</v>
      </c>
      <c r="K372">
        <f t="shared" ca="1" si="44"/>
        <v>0.38503376890425567</v>
      </c>
      <c r="L372" t="str">
        <f ca="1">IF(K372&lt;=distribution!$D$11,distribution!$B$11,distribution!$B$12)</f>
        <v>N</v>
      </c>
      <c r="M372">
        <f t="shared" ca="1" si="45"/>
        <v>55665</v>
      </c>
      <c r="N372">
        <f t="shared" ca="1" si="46"/>
        <v>55665</v>
      </c>
    </row>
    <row r="373" spans="1:14" x14ac:dyDescent="0.45">
      <c r="A373">
        <f t="shared" si="47"/>
        <v>372</v>
      </c>
      <c r="B373">
        <f t="shared" ca="1" si="40"/>
        <v>0.92012839150192494</v>
      </c>
      <c r="C373" t="str">
        <f ca="1">IF(B373&lt;=distribution!$D$2,distribution!$B$2,IF(B373&lt;=distribution!$D$3,distribution!$B$3,distribution!$B$4))</f>
        <v>BC</v>
      </c>
      <c r="D373">
        <f t="shared" ca="1" si="41"/>
        <v>0.38097799572177415</v>
      </c>
      <c r="E373" t="str">
        <f ca="1">IF(D373&lt;=distribution!$D$5,distribution!$B$5,distribution!$B$6)</f>
        <v>A</v>
      </c>
      <c r="F373">
        <f t="shared" ca="1" si="42"/>
        <v>0.69279226139344985</v>
      </c>
      <c r="G373" t="str">
        <f ca="1">IF(F373&lt;=distribution!$D$7,distribution!$B$7,IF(F373&lt;=distribution!$D$8,distribution!$B$8,IF(F373&lt;=distribution!$D$9,distribution!$B$9,distribution!$B$10)))</f>
        <v>45-54</v>
      </c>
      <c r="H373">
        <f ca="1">VLOOKUP(G373,age_band!$A$1:$C$5,2,FALSE)</f>
        <v>45</v>
      </c>
      <c r="I373">
        <f ca="1">VLOOKUP(G373,age_band!$A$2:$C$5,3,FALSE)</f>
        <v>54</v>
      </c>
      <c r="J373">
        <f t="shared" ca="1" si="43"/>
        <v>45</v>
      </c>
      <c r="K373">
        <f t="shared" ca="1" si="44"/>
        <v>0.38374405742119111</v>
      </c>
      <c r="L373" t="str">
        <f ca="1">IF(K373&lt;=distribution!$D$11,distribution!$B$11,distribution!$B$12)</f>
        <v>N</v>
      </c>
      <c r="M373">
        <f t="shared" ca="1" si="45"/>
        <v>73258</v>
      </c>
      <c r="N373">
        <f t="shared" ca="1" si="46"/>
        <v>73258</v>
      </c>
    </row>
    <row r="374" spans="1:14" x14ac:dyDescent="0.45">
      <c r="A374">
        <f t="shared" si="47"/>
        <v>373</v>
      </c>
      <c r="B374">
        <f t="shared" ca="1" si="40"/>
        <v>0.39543039982654626</v>
      </c>
      <c r="C374" t="str">
        <f ca="1">IF(B374&lt;=distribution!$D$2,distribution!$B$2,IF(B374&lt;=distribution!$D$3,distribution!$B$3,distribution!$B$4))</f>
        <v>ON</v>
      </c>
      <c r="D374">
        <f t="shared" ca="1" si="41"/>
        <v>0.59860778445501639</v>
      </c>
      <c r="E374" t="str">
        <f ca="1">IF(D374&lt;=distribution!$D$5,distribution!$B$5,distribution!$B$6)</f>
        <v>A</v>
      </c>
      <c r="F374">
        <f t="shared" ca="1" si="42"/>
        <v>0.98475176448476398</v>
      </c>
      <c r="G374" t="str">
        <f ca="1">IF(F374&lt;=distribution!$D$7,distribution!$B$7,IF(F374&lt;=distribution!$D$8,distribution!$B$8,IF(F374&lt;=distribution!$D$9,distribution!$B$9,distribution!$B$10)))</f>
        <v>55-64</v>
      </c>
      <c r="H374">
        <f ca="1">VLOOKUP(G374,age_band!$A$1:$C$5,2,FALSE)</f>
        <v>55</v>
      </c>
      <c r="I374">
        <f ca="1">VLOOKUP(G374,age_band!$A$2:$C$5,3,FALSE)</f>
        <v>64</v>
      </c>
      <c r="J374">
        <f t="shared" ca="1" si="43"/>
        <v>61</v>
      </c>
      <c r="K374">
        <f t="shared" ca="1" si="44"/>
        <v>0.1539528905494143</v>
      </c>
      <c r="L374" t="str">
        <f ca="1">IF(K374&lt;=distribution!$D$11,distribution!$B$11,distribution!$B$12)</f>
        <v>N</v>
      </c>
      <c r="M374">
        <f t="shared" ca="1" si="45"/>
        <v>63230</v>
      </c>
      <c r="N374">
        <f t="shared" ca="1" si="46"/>
        <v>63230</v>
      </c>
    </row>
    <row r="375" spans="1:14" x14ac:dyDescent="0.45">
      <c r="A375">
        <f t="shared" si="47"/>
        <v>374</v>
      </c>
      <c r="B375">
        <f t="shared" ca="1" si="40"/>
        <v>0.77517965318516957</v>
      </c>
      <c r="C375" t="str">
        <f ca="1">IF(B375&lt;=distribution!$D$2,distribution!$B$2,IF(B375&lt;=distribution!$D$3,distribution!$B$3,distribution!$B$4))</f>
        <v>BC</v>
      </c>
      <c r="D375">
        <f t="shared" ca="1" si="41"/>
        <v>0.70566824821851259</v>
      </c>
      <c r="E375" t="str">
        <f ca="1">IF(D375&lt;=distribution!$D$5,distribution!$B$5,distribution!$B$6)</f>
        <v>B</v>
      </c>
      <c r="F375">
        <f t="shared" ca="1" si="42"/>
        <v>0.32407229020125383</v>
      </c>
      <c r="G375" t="str">
        <f ca="1">IF(F375&lt;=distribution!$D$7,distribution!$B$7,IF(F375&lt;=distribution!$D$8,distribution!$B$8,IF(F375&lt;=distribution!$D$9,distribution!$B$9,distribution!$B$10)))</f>
        <v>35-44</v>
      </c>
      <c r="H375">
        <f ca="1">VLOOKUP(G375,age_band!$A$1:$C$5,2,FALSE)</f>
        <v>35</v>
      </c>
      <c r="I375">
        <f ca="1">VLOOKUP(G375,age_band!$A$2:$C$5,3,FALSE)</f>
        <v>44</v>
      </c>
      <c r="J375">
        <f t="shared" ca="1" si="43"/>
        <v>38</v>
      </c>
      <c r="K375">
        <f t="shared" ca="1" si="44"/>
        <v>0.61149526799787102</v>
      </c>
      <c r="L375" t="str">
        <f ca="1">IF(K375&lt;=distribution!$D$11,distribution!$B$11,distribution!$B$12)</f>
        <v>N</v>
      </c>
      <c r="M375">
        <f t="shared" ca="1" si="45"/>
        <v>53798</v>
      </c>
      <c r="N375">
        <f t="shared" ca="1" si="46"/>
        <v>53798</v>
      </c>
    </row>
    <row r="376" spans="1:14" x14ac:dyDescent="0.45">
      <c r="A376">
        <f t="shared" si="47"/>
        <v>375</v>
      </c>
      <c r="B376">
        <f t="shared" ca="1" si="40"/>
        <v>0.12833474241118459</v>
      </c>
      <c r="C376" t="str">
        <f ca="1">IF(B376&lt;=distribution!$D$2,distribution!$B$2,IF(B376&lt;=distribution!$D$3,distribution!$B$3,distribution!$B$4))</f>
        <v>ON</v>
      </c>
      <c r="D376">
        <f t="shared" ca="1" si="41"/>
        <v>0.86095834328572618</v>
      </c>
      <c r="E376" t="str">
        <f ca="1">IF(D376&lt;=distribution!$D$5,distribution!$B$5,distribution!$B$6)</f>
        <v>B</v>
      </c>
      <c r="F376">
        <f t="shared" ca="1" si="42"/>
        <v>0.5959094931129314</v>
      </c>
      <c r="G376" t="str">
        <f ca="1">IF(F376&lt;=distribution!$D$7,distribution!$B$7,IF(F376&lt;=distribution!$D$8,distribution!$B$8,IF(F376&lt;=distribution!$D$9,distribution!$B$9,distribution!$B$10)))</f>
        <v>35-44</v>
      </c>
      <c r="H376">
        <f ca="1">VLOOKUP(G376,age_band!$A$1:$C$5,2,FALSE)</f>
        <v>35</v>
      </c>
      <c r="I376">
        <f ca="1">VLOOKUP(G376,age_band!$A$2:$C$5,3,FALSE)</f>
        <v>44</v>
      </c>
      <c r="J376">
        <f t="shared" ca="1" si="43"/>
        <v>43</v>
      </c>
      <c r="K376">
        <f t="shared" ca="1" si="44"/>
        <v>0.24866897765480567</v>
      </c>
      <c r="L376" t="str">
        <f ca="1">IF(K376&lt;=distribution!$D$11,distribution!$B$11,distribution!$B$12)</f>
        <v>N</v>
      </c>
      <c r="M376">
        <f t="shared" ca="1" si="45"/>
        <v>67335</v>
      </c>
      <c r="N376">
        <f t="shared" ca="1" si="46"/>
        <v>67335</v>
      </c>
    </row>
    <row r="377" spans="1:14" x14ac:dyDescent="0.45">
      <c r="A377">
        <f t="shared" si="47"/>
        <v>376</v>
      </c>
      <c r="B377">
        <f t="shared" ca="1" si="40"/>
        <v>0.77934679664385742</v>
      </c>
      <c r="C377" t="str">
        <f ca="1">IF(B377&lt;=distribution!$D$2,distribution!$B$2,IF(B377&lt;=distribution!$D$3,distribution!$B$3,distribution!$B$4))</f>
        <v>BC</v>
      </c>
      <c r="D377">
        <f t="shared" ca="1" si="41"/>
        <v>0.86045942298719202</v>
      </c>
      <c r="E377" t="str">
        <f ca="1">IF(D377&lt;=distribution!$D$5,distribution!$B$5,distribution!$B$6)</f>
        <v>B</v>
      </c>
      <c r="F377">
        <f t="shared" ca="1" si="42"/>
        <v>0.39157737701460127</v>
      </c>
      <c r="G377" t="str">
        <f ca="1">IF(F377&lt;=distribution!$D$7,distribution!$B$7,IF(F377&lt;=distribution!$D$8,distribution!$B$8,IF(F377&lt;=distribution!$D$9,distribution!$B$9,distribution!$B$10)))</f>
        <v>35-44</v>
      </c>
      <c r="H377">
        <f ca="1">VLOOKUP(G377,age_band!$A$1:$C$5,2,FALSE)</f>
        <v>35</v>
      </c>
      <c r="I377">
        <f ca="1">VLOOKUP(G377,age_band!$A$2:$C$5,3,FALSE)</f>
        <v>44</v>
      </c>
      <c r="J377">
        <f t="shared" ca="1" si="43"/>
        <v>37</v>
      </c>
      <c r="K377">
        <f t="shared" ca="1" si="44"/>
        <v>6.9206670819114136E-3</v>
      </c>
      <c r="L377" t="str">
        <f ca="1">IF(K377&lt;=distribution!$D$11,distribution!$B$11,distribution!$B$12)</f>
        <v>N</v>
      </c>
      <c r="M377">
        <f t="shared" ca="1" si="45"/>
        <v>75241</v>
      </c>
      <c r="N377">
        <f t="shared" ca="1" si="46"/>
        <v>75241</v>
      </c>
    </row>
    <row r="378" spans="1:14" x14ac:dyDescent="0.45">
      <c r="A378">
        <f t="shared" si="47"/>
        <v>377</v>
      </c>
      <c r="B378">
        <f t="shared" ca="1" si="40"/>
        <v>0.63634454338433255</v>
      </c>
      <c r="C378" t="str">
        <f ca="1">IF(B378&lt;=distribution!$D$2,distribution!$B$2,IF(B378&lt;=distribution!$D$3,distribution!$B$3,distribution!$B$4))</f>
        <v>QC</v>
      </c>
      <c r="D378">
        <f t="shared" ca="1" si="41"/>
        <v>0.58933460503406288</v>
      </c>
      <c r="E378" t="str">
        <f ca="1">IF(D378&lt;=distribution!$D$5,distribution!$B$5,distribution!$B$6)</f>
        <v>A</v>
      </c>
      <c r="F378">
        <f t="shared" ca="1" si="42"/>
        <v>0.88567465642751531</v>
      </c>
      <c r="G378" t="str">
        <f ca="1">IF(F378&lt;=distribution!$D$7,distribution!$B$7,IF(F378&lt;=distribution!$D$8,distribution!$B$8,IF(F378&lt;=distribution!$D$9,distribution!$B$9,distribution!$B$10)))</f>
        <v>55-64</v>
      </c>
      <c r="H378">
        <f ca="1">VLOOKUP(G378,age_band!$A$1:$C$5,2,FALSE)</f>
        <v>55</v>
      </c>
      <c r="I378">
        <f ca="1">VLOOKUP(G378,age_band!$A$2:$C$5,3,FALSE)</f>
        <v>64</v>
      </c>
      <c r="J378">
        <f t="shared" ca="1" si="43"/>
        <v>56</v>
      </c>
      <c r="K378">
        <f t="shared" ca="1" si="44"/>
        <v>6.0261872255408133E-2</v>
      </c>
      <c r="L378" t="str">
        <f ca="1">IF(K378&lt;=distribution!$D$11,distribution!$B$11,distribution!$B$12)</f>
        <v>N</v>
      </c>
      <c r="M378">
        <f t="shared" ca="1" si="45"/>
        <v>53102</v>
      </c>
      <c r="N378">
        <f t="shared" ca="1" si="46"/>
        <v>53102</v>
      </c>
    </row>
    <row r="379" spans="1:14" x14ac:dyDescent="0.45">
      <c r="A379">
        <f t="shared" si="47"/>
        <v>378</v>
      </c>
      <c r="B379">
        <f t="shared" ca="1" si="40"/>
        <v>0.37862858042770564</v>
      </c>
      <c r="C379" t="str">
        <f ca="1">IF(B379&lt;=distribution!$D$2,distribution!$B$2,IF(B379&lt;=distribution!$D$3,distribution!$B$3,distribution!$B$4))</f>
        <v>ON</v>
      </c>
      <c r="D379">
        <f t="shared" ca="1" si="41"/>
        <v>0.370773840544661</v>
      </c>
      <c r="E379" t="str">
        <f ca="1">IF(D379&lt;=distribution!$D$5,distribution!$B$5,distribution!$B$6)</f>
        <v>A</v>
      </c>
      <c r="F379">
        <f t="shared" ca="1" si="42"/>
        <v>0.22833186243012593</v>
      </c>
      <c r="G379" t="str">
        <f ca="1">IF(F379&lt;=distribution!$D$7,distribution!$B$7,IF(F379&lt;=distribution!$D$8,distribution!$B$8,IF(F379&lt;=distribution!$D$9,distribution!$B$9,distribution!$B$10)))</f>
        <v>25-34</v>
      </c>
      <c r="H379">
        <f ca="1">VLOOKUP(G379,age_band!$A$1:$C$5,2,FALSE)</f>
        <v>25</v>
      </c>
      <c r="I379">
        <f ca="1">VLOOKUP(G379,age_band!$A$2:$C$5,3,FALSE)</f>
        <v>34</v>
      </c>
      <c r="J379">
        <f t="shared" ca="1" si="43"/>
        <v>30</v>
      </c>
      <c r="K379">
        <f t="shared" ca="1" si="44"/>
        <v>0.29187202010956692</v>
      </c>
      <c r="L379" t="str">
        <f ca="1">IF(K379&lt;=distribution!$D$11,distribution!$B$11,distribution!$B$12)</f>
        <v>N</v>
      </c>
      <c r="M379">
        <f t="shared" ca="1" si="45"/>
        <v>95529</v>
      </c>
      <c r="N379">
        <f t="shared" ca="1" si="46"/>
        <v>95529</v>
      </c>
    </row>
    <row r="380" spans="1:14" x14ac:dyDescent="0.45">
      <c r="A380">
        <f t="shared" si="47"/>
        <v>379</v>
      </c>
      <c r="B380">
        <f t="shared" ca="1" si="40"/>
        <v>0.16822834190121927</v>
      </c>
      <c r="C380" t="str">
        <f ca="1">IF(B380&lt;=distribution!$D$2,distribution!$B$2,IF(B380&lt;=distribution!$D$3,distribution!$B$3,distribution!$B$4))</f>
        <v>ON</v>
      </c>
      <c r="D380">
        <f t="shared" ca="1" si="41"/>
        <v>0.74078320294285038</v>
      </c>
      <c r="E380" t="str">
        <f ca="1">IF(D380&lt;=distribution!$D$5,distribution!$B$5,distribution!$B$6)</f>
        <v>B</v>
      </c>
      <c r="F380">
        <f t="shared" ca="1" si="42"/>
        <v>0.35426684081207593</v>
      </c>
      <c r="G380" t="str">
        <f ca="1">IF(F380&lt;=distribution!$D$7,distribution!$B$7,IF(F380&lt;=distribution!$D$8,distribution!$B$8,IF(F380&lt;=distribution!$D$9,distribution!$B$9,distribution!$B$10)))</f>
        <v>35-44</v>
      </c>
      <c r="H380">
        <f ca="1">VLOOKUP(G380,age_band!$A$1:$C$5,2,FALSE)</f>
        <v>35</v>
      </c>
      <c r="I380">
        <f ca="1">VLOOKUP(G380,age_band!$A$2:$C$5,3,FALSE)</f>
        <v>44</v>
      </c>
      <c r="J380">
        <f t="shared" ca="1" si="43"/>
        <v>36</v>
      </c>
      <c r="K380">
        <f t="shared" ca="1" si="44"/>
        <v>0.11204983802408819</v>
      </c>
      <c r="L380" t="str">
        <f ca="1">IF(K380&lt;=distribution!$D$11,distribution!$B$11,distribution!$B$12)</f>
        <v>N</v>
      </c>
      <c r="M380">
        <f t="shared" ca="1" si="45"/>
        <v>52639</v>
      </c>
      <c r="N380">
        <f t="shared" ca="1" si="46"/>
        <v>52639</v>
      </c>
    </row>
    <row r="381" spans="1:14" x14ac:dyDescent="0.45">
      <c r="A381">
        <f t="shared" si="47"/>
        <v>380</v>
      </c>
      <c r="B381">
        <f t="shared" ca="1" si="40"/>
        <v>0.30379934951221399</v>
      </c>
      <c r="C381" t="str">
        <f ca="1">IF(B381&lt;=distribution!$D$2,distribution!$B$2,IF(B381&lt;=distribution!$D$3,distribution!$B$3,distribution!$B$4))</f>
        <v>ON</v>
      </c>
      <c r="D381">
        <f t="shared" ca="1" si="41"/>
        <v>0.74642560182176942</v>
      </c>
      <c r="E381" t="str">
        <f ca="1">IF(D381&lt;=distribution!$D$5,distribution!$B$5,distribution!$B$6)</f>
        <v>B</v>
      </c>
      <c r="F381">
        <f t="shared" ca="1" si="42"/>
        <v>0.50693764671282204</v>
      </c>
      <c r="G381" t="str">
        <f ca="1">IF(F381&lt;=distribution!$D$7,distribution!$B$7,IF(F381&lt;=distribution!$D$8,distribution!$B$8,IF(F381&lt;=distribution!$D$9,distribution!$B$9,distribution!$B$10)))</f>
        <v>35-44</v>
      </c>
      <c r="H381">
        <f ca="1">VLOOKUP(G381,age_band!$A$1:$C$5,2,FALSE)</f>
        <v>35</v>
      </c>
      <c r="I381">
        <f ca="1">VLOOKUP(G381,age_band!$A$2:$C$5,3,FALSE)</f>
        <v>44</v>
      </c>
      <c r="J381">
        <f t="shared" ca="1" si="43"/>
        <v>43</v>
      </c>
      <c r="K381">
        <f t="shared" ca="1" si="44"/>
        <v>0.85183791112758911</v>
      </c>
      <c r="L381" t="str">
        <f ca="1">IF(K381&lt;=distribution!$D$11,distribution!$B$11,distribution!$B$12)</f>
        <v>Y</v>
      </c>
      <c r="M381">
        <f t="shared" ca="1" si="45"/>
        <v>74889</v>
      </c>
      <c r="N381">
        <f t="shared" ca="1" si="46"/>
        <v>74889</v>
      </c>
    </row>
    <row r="382" spans="1:14" x14ac:dyDescent="0.45">
      <c r="A382">
        <f t="shared" si="47"/>
        <v>381</v>
      </c>
      <c r="B382">
        <f t="shared" ca="1" si="40"/>
        <v>0.17764298427013758</v>
      </c>
      <c r="C382" t="str">
        <f ca="1">IF(B382&lt;=distribution!$D$2,distribution!$B$2,IF(B382&lt;=distribution!$D$3,distribution!$B$3,distribution!$B$4))</f>
        <v>ON</v>
      </c>
      <c r="D382">
        <f t="shared" ca="1" si="41"/>
        <v>0.96847253906205311</v>
      </c>
      <c r="E382" t="str">
        <f ca="1">IF(D382&lt;=distribution!$D$5,distribution!$B$5,distribution!$B$6)</f>
        <v>B</v>
      </c>
      <c r="F382">
        <f t="shared" ca="1" si="42"/>
        <v>0.21193284563918591</v>
      </c>
      <c r="G382" t="str">
        <f ca="1">IF(F382&lt;=distribution!$D$7,distribution!$B$7,IF(F382&lt;=distribution!$D$8,distribution!$B$8,IF(F382&lt;=distribution!$D$9,distribution!$B$9,distribution!$B$10)))</f>
        <v>25-34</v>
      </c>
      <c r="H382">
        <f ca="1">VLOOKUP(G382,age_band!$A$1:$C$5,2,FALSE)</f>
        <v>25</v>
      </c>
      <c r="I382">
        <f ca="1">VLOOKUP(G382,age_band!$A$2:$C$5,3,FALSE)</f>
        <v>34</v>
      </c>
      <c r="J382">
        <f t="shared" ca="1" si="43"/>
        <v>34</v>
      </c>
      <c r="K382">
        <f t="shared" ca="1" si="44"/>
        <v>0.40602860791919726</v>
      </c>
      <c r="L382" t="str">
        <f ca="1">IF(K382&lt;=distribution!$D$11,distribution!$B$11,distribution!$B$12)</f>
        <v>N</v>
      </c>
      <c r="M382">
        <f t="shared" ca="1" si="45"/>
        <v>65933</v>
      </c>
      <c r="N382">
        <f t="shared" ca="1" si="46"/>
        <v>65933</v>
      </c>
    </row>
    <row r="383" spans="1:14" x14ac:dyDescent="0.45">
      <c r="A383">
        <f t="shared" si="47"/>
        <v>382</v>
      </c>
      <c r="B383">
        <f t="shared" ca="1" si="40"/>
        <v>0.65677723114073572</v>
      </c>
      <c r="C383" t="str">
        <f ca="1">IF(B383&lt;=distribution!$D$2,distribution!$B$2,IF(B383&lt;=distribution!$D$3,distribution!$B$3,distribution!$B$4))</f>
        <v>QC</v>
      </c>
      <c r="D383">
        <f t="shared" ca="1" si="41"/>
        <v>0.53844982380877815</v>
      </c>
      <c r="E383" t="str">
        <f ca="1">IF(D383&lt;=distribution!$D$5,distribution!$B$5,distribution!$B$6)</f>
        <v>A</v>
      </c>
      <c r="F383">
        <f t="shared" ca="1" si="42"/>
        <v>0.61791827856836623</v>
      </c>
      <c r="G383" t="str">
        <f ca="1">IF(F383&lt;=distribution!$D$7,distribution!$B$7,IF(F383&lt;=distribution!$D$8,distribution!$B$8,IF(F383&lt;=distribution!$D$9,distribution!$B$9,distribution!$B$10)))</f>
        <v>45-54</v>
      </c>
      <c r="H383">
        <f ca="1">VLOOKUP(G383,age_band!$A$1:$C$5,2,FALSE)</f>
        <v>45</v>
      </c>
      <c r="I383">
        <f ca="1">VLOOKUP(G383,age_band!$A$2:$C$5,3,FALSE)</f>
        <v>54</v>
      </c>
      <c r="J383">
        <f t="shared" ca="1" si="43"/>
        <v>54</v>
      </c>
      <c r="K383">
        <f t="shared" ca="1" si="44"/>
        <v>0.7885416009785382</v>
      </c>
      <c r="L383" t="str">
        <f ca="1">IF(K383&lt;=distribution!$D$11,distribution!$B$11,distribution!$B$12)</f>
        <v>N</v>
      </c>
      <c r="M383">
        <f t="shared" ca="1" si="45"/>
        <v>55164</v>
      </c>
      <c r="N383">
        <f t="shared" ca="1" si="46"/>
        <v>55164</v>
      </c>
    </row>
    <row r="384" spans="1:14" x14ac:dyDescent="0.45">
      <c r="A384">
        <f t="shared" si="47"/>
        <v>383</v>
      </c>
      <c r="B384">
        <f t="shared" ca="1" si="40"/>
        <v>0.53077948565854693</v>
      </c>
      <c r="C384" t="str">
        <f ca="1">IF(B384&lt;=distribution!$D$2,distribution!$B$2,IF(B384&lt;=distribution!$D$3,distribution!$B$3,distribution!$B$4))</f>
        <v>ON</v>
      </c>
      <c r="D384">
        <f t="shared" ca="1" si="41"/>
        <v>0.18889649220143523</v>
      </c>
      <c r="E384" t="str">
        <f ca="1">IF(D384&lt;=distribution!$D$5,distribution!$B$5,distribution!$B$6)</f>
        <v>A</v>
      </c>
      <c r="F384">
        <f t="shared" ca="1" si="42"/>
        <v>0.34264897385935245</v>
      </c>
      <c r="G384" t="str">
        <f ca="1">IF(F384&lt;=distribution!$D$7,distribution!$B$7,IF(F384&lt;=distribution!$D$8,distribution!$B$8,IF(F384&lt;=distribution!$D$9,distribution!$B$9,distribution!$B$10)))</f>
        <v>35-44</v>
      </c>
      <c r="H384">
        <f ca="1">VLOOKUP(G384,age_band!$A$1:$C$5,2,FALSE)</f>
        <v>35</v>
      </c>
      <c r="I384">
        <f ca="1">VLOOKUP(G384,age_band!$A$2:$C$5,3,FALSE)</f>
        <v>44</v>
      </c>
      <c r="J384">
        <f t="shared" ca="1" si="43"/>
        <v>42</v>
      </c>
      <c r="K384">
        <f t="shared" ca="1" si="44"/>
        <v>0.9477235948752023</v>
      </c>
      <c r="L384" t="str">
        <f ca="1">IF(K384&lt;=distribution!$D$11,distribution!$B$11,distribution!$B$12)</f>
        <v>Y</v>
      </c>
      <c r="M384">
        <f t="shared" ca="1" si="45"/>
        <v>79819</v>
      </c>
      <c r="N384">
        <f t="shared" ca="1" si="46"/>
        <v>79819</v>
      </c>
    </row>
    <row r="385" spans="1:14" x14ac:dyDescent="0.45">
      <c r="A385">
        <f t="shared" si="47"/>
        <v>384</v>
      </c>
      <c r="B385">
        <f t="shared" ca="1" si="40"/>
        <v>0.28607062268980932</v>
      </c>
      <c r="C385" t="str">
        <f ca="1">IF(B385&lt;=distribution!$D$2,distribution!$B$2,IF(B385&lt;=distribution!$D$3,distribution!$B$3,distribution!$B$4))</f>
        <v>ON</v>
      </c>
      <c r="D385">
        <f t="shared" ca="1" si="41"/>
        <v>0.18253244807413349</v>
      </c>
      <c r="E385" t="str">
        <f ca="1">IF(D385&lt;=distribution!$D$5,distribution!$B$5,distribution!$B$6)</f>
        <v>A</v>
      </c>
      <c r="F385">
        <f t="shared" ca="1" si="42"/>
        <v>0.29283845499937855</v>
      </c>
      <c r="G385" t="str">
        <f ca="1">IF(F385&lt;=distribution!$D$7,distribution!$B$7,IF(F385&lt;=distribution!$D$8,distribution!$B$8,IF(F385&lt;=distribution!$D$9,distribution!$B$9,distribution!$B$10)))</f>
        <v>35-44</v>
      </c>
      <c r="H385">
        <f ca="1">VLOOKUP(G385,age_band!$A$1:$C$5,2,FALSE)</f>
        <v>35</v>
      </c>
      <c r="I385">
        <f ca="1">VLOOKUP(G385,age_band!$A$2:$C$5,3,FALSE)</f>
        <v>44</v>
      </c>
      <c r="J385">
        <f t="shared" ca="1" si="43"/>
        <v>42</v>
      </c>
      <c r="K385">
        <f t="shared" ca="1" si="44"/>
        <v>0.38138955793656648</v>
      </c>
      <c r="L385" t="str">
        <f ca="1">IF(K385&lt;=distribution!$D$11,distribution!$B$11,distribution!$B$12)</f>
        <v>N</v>
      </c>
      <c r="M385">
        <f t="shared" ca="1" si="45"/>
        <v>75873</v>
      </c>
      <c r="N385">
        <f t="shared" ca="1" si="46"/>
        <v>75873</v>
      </c>
    </row>
    <row r="386" spans="1:14" x14ac:dyDescent="0.45">
      <c r="A386">
        <f t="shared" si="47"/>
        <v>385</v>
      </c>
      <c r="B386">
        <f t="shared" ca="1" si="40"/>
        <v>7.8373072880861594E-2</v>
      </c>
      <c r="C386" t="str">
        <f ca="1">IF(B386&lt;=distribution!$D$2,distribution!$B$2,IF(B386&lt;=distribution!$D$3,distribution!$B$3,distribution!$B$4))</f>
        <v>ON</v>
      </c>
      <c r="D386">
        <f t="shared" ca="1" si="41"/>
        <v>0.89434601276564074</v>
      </c>
      <c r="E386" t="str">
        <f ca="1">IF(D386&lt;=distribution!$D$5,distribution!$B$5,distribution!$B$6)</f>
        <v>B</v>
      </c>
      <c r="F386">
        <f t="shared" ca="1" si="42"/>
        <v>0.93843168446512859</v>
      </c>
      <c r="G386" t="str">
        <f ca="1">IF(F386&lt;=distribution!$D$7,distribution!$B$7,IF(F386&lt;=distribution!$D$8,distribution!$B$8,IF(F386&lt;=distribution!$D$9,distribution!$B$9,distribution!$B$10)))</f>
        <v>55-64</v>
      </c>
      <c r="H386">
        <f ca="1">VLOOKUP(G386,age_band!$A$1:$C$5,2,FALSE)</f>
        <v>55</v>
      </c>
      <c r="I386">
        <f ca="1">VLOOKUP(G386,age_band!$A$2:$C$5,3,FALSE)</f>
        <v>64</v>
      </c>
      <c r="J386">
        <f t="shared" ca="1" si="43"/>
        <v>64</v>
      </c>
      <c r="K386">
        <f t="shared" ca="1" si="44"/>
        <v>0.76225974083819859</v>
      </c>
      <c r="L386" t="str">
        <f ca="1">IF(K386&lt;=distribution!$D$11,distribution!$B$11,distribution!$B$12)</f>
        <v>N</v>
      </c>
      <c r="M386">
        <f t="shared" ca="1" si="45"/>
        <v>73071</v>
      </c>
      <c r="N386">
        <f t="shared" ca="1" si="46"/>
        <v>73071</v>
      </c>
    </row>
    <row r="387" spans="1:14" x14ac:dyDescent="0.45">
      <c r="A387">
        <f t="shared" si="47"/>
        <v>386</v>
      </c>
      <c r="B387">
        <f t="shared" ref="B387:B450" ca="1" si="48">RAND()</f>
        <v>0.25159016525045408</v>
      </c>
      <c r="C387" t="str">
        <f ca="1">IF(B387&lt;=distribution!$D$2,distribution!$B$2,IF(B387&lt;=distribution!$D$3,distribution!$B$3,distribution!$B$4))</f>
        <v>ON</v>
      </c>
      <c r="D387">
        <f t="shared" ref="D387:D450" ca="1" si="49">RAND()</f>
        <v>0.2442869717484234</v>
      </c>
      <c r="E387" t="str">
        <f ca="1">IF(D387&lt;=distribution!$D$5,distribution!$B$5,distribution!$B$6)</f>
        <v>A</v>
      </c>
      <c r="F387">
        <f t="shared" ref="F387:F450" ca="1" si="50">RAND()</f>
        <v>0.8925368863912061</v>
      </c>
      <c r="G387" t="str">
        <f ca="1">IF(F387&lt;=distribution!$D$7,distribution!$B$7,IF(F387&lt;=distribution!$D$8,distribution!$B$8,IF(F387&lt;=distribution!$D$9,distribution!$B$9,distribution!$B$10)))</f>
        <v>55-64</v>
      </c>
      <c r="H387">
        <f ca="1">VLOOKUP(G387,age_band!$A$1:$C$5,2,FALSE)</f>
        <v>55</v>
      </c>
      <c r="I387">
        <f ca="1">VLOOKUP(G387,age_band!$A$2:$C$5,3,FALSE)</f>
        <v>64</v>
      </c>
      <c r="J387">
        <f t="shared" ref="J387:J450" ca="1" si="51">RANDBETWEEN(H387,I387)</f>
        <v>58</v>
      </c>
      <c r="K387">
        <f t="shared" ref="K387:K450" ca="1" si="52">RAND()</f>
        <v>0.1403679072233367</v>
      </c>
      <c r="L387" t="str">
        <f ca="1">IF(K387&lt;=distribution!$D$11,distribution!$B$11,distribution!$B$12)</f>
        <v>N</v>
      </c>
      <c r="M387">
        <f t="shared" ref="M387:M450" ca="1" si="53">IF(E387="A",RANDBETWEEN(50000,130000),RANDBETWEEN(45000,80000))</f>
        <v>100792</v>
      </c>
      <c r="N387">
        <f t="shared" ref="N387:N450" ca="1" si="54">MIN(M387*1,200000)</f>
        <v>100792</v>
      </c>
    </row>
    <row r="388" spans="1:14" x14ac:dyDescent="0.45">
      <c r="A388">
        <f t="shared" ref="A388:A451" si="55">A387+1</f>
        <v>387</v>
      </c>
      <c r="B388">
        <f t="shared" ca="1" si="48"/>
        <v>0.11367692284156605</v>
      </c>
      <c r="C388" t="str">
        <f ca="1">IF(B388&lt;=distribution!$D$2,distribution!$B$2,IF(B388&lt;=distribution!$D$3,distribution!$B$3,distribution!$B$4))</f>
        <v>ON</v>
      </c>
      <c r="D388">
        <f t="shared" ca="1" si="49"/>
        <v>0.91240641288946522</v>
      </c>
      <c r="E388" t="str">
        <f ca="1">IF(D388&lt;=distribution!$D$5,distribution!$B$5,distribution!$B$6)</f>
        <v>B</v>
      </c>
      <c r="F388">
        <f t="shared" ca="1" si="50"/>
        <v>0.99944544270607205</v>
      </c>
      <c r="G388" t="str">
        <f ca="1">IF(F388&lt;=distribution!$D$7,distribution!$B$7,IF(F388&lt;=distribution!$D$8,distribution!$B$8,IF(F388&lt;=distribution!$D$9,distribution!$B$9,distribution!$B$10)))</f>
        <v>55-64</v>
      </c>
      <c r="H388">
        <f ca="1">VLOOKUP(G388,age_band!$A$1:$C$5,2,FALSE)</f>
        <v>55</v>
      </c>
      <c r="I388">
        <f ca="1">VLOOKUP(G388,age_band!$A$2:$C$5,3,FALSE)</f>
        <v>64</v>
      </c>
      <c r="J388">
        <f t="shared" ca="1" si="51"/>
        <v>61</v>
      </c>
      <c r="K388">
        <f t="shared" ca="1" si="52"/>
        <v>0.99518977237409245</v>
      </c>
      <c r="L388" t="str">
        <f ca="1">IF(K388&lt;=distribution!$D$11,distribution!$B$11,distribution!$B$12)</f>
        <v>Y</v>
      </c>
      <c r="M388">
        <f t="shared" ca="1" si="53"/>
        <v>49778</v>
      </c>
      <c r="N388">
        <f t="shared" ca="1" si="54"/>
        <v>49778</v>
      </c>
    </row>
    <row r="389" spans="1:14" x14ac:dyDescent="0.45">
      <c r="A389">
        <f t="shared" si="55"/>
        <v>388</v>
      </c>
      <c r="B389">
        <f t="shared" ca="1" si="48"/>
        <v>0.18321577906163722</v>
      </c>
      <c r="C389" t="str">
        <f ca="1">IF(B389&lt;=distribution!$D$2,distribution!$B$2,IF(B389&lt;=distribution!$D$3,distribution!$B$3,distribution!$B$4))</f>
        <v>ON</v>
      </c>
      <c r="D389">
        <f t="shared" ca="1" si="49"/>
        <v>0.50680544701398544</v>
      </c>
      <c r="E389" t="str">
        <f ca="1">IF(D389&lt;=distribution!$D$5,distribution!$B$5,distribution!$B$6)</f>
        <v>A</v>
      </c>
      <c r="F389">
        <f t="shared" ca="1" si="50"/>
        <v>0.41084667265082919</v>
      </c>
      <c r="G389" t="str">
        <f ca="1">IF(F389&lt;=distribution!$D$7,distribution!$B$7,IF(F389&lt;=distribution!$D$8,distribution!$B$8,IF(F389&lt;=distribution!$D$9,distribution!$B$9,distribution!$B$10)))</f>
        <v>35-44</v>
      </c>
      <c r="H389">
        <f ca="1">VLOOKUP(G389,age_band!$A$1:$C$5,2,FALSE)</f>
        <v>35</v>
      </c>
      <c r="I389">
        <f ca="1">VLOOKUP(G389,age_band!$A$2:$C$5,3,FALSE)</f>
        <v>44</v>
      </c>
      <c r="J389">
        <f t="shared" ca="1" si="51"/>
        <v>44</v>
      </c>
      <c r="K389">
        <f t="shared" ca="1" si="52"/>
        <v>0.26260204830550693</v>
      </c>
      <c r="L389" t="str">
        <f ca="1">IF(K389&lt;=distribution!$D$11,distribution!$B$11,distribution!$B$12)</f>
        <v>N</v>
      </c>
      <c r="M389">
        <f t="shared" ca="1" si="53"/>
        <v>104720</v>
      </c>
      <c r="N389">
        <f t="shared" ca="1" si="54"/>
        <v>104720</v>
      </c>
    </row>
    <row r="390" spans="1:14" x14ac:dyDescent="0.45">
      <c r="A390">
        <f t="shared" si="55"/>
        <v>389</v>
      </c>
      <c r="B390">
        <f t="shared" ca="1" si="48"/>
        <v>0.41094738542801856</v>
      </c>
      <c r="C390" t="str">
        <f ca="1">IF(B390&lt;=distribution!$D$2,distribution!$B$2,IF(B390&lt;=distribution!$D$3,distribution!$B$3,distribution!$B$4))</f>
        <v>ON</v>
      </c>
      <c r="D390">
        <f t="shared" ca="1" si="49"/>
        <v>0.2764220291771341</v>
      </c>
      <c r="E390" t="str">
        <f ca="1">IF(D390&lt;=distribution!$D$5,distribution!$B$5,distribution!$B$6)</f>
        <v>A</v>
      </c>
      <c r="F390">
        <f t="shared" ca="1" si="50"/>
        <v>0.47275596369137241</v>
      </c>
      <c r="G390" t="str">
        <f ca="1">IF(F390&lt;=distribution!$D$7,distribution!$B$7,IF(F390&lt;=distribution!$D$8,distribution!$B$8,IF(F390&lt;=distribution!$D$9,distribution!$B$9,distribution!$B$10)))</f>
        <v>35-44</v>
      </c>
      <c r="H390">
        <f ca="1">VLOOKUP(G390,age_band!$A$1:$C$5,2,FALSE)</f>
        <v>35</v>
      </c>
      <c r="I390">
        <f ca="1">VLOOKUP(G390,age_band!$A$2:$C$5,3,FALSE)</f>
        <v>44</v>
      </c>
      <c r="J390">
        <f t="shared" ca="1" si="51"/>
        <v>41</v>
      </c>
      <c r="K390">
        <f t="shared" ca="1" si="52"/>
        <v>0.71166204960367252</v>
      </c>
      <c r="L390" t="str">
        <f ca="1">IF(K390&lt;=distribution!$D$11,distribution!$B$11,distribution!$B$12)</f>
        <v>N</v>
      </c>
      <c r="M390">
        <f t="shared" ca="1" si="53"/>
        <v>121093</v>
      </c>
      <c r="N390">
        <f t="shared" ca="1" si="54"/>
        <v>121093</v>
      </c>
    </row>
    <row r="391" spans="1:14" x14ac:dyDescent="0.45">
      <c r="A391">
        <f t="shared" si="55"/>
        <v>390</v>
      </c>
      <c r="B391">
        <f t="shared" ca="1" si="48"/>
        <v>0.61629030992453504</v>
      </c>
      <c r="C391" t="str">
        <f ca="1">IF(B391&lt;=distribution!$D$2,distribution!$B$2,IF(B391&lt;=distribution!$D$3,distribution!$B$3,distribution!$B$4))</f>
        <v>QC</v>
      </c>
      <c r="D391">
        <f t="shared" ca="1" si="49"/>
        <v>0.95954839893746557</v>
      </c>
      <c r="E391" t="str">
        <f ca="1">IF(D391&lt;=distribution!$D$5,distribution!$B$5,distribution!$B$6)</f>
        <v>B</v>
      </c>
      <c r="F391">
        <f t="shared" ca="1" si="50"/>
        <v>0.15623363598796369</v>
      </c>
      <c r="G391" t="str">
        <f ca="1">IF(F391&lt;=distribution!$D$7,distribution!$B$7,IF(F391&lt;=distribution!$D$8,distribution!$B$8,IF(F391&lt;=distribution!$D$9,distribution!$B$9,distribution!$B$10)))</f>
        <v>25-34</v>
      </c>
      <c r="H391">
        <f ca="1">VLOOKUP(G391,age_band!$A$1:$C$5,2,FALSE)</f>
        <v>25</v>
      </c>
      <c r="I391">
        <f ca="1">VLOOKUP(G391,age_band!$A$2:$C$5,3,FALSE)</f>
        <v>34</v>
      </c>
      <c r="J391">
        <f t="shared" ca="1" si="51"/>
        <v>32</v>
      </c>
      <c r="K391">
        <f t="shared" ca="1" si="52"/>
        <v>0.34834079106284443</v>
      </c>
      <c r="L391" t="str">
        <f ca="1">IF(K391&lt;=distribution!$D$11,distribution!$B$11,distribution!$B$12)</f>
        <v>N</v>
      </c>
      <c r="M391">
        <f t="shared" ca="1" si="53"/>
        <v>49857</v>
      </c>
      <c r="N391">
        <f t="shared" ca="1" si="54"/>
        <v>49857</v>
      </c>
    </row>
    <row r="392" spans="1:14" x14ac:dyDescent="0.45">
      <c r="A392">
        <f t="shared" si="55"/>
        <v>391</v>
      </c>
      <c r="B392">
        <f t="shared" ca="1" si="48"/>
        <v>0.31151820189660717</v>
      </c>
      <c r="C392" t="str">
        <f ca="1">IF(B392&lt;=distribution!$D$2,distribution!$B$2,IF(B392&lt;=distribution!$D$3,distribution!$B$3,distribution!$B$4))</f>
        <v>ON</v>
      </c>
      <c r="D392">
        <f t="shared" ca="1" si="49"/>
        <v>0.22707789564949887</v>
      </c>
      <c r="E392" t="str">
        <f ca="1">IF(D392&lt;=distribution!$D$5,distribution!$B$5,distribution!$B$6)</f>
        <v>A</v>
      </c>
      <c r="F392">
        <f t="shared" ca="1" si="50"/>
        <v>0.63530483295745643</v>
      </c>
      <c r="G392" t="str">
        <f ca="1">IF(F392&lt;=distribution!$D$7,distribution!$B$7,IF(F392&lt;=distribution!$D$8,distribution!$B$8,IF(F392&lt;=distribution!$D$9,distribution!$B$9,distribution!$B$10)))</f>
        <v>45-54</v>
      </c>
      <c r="H392">
        <f ca="1">VLOOKUP(G392,age_band!$A$1:$C$5,2,FALSE)</f>
        <v>45</v>
      </c>
      <c r="I392">
        <f ca="1">VLOOKUP(G392,age_band!$A$2:$C$5,3,FALSE)</f>
        <v>54</v>
      </c>
      <c r="J392">
        <f t="shared" ca="1" si="51"/>
        <v>54</v>
      </c>
      <c r="K392">
        <f t="shared" ca="1" si="52"/>
        <v>0.52311066558163599</v>
      </c>
      <c r="L392" t="str">
        <f ca="1">IF(K392&lt;=distribution!$D$11,distribution!$B$11,distribution!$B$12)</f>
        <v>N</v>
      </c>
      <c r="M392">
        <f t="shared" ca="1" si="53"/>
        <v>88167</v>
      </c>
      <c r="N392">
        <f t="shared" ca="1" si="54"/>
        <v>88167</v>
      </c>
    </row>
    <row r="393" spans="1:14" x14ac:dyDescent="0.45">
      <c r="A393">
        <f t="shared" si="55"/>
        <v>392</v>
      </c>
      <c r="B393">
        <f t="shared" ca="1" si="48"/>
        <v>0.62405843732078792</v>
      </c>
      <c r="C393" t="str">
        <f ca="1">IF(B393&lt;=distribution!$D$2,distribution!$B$2,IF(B393&lt;=distribution!$D$3,distribution!$B$3,distribution!$B$4))</f>
        <v>QC</v>
      </c>
      <c r="D393">
        <f t="shared" ca="1" si="49"/>
        <v>0.18867595086986744</v>
      </c>
      <c r="E393" t="str">
        <f ca="1">IF(D393&lt;=distribution!$D$5,distribution!$B$5,distribution!$B$6)</f>
        <v>A</v>
      </c>
      <c r="F393">
        <f t="shared" ca="1" si="50"/>
        <v>6.7161516349190875E-2</v>
      </c>
      <c r="G393" t="str">
        <f ca="1">IF(F393&lt;=distribution!$D$7,distribution!$B$7,IF(F393&lt;=distribution!$D$8,distribution!$B$8,IF(F393&lt;=distribution!$D$9,distribution!$B$9,distribution!$B$10)))</f>
        <v>25-34</v>
      </c>
      <c r="H393">
        <f ca="1">VLOOKUP(G393,age_band!$A$1:$C$5,2,FALSE)</f>
        <v>25</v>
      </c>
      <c r="I393">
        <f ca="1">VLOOKUP(G393,age_band!$A$2:$C$5,3,FALSE)</f>
        <v>34</v>
      </c>
      <c r="J393">
        <f t="shared" ca="1" si="51"/>
        <v>31</v>
      </c>
      <c r="K393">
        <f t="shared" ca="1" si="52"/>
        <v>0.91903840691446148</v>
      </c>
      <c r="L393" t="str">
        <f ca="1">IF(K393&lt;=distribution!$D$11,distribution!$B$11,distribution!$B$12)</f>
        <v>Y</v>
      </c>
      <c r="M393">
        <f t="shared" ca="1" si="53"/>
        <v>89504</v>
      </c>
      <c r="N393">
        <f t="shared" ca="1" si="54"/>
        <v>89504</v>
      </c>
    </row>
    <row r="394" spans="1:14" x14ac:dyDescent="0.45">
      <c r="A394">
        <f t="shared" si="55"/>
        <v>393</v>
      </c>
      <c r="B394">
        <f t="shared" ca="1" si="48"/>
        <v>0.79405152534073453</v>
      </c>
      <c r="C394" t="str">
        <f ca="1">IF(B394&lt;=distribution!$D$2,distribution!$B$2,IF(B394&lt;=distribution!$D$3,distribution!$B$3,distribution!$B$4))</f>
        <v>BC</v>
      </c>
      <c r="D394">
        <f t="shared" ca="1" si="49"/>
        <v>0.10948933359858104</v>
      </c>
      <c r="E394" t="str">
        <f ca="1">IF(D394&lt;=distribution!$D$5,distribution!$B$5,distribution!$B$6)</f>
        <v>A</v>
      </c>
      <c r="F394">
        <f t="shared" ca="1" si="50"/>
        <v>1.8597647192138966E-3</v>
      </c>
      <c r="G394" t="str">
        <f ca="1">IF(F394&lt;=distribution!$D$7,distribution!$B$7,IF(F394&lt;=distribution!$D$8,distribution!$B$8,IF(F394&lt;=distribution!$D$9,distribution!$B$9,distribution!$B$10)))</f>
        <v>25-34</v>
      </c>
      <c r="H394">
        <f ca="1">VLOOKUP(G394,age_band!$A$1:$C$5,2,FALSE)</f>
        <v>25</v>
      </c>
      <c r="I394">
        <f ca="1">VLOOKUP(G394,age_band!$A$2:$C$5,3,FALSE)</f>
        <v>34</v>
      </c>
      <c r="J394">
        <f t="shared" ca="1" si="51"/>
        <v>26</v>
      </c>
      <c r="K394">
        <f t="shared" ca="1" si="52"/>
        <v>0.70312348671751157</v>
      </c>
      <c r="L394" t="str">
        <f ca="1">IF(K394&lt;=distribution!$D$11,distribution!$B$11,distribution!$B$12)</f>
        <v>N</v>
      </c>
      <c r="M394">
        <f t="shared" ca="1" si="53"/>
        <v>86839</v>
      </c>
      <c r="N394">
        <f t="shared" ca="1" si="54"/>
        <v>86839</v>
      </c>
    </row>
    <row r="395" spans="1:14" x14ac:dyDescent="0.45">
      <c r="A395">
        <f t="shared" si="55"/>
        <v>394</v>
      </c>
      <c r="B395">
        <f t="shared" ca="1" si="48"/>
        <v>0.81813725826468986</v>
      </c>
      <c r="C395" t="str">
        <f ca="1">IF(B395&lt;=distribution!$D$2,distribution!$B$2,IF(B395&lt;=distribution!$D$3,distribution!$B$3,distribution!$B$4))</f>
        <v>BC</v>
      </c>
      <c r="D395">
        <f t="shared" ca="1" si="49"/>
        <v>0.85028149754919813</v>
      </c>
      <c r="E395" t="str">
        <f ca="1">IF(D395&lt;=distribution!$D$5,distribution!$B$5,distribution!$B$6)</f>
        <v>B</v>
      </c>
      <c r="F395">
        <f t="shared" ca="1" si="50"/>
        <v>0.15165939929088035</v>
      </c>
      <c r="G395" t="str">
        <f ca="1">IF(F395&lt;=distribution!$D$7,distribution!$B$7,IF(F395&lt;=distribution!$D$8,distribution!$B$8,IF(F395&lt;=distribution!$D$9,distribution!$B$9,distribution!$B$10)))</f>
        <v>25-34</v>
      </c>
      <c r="H395">
        <f ca="1">VLOOKUP(G395,age_band!$A$1:$C$5,2,FALSE)</f>
        <v>25</v>
      </c>
      <c r="I395">
        <f ca="1">VLOOKUP(G395,age_band!$A$2:$C$5,3,FALSE)</f>
        <v>34</v>
      </c>
      <c r="J395">
        <f t="shared" ca="1" si="51"/>
        <v>25</v>
      </c>
      <c r="K395">
        <f t="shared" ca="1" si="52"/>
        <v>7.4348989464059767E-2</v>
      </c>
      <c r="L395" t="str">
        <f ca="1">IF(K395&lt;=distribution!$D$11,distribution!$B$11,distribution!$B$12)</f>
        <v>N</v>
      </c>
      <c r="M395">
        <f t="shared" ca="1" si="53"/>
        <v>61274</v>
      </c>
      <c r="N395">
        <f t="shared" ca="1" si="54"/>
        <v>61274</v>
      </c>
    </row>
    <row r="396" spans="1:14" x14ac:dyDescent="0.45">
      <c r="A396">
        <f t="shared" si="55"/>
        <v>395</v>
      </c>
      <c r="B396">
        <f t="shared" ca="1" si="48"/>
        <v>0.62347679285131408</v>
      </c>
      <c r="C396" t="str">
        <f ca="1">IF(B396&lt;=distribution!$D$2,distribution!$B$2,IF(B396&lt;=distribution!$D$3,distribution!$B$3,distribution!$B$4))</f>
        <v>QC</v>
      </c>
      <c r="D396">
        <f t="shared" ca="1" si="49"/>
        <v>0.42787084027697109</v>
      </c>
      <c r="E396" t="str">
        <f ca="1">IF(D396&lt;=distribution!$D$5,distribution!$B$5,distribution!$B$6)</f>
        <v>A</v>
      </c>
      <c r="F396">
        <f t="shared" ca="1" si="50"/>
        <v>0.46124718613303495</v>
      </c>
      <c r="G396" t="str">
        <f ca="1">IF(F396&lt;=distribution!$D$7,distribution!$B$7,IF(F396&lt;=distribution!$D$8,distribution!$B$8,IF(F396&lt;=distribution!$D$9,distribution!$B$9,distribution!$B$10)))</f>
        <v>35-44</v>
      </c>
      <c r="H396">
        <f ca="1">VLOOKUP(G396,age_band!$A$1:$C$5,2,FALSE)</f>
        <v>35</v>
      </c>
      <c r="I396">
        <f ca="1">VLOOKUP(G396,age_band!$A$2:$C$5,3,FALSE)</f>
        <v>44</v>
      </c>
      <c r="J396">
        <f t="shared" ca="1" si="51"/>
        <v>39</v>
      </c>
      <c r="K396">
        <f t="shared" ca="1" si="52"/>
        <v>0.74565741926892637</v>
      </c>
      <c r="L396" t="str">
        <f ca="1">IF(K396&lt;=distribution!$D$11,distribution!$B$11,distribution!$B$12)</f>
        <v>N</v>
      </c>
      <c r="M396">
        <f t="shared" ca="1" si="53"/>
        <v>114096</v>
      </c>
      <c r="N396">
        <f t="shared" ca="1" si="54"/>
        <v>114096</v>
      </c>
    </row>
    <row r="397" spans="1:14" x14ac:dyDescent="0.45">
      <c r="A397">
        <f t="shared" si="55"/>
        <v>396</v>
      </c>
      <c r="B397">
        <f t="shared" ca="1" si="48"/>
        <v>0.89489030424713223</v>
      </c>
      <c r="C397" t="str">
        <f ca="1">IF(B397&lt;=distribution!$D$2,distribution!$B$2,IF(B397&lt;=distribution!$D$3,distribution!$B$3,distribution!$B$4))</f>
        <v>BC</v>
      </c>
      <c r="D397">
        <f t="shared" ca="1" si="49"/>
        <v>0.68839428870485542</v>
      </c>
      <c r="E397" t="str">
        <f ca="1">IF(D397&lt;=distribution!$D$5,distribution!$B$5,distribution!$B$6)</f>
        <v>B</v>
      </c>
      <c r="F397">
        <f t="shared" ca="1" si="50"/>
        <v>0.31981669353121889</v>
      </c>
      <c r="G397" t="str">
        <f ca="1">IF(F397&lt;=distribution!$D$7,distribution!$B$7,IF(F397&lt;=distribution!$D$8,distribution!$B$8,IF(F397&lt;=distribution!$D$9,distribution!$B$9,distribution!$B$10)))</f>
        <v>35-44</v>
      </c>
      <c r="H397">
        <f ca="1">VLOOKUP(G397,age_band!$A$1:$C$5,2,FALSE)</f>
        <v>35</v>
      </c>
      <c r="I397">
        <f ca="1">VLOOKUP(G397,age_band!$A$2:$C$5,3,FALSE)</f>
        <v>44</v>
      </c>
      <c r="J397">
        <f t="shared" ca="1" si="51"/>
        <v>44</v>
      </c>
      <c r="K397">
        <f t="shared" ca="1" si="52"/>
        <v>0.86281272209027438</v>
      </c>
      <c r="L397" t="str">
        <f ca="1">IF(K397&lt;=distribution!$D$11,distribution!$B$11,distribution!$B$12)</f>
        <v>Y</v>
      </c>
      <c r="M397">
        <f t="shared" ca="1" si="53"/>
        <v>54863</v>
      </c>
      <c r="N397">
        <f t="shared" ca="1" si="54"/>
        <v>54863</v>
      </c>
    </row>
    <row r="398" spans="1:14" x14ac:dyDescent="0.45">
      <c r="A398">
        <f t="shared" si="55"/>
        <v>397</v>
      </c>
      <c r="B398">
        <f t="shared" ca="1" si="48"/>
        <v>0.76476677405891602</v>
      </c>
      <c r="C398" t="str">
        <f ca="1">IF(B398&lt;=distribution!$D$2,distribution!$B$2,IF(B398&lt;=distribution!$D$3,distribution!$B$3,distribution!$B$4))</f>
        <v>BC</v>
      </c>
      <c r="D398">
        <f t="shared" ca="1" si="49"/>
        <v>0.98512008293734321</v>
      </c>
      <c r="E398" t="str">
        <f ca="1">IF(D398&lt;=distribution!$D$5,distribution!$B$5,distribution!$B$6)</f>
        <v>B</v>
      </c>
      <c r="F398">
        <f t="shared" ca="1" si="50"/>
        <v>0.8220049616066254</v>
      </c>
      <c r="G398" t="str">
        <f ca="1">IF(F398&lt;=distribution!$D$7,distribution!$B$7,IF(F398&lt;=distribution!$D$8,distribution!$B$8,IF(F398&lt;=distribution!$D$9,distribution!$B$9,distribution!$B$10)))</f>
        <v>45-54</v>
      </c>
      <c r="H398">
        <f ca="1">VLOOKUP(G398,age_band!$A$1:$C$5,2,FALSE)</f>
        <v>45</v>
      </c>
      <c r="I398">
        <f ca="1">VLOOKUP(G398,age_band!$A$2:$C$5,3,FALSE)</f>
        <v>54</v>
      </c>
      <c r="J398">
        <f t="shared" ca="1" si="51"/>
        <v>47</v>
      </c>
      <c r="K398">
        <f t="shared" ca="1" si="52"/>
        <v>0.54420523906097618</v>
      </c>
      <c r="L398" t="str">
        <f ca="1">IF(K398&lt;=distribution!$D$11,distribution!$B$11,distribution!$B$12)</f>
        <v>N</v>
      </c>
      <c r="M398">
        <f t="shared" ca="1" si="53"/>
        <v>49767</v>
      </c>
      <c r="N398">
        <f t="shared" ca="1" si="54"/>
        <v>49767</v>
      </c>
    </row>
    <row r="399" spans="1:14" x14ac:dyDescent="0.45">
      <c r="A399">
        <f t="shared" si="55"/>
        <v>398</v>
      </c>
      <c r="B399">
        <f t="shared" ca="1" si="48"/>
        <v>0.40043908396841943</v>
      </c>
      <c r="C399" t="str">
        <f ca="1">IF(B399&lt;=distribution!$D$2,distribution!$B$2,IF(B399&lt;=distribution!$D$3,distribution!$B$3,distribution!$B$4))</f>
        <v>ON</v>
      </c>
      <c r="D399">
        <f t="shared" ca="1" si="49"/>
        <v>0.5824543768950966</v>
      </c>
      <c r="E399" t="str">
        <f ca="1">IF(D399&lt;=distribution!$D$5,distribution!$B$5,distribution!$B$6)</f>
        <v>A</v>
      </c>
      <c r="F399">
        <f t="shared" ca="1" si="50"/>
        <v>0.81308709249691435</v>
      </c>
      <c r="G399" t="str">
        <f ca="1">IF(F399&lt;=distribution!$D$7,distribution!$B$7,IF(F399&lt;=distribution!$D$8,distribution!$B$8,IF(F399&lt;=distribution!$D$9,distribution!$B$9,distribution!$B$10)))</f>
        <v>45-54</v>
      </c>
      <c r="H399">
        <f ca="1">VLOOKUP(G399,age_band!$A$1:$C$5,2,FALSE)</f>
        <v>45</v>
      </c>
      <c r="I399">
        <f ca="1">VLOOKUP(G399,age_band!$A$2:$C$5,3,FALSE)</f>
        <v>54</v>
      </c>
      <c r="J399">
        <f t="shared" ca="1" si="51"/>
        <v>47</v>
      </c>
      <c r="K399">
        <f t="shared" ca="1" si="52"/>
        <v>0.3558916861684871</v>
      </c>
      <c r="L399" t="str">
        <f ca="1">IF(K399&lt;=distribution!$D$11,distribution!$B$11,distribution!$B$12)</f>
        <v>N</v>
      </c>
      <c r="M399">
        <f t="shared" ca="1" si="53"/>
        <v>88009</v>
      </c>
      <c r="N399">
        <f t="shared" ca="1" si="54"/>
        <v>88009</v>
      </c>
    </row>
    <row r="400" spans="1:14" x14ac:dyDescent="0.45">
      <c r="A400">
        <f t="shared" si="55"/>
        <v>399</v>
      </c>
      <c r="B400">
        <f t="shared" ca="1" si="48"/>
        <v>0.12230752621214325</v>
      </c>
      <c r="C400" t="str">
        <f ca="1">IF(B400&lt;=distribution!$D$2,distribution!$B$2,IF(B400&lt;=distribution!$D$3,distribution!$B$3,distribution!$B$4))</f>
        <v>ON</v>
      </c>
      <c r="D400">
        <f t="shared" ca="1" si="49"/>
        <v>0.4212042265098801</v>
      </c>
      <c r="E400" t="str">
        <f ca="1">IF(D400&lt;=distribution!$D$5,distribution!$B$5,distribution!$B$6)</f>
        <v>A</v>
      </c>
      <c r="F400">
        <f t="shared" ca="1" si="50"/>
        <v>8.215627586223806E-2</v>
      </c>
      <c r="G400" t="str">
        <f ca="1">IF(F400&lt;=distribution!$D$7,distribution!$B$7,IF(F400&lt;=distribution!$D$8,distribution!$B$8,IF(F400&lt;=distribution!$D$9,distribution!$B$9,distribution!$B$10)))</f>
        <v>25-34</v>
      </c>
      <c r="H400">
        <f ca="1">VLOOKUP(G400,age_band!$A$1:$C$5,2,FALSE)</f>
        <v>25</v>
      </c>
      <c r="I400">
        <f ca="1">VLOOKUP(G400,age_band!$A$2:$C$5,3,FALSE)</f>
        <v>34</v>
      </c>
      <c r="J400">
        <f t="shared" ca="1" si="51"/>
        <v>29</v>
      </c>
      <c r="K400">
        <f t="shared" ca="1" si="52"/>
        <v>0.58216241174194971</v>
      </c>
      <c r="L400" t="str">
        <f ca="1">IF(K400&lt;=distribution!$D$11,distribution!$B$11,distribution!$B$12)</f>
        <v>N</v>
      </c>
      <c r="M400">
        <f t="shared" ca="1" si="53"/>
        <v>119201</v>
      </c>
      <c r="N400">
        <f t="shared" ca="1" si="54"/>
        <v>119201</v>
      </c>
    </row>
    <row r="401" spans="1:14" x14ac:dyDescent="0.45">
      <c r="A401">
        <f t="shared" si="55"/>
        <v>400</v>
      </c>
      <c r="B401">
        <f t="shared" ca="1" si="48"/>
        <v>0.18909296903443051</v>
      </c>
      <c r="C401" t="str">
        <f ca="1">IF(B401&lt;=distribution!$D$2,distribution!$B$2,IF(B401&lt;=distribution!$D$3,distribution!$B$3,distribution!$B$4))</f>
        <v>ON</v>
      </c>
      <c r="D401">
        <f t="shared" ca="1" si="49"/>
        <v>0.954071609491563</v>
      </c>
      <c r="E401" t="str">
        <f ca="1">IF(D401&lt;=distribution!$D$5,distribution!$B$5,distribution!$B$6)</f>
        <v>B</v>
      </c>
      <c r="F401">
        <f t="shared" ca="1" si="50"/>
        <v>0.30551318318048737</v>
      </c>
      <c r="G401" t="str">
        <f ca="1">IF(F401&lt;=distribution!$D$7,distribution!$B$7,IF(F401&lt;=distribution!$D$8,distribution!$B$8,IF(F401&lt;=distribution!$D$9,distribution!$B$9,distribution!$B$10)))</f>
        <v>35-44</v>
      </c>
      <c r="H401">
        <f ca="1">VLOOKUP(G401,age_band!$A$1:$C$5,2,FALSE)</f>
        <v>35</v>
      </c>
      <c r="I401">
        <f ca="1">VLOOKUP(G401,age_band!$A$2:$C$5,3,FALSE)</f>
        <v>44</v>
      </c>
      <c r="J401">
        <f t="shared" ca="1" si="51"/>
        <v>35</v>
      </c>
      <c r="K401">
        <f t="shared" ca="1" si="52"/>
        <v>0.58315749553354201</v>
      </c>
      <c r="L401" t="str">
        <f ca="1">IF(K401&lt;=distribution!$D$11,distribution!$B$11,distribution!$B$12)</f>
        <v>N</v>
      </c>
      <c r="M401">
        <f t="shared" ca="1" si="53"/>
        <v>69275</v>
      </c>
      <c r="N401">
        <f t="shared" ca="1" si="54"/>
        <v>69275</v>
      </c>
    </row>
    <row r="402" spans="1:14" x14ac:dyDescent="0.45">
      <c r="A402">
        <f t="shared" si="55"/>
        <v>401</v>
      </c>
      <c r="B402">
        <f t="shared" ca="1" si="48"/>
        <v>0.30073899344282429</v>
      </c>
      <c r="C402" t="str">
        <f ca="1">IF(B402&lt;=distribution!$D$2,distribution!$B$2,IF(B402&lt;=distribution!$D$3,distribution!$B$3,distribution!$B$4))</f>
        <v>ON</v>
      </c>
      <c r="D402">
        <f t="shared" ca="1" si="49"/>
        <v>0.8026803194457417</v>
      </c>
      <c r="E402" t="str">
        <f ca="1">IF(D402&lt;=distribution!$D$5,distribution!$B$5,distribution!$B$6)</f>
        <v>B</v>
      </c>
      <c r="F402">
        <f t="shared" ca="1" si="50"/>
        <v>7.9048236535431027E-2</v>
      </c>
      <c r="G402" t="str">
        <f ca="1">IF(F402&lt;=distribution!$D$7,distribution!$B$7,IF(F402&lt;=distribution!$D$8,distribution!$B$8,IF(F402&lt;=distribution!$D$9,distribution!$B$9,distribution!$B$10)))</f>
        <v>25-34</v>
      </c>
      <c r="H402">
        <f ca="1">VLOOKUP(G402,age_band!$A$1:$C$5,2,FALSE)</f>
        <v>25</v>
      </c>
      <c r="I402">
        <f ca="1">VLOOKUP(G402,age_band!$A$2:$C$5,3,FALSE)</f>
        <v>34</v>
      </c>
      <c r="J402">
        <f t="shared" ca="1" si="51"/>
        <v>25</v>
      </c>
      <c r="K402">
        <f t="shared" ca="1" si="52"/>
        <v>0.45026930466190318</v>
      </c>
      <c r="L402" t="str">
        <f ca="1">IF(K402&lt;=distribution!$D$11,distribution!$B$11,distribution!$B$12)</f>
        <v>N</v>
      </c>
      <c r="M402">
        <f t="shared" ca="1" si="53"/>
        <v>72619</v>
      </c>
      <c r="N402">
        <f t="shared" ca="1" si="54"/>
        <v>72619</v>
      </c>
    </row>
    <row r="403" spans="1:14" x14ac:dyDescent="0.45">
      <c r="A403">
        <f t="shared" si="55"/>
        <v>402</v>
      </c>
      <c r="B403">
        <f t="shared" ca="1" si="48"/>
        <v>0.9818558310712866</v>
      </c>
      <c r="C403" t="str">
        <f ca="1">IF(B403&lt;=distribution!$D$2,distribution!$B$2,IF(B403&lt;=distribution!$D$3,distribution!$B$3,distribution!$B$4))</f>
        <v>BC</v>
      </c>
      <c r="D403">
        <f t="shared" ca="1" si="49"/>
        <v>0.80282522215352059</v>
      </c>
      <c r="E403" t="str">
        <f ca="1">IF(D403&lt;=distribution!$D$5,distribution!$B$5,distribution!$B$6)</f>
        <v>B</v>
      </c>
      <c r="F403">
        <f t="shared" ca="1" si="50"/>
        <v>0.14477807809153642</v>
      </c>
      <c r="G403" t="str">
        <f ca="1">IF(F403&lt;=distribution!$D$7,distribution!$B$7,IF(F403&lt;=distribution!$D$8,distribution!$B$8,IF(F403&lt;=distribution!$D$9,distribution!$B$9,distribution!$B$10)))</f>
        <v>25-34</v>
      </c>
      <c r="H403">
        <f ca="1">VLOOKUP(G403,age_band!$A$1:$C$5,2,FALSE)</f>
        <v>25</v>
      </c>
      <c r="I403">
        <f ca="1">VLOOKUP(G403,age_band!$A$2:$C$5,3,FALSE)</f>
        <v>34</v>
      </c>
      <c r="J403">
        <f t="shared" ca="1" si="51"/>
        <v>29</v>
      </c>
      <c r="K403">
        <f t="shared" ca="1" si="52"/>
        <v>0.60564985812384142</v>
      </c>
      <c r="L403" t="str">
        <f ca="1">IF(K403&lt;=distribution!$D$11,distribution!$B$11,distribution!$B$12)</f>
        <v>N</v>
      </c>
      <c r="M403">
        <f t="shared" ca="1" si="53"/>
        <v>67750</v>
      </c>
      <c r="N403">
        <f t="shared" ca="1" si="54"/>
        <v>67750</v>
      </c>
    </row>
    <row r="404" spans="1:14" x14ac:dyDescent="0.45">
      <c r="A404">
        <f t="shared" si="55"/>
        <v>403</v>
      </c>
      <c r="B404">
        <f t="shared" ca="1" si="48"/>
        <v>0.99121840151329355</v>
      </c>
      <c r="C404" t="str">
        <f ca="1">IF(B404&lt;=distribution!$D$2,distribution!$B$2,IF(B404&lt;=distribution!$D$3,distribution!$B$3,distribution!$B$4))</f>
        <v>BC</v>
      </c>
      <c r="D404">
        <f t="shared" ca="1" si="49"/>
        <v>0.28578846773741151</v>
      </c>
      <c r="E404" t="str">
        <f ca="1">IF(D404&lt;=distribution!$D$5,distribution!$B$5,distribution!$B$6)</f>
        <v>A</v>
      </c>
      <c r="F404">
        <f t="shared" ca="1" si="50"/>
        <v>0.30692102604684479</v>
      </c>
      <c r="G404" t="str">
        <f ca="1">IF(F404&lt;=distribution!$D$7,distribution!$B$7,IF(F404&lt;=distribution!$D$8,distribution!$B$8,IF(F404&lt;=distribution!$D$9,distribution!$B$9,distribution!$B$10)))</f>
        <v>35-44</v>
      </c>
      <c r="H404">
        <f ca="1">VLOOKUP(G404,age_band!$A$1:$C$5,2,FALSE)</f>
        <v>35</v>
      </c>
      <c r="I404">
        <f ca="1">VLOOKUP(G404,age_band!$A$2:$C$5,3,FALSE)</f>
        <v>44</v>
      </c>
      <c r="J404">
        <f t="shared" ca="1" si="51"/>
        <v>37</v>
      </c>
      <c r="K404">
        <f t="shared" ca="1" si="52"/>
        <v>0.53499699238836362</v>
      </c>
      <c r="L404" t="str">
        <f ca="1">IF(K404&lt;=distribution!$D$11,distribution!$B$11,distribution!$B$12)</f>
        <v>N</v>
      </c>
      <c r="M404">
        <f t="shared" ca="1" si="53"/>
        <v>68238</v>
      </c>
      <c r="N404">
        <f t="shared" ca="1" si="54"/>
        <v>68238</v>
      </c>
    </row>
    <row r="405" spans="1:14" x14ac:dyDescent="0.45">
      <c r="A405">
        <f t="shared" si="55"/>
        <v>404</v>
      </c>
      <c r="B405">
        <f t="shared" ca="1" si="48"/>
        <v>0.14597337477950645</v>
      </c>
      <c r="C405" t="str">
        <f ca="1">IF(B405&lt;=distribution!$D$2,distribution!$B$2,IF(B405&lt;=distribution!$D$3,distribution!$B$3,distribution!$B$4))</f>
        <v>ON</v>
      </c>
      <c r="D405">
        <f t="shared" ca="1" si="49"/>
        <v>0.4394063408158696</v>
      </c>
      <c r="E405" t="str">
        <f ca="1">IF(D405&lt;=distribution!$D$5,distribution!$B$5,distribution!$B$6)</f>
        <v>A</v>
      </c>
      <c r="F405">
        <f t="shared" ca="1" si="50"/>
        <v>0.47526396778416369</v>
      </c>
      <c r="G405" t="str">
        <f ca="1">IF(F405&lt;=distribution!$D$7,distribution!$B$7,IF(F405&lt;=distribution!$D$8,distribution!$B$8,IF(F405&lt;=distribution!$D$9,distribution!$B$9,distribution!$B$10)))</f>
        <v>35-44</v>
      </c>
      <c r="H405">
        <f ca="1">VLOOKUP(G405,age_band!$A$1:$C$5,2,FALSE)</f>
        <v>35</v>
      </c>
      <c r="I405">
        <f ca="1">VLOOKUP(G405,age_band!$A$2:$C$5,3,FALSE)</f>
        <v>44</v>
      </c>
      <c r="J405">
        <f t="shared" ca="1" si="51"/>
        <v>35</v>
      </c>
      <c r="K405">
        <f t="shared" ca="1" si="52"/>
        <v>0.79083524865113708</v>
      </c>
      <c r="L405" t="str">
        <f ca="1">IF(K405&lt;=distribution!$D$11,distribution!$B$11,distribution!$B$12)</f>
        <v>N</v>
      </c>
      <c r="M405">
        <f t="shared" ca="1" si="53"/>
        <v>66857</v>
      </c>
      <c r="N405">
        <f t="shared" ca="1" si="54"/>
        <v>66857</v>
      </c>
    </row>
    <row r="406" spans="1:14" x14ac:dyDescent="0.45">
      <c r="A406">
        <f t="shared" si="55"/>
        <v>405</v>
      </c>
      <c r="B406">
        <f t="shared" ca="1" si="48"/>
        <v>0.81675855013138876</v>
      </c>
      <c r="C406" t="str">
        <f ca="1">IF(B406&lt;=distribution!$D$2,distribution!$B$2,IF(B406&lt;=distribution!$D$3,distribution!$B$3,distribution!$B$4))</f>
        <v>BC</v>
      </c>
      <c r="D406">
        <f t="shared" ca="1" si="49"/>
        <v>0.92067075957531186</v>
      </c>
      <c r="E406" t="str">
        <f ca="1">IF(D406&lt;=distribution!$D$5,distribution!$B$5,distribution!$B$6)</f>
        <v>B</v>
      </c>
      <c r="F406">
        <f t="shared" ca="1" si="50"/>
        <v>0.61918890288427286</v>
      </c>
      <c r="G406" t="str">
        <f ca="1">IF(F406&lt;=distribution!$D$7,distribution!$B$7,IF(F406&lt;=distribution!$D$8,distribution!$B$8,IF(F406&lt;=distribution!$D$9,distribution!$B$9,distribution!$B$10)))</f>
        <v>45-54</v>
      </c>
      <c r="H406">
        <f ca="1">VLOOKUP(G406,age_band!$A$1:$C$5,2,FALSE)</f>
        <v>45</v>
      </c>
      <c r="I406">
        <f ca="1">VLOOKUP(G406,age_band!$A$2:$C$5,3,FALSE)</f>
        <v>54</v>
      </c>
      <c r="J406">
        <f t="shared" ca="1" si="51"/>
        <v>53</v>
      </c>
      <c r="K406">
        <f t="shared" ca="1" si="52"/>
        <v>0.52624246461326007</v>
      </c>
      <c r="L406" t="str">
        <f ca="1">IF(K406&lt;=distribution!$D$11,distribution!$B$11,distribution!$B$12)</f>
        <v>N</v>
      </c>
      <c r="M406">
        <f t="shared" ca="1" si="53"/>
        <v>67371</v>
      </c>
      <c r="N406">
        <f t="shared" ca="1" si="54"/>
        <v>67371</v>
      </c>
    </row>
    <row r="407" spans="1:14" x14ac:dyDescent="0.45">
      <c r="A407">
        <f t="shared" si="55"/>
        <v>406</v>
      </c>
      <c r="B407">
        <f t="shared" ca="1" si="48"/>
        <v>0.57968225854915822</v>
      </c>
      <c r="C407" t="str">
        <f ca="1">IF(B407&lt;=distribution!$D$2,distribution!$B$2,IF(B407&lt;=distribution!$D$3,distribution!$B$3,distribution!$B$4))</f>
        <v>QC</v>
      </c>
      <c r="D407">
        <f t="shared" ca="1" si="49"/>
        <v>0.7372105245409637</v>
      </c>
      <c r="E407" t="str">
        <f ca="1">IF(D407&lt;=distribution!$D$5,distribution!$B$5,distribution!$B$6)</f>
        <v>B</v>
      </c>
      <c r="F407">
        <f t="shared" ca="1" si="50"/>
        <v>0.41554462850074236</v>
      </c>
      <c r="G407" t="str">
        <f ca="1">IF(F407&lt;=distribution!$D$7,distribution!$B$7,IF(F407&lt;=distribution!$D$8,distribution!$B$8,IF(F407&lt;=distribution!$D$9,distribution!$B$9,distribution!$B$10)))</f>
        <v>35-44</v>
      </c>
      <c r="H407">
        <f ca="1">VLOOKUP(G407,age_band!$A$1:$C$5,2,FALSE)</f>
        <v>35</v>
      </c>
      <c r="I407">
        <f ca="1">VLOOKUP(G407,age_band!$A$2:$C$5,3,FALSE)</f>
        <v>44</v>
      </c>
      <c r="J407">
        <f t="shared" ca="1" si="51"/>
        <v>38</v>
      </c>
      <c r="K407">
        <f t="shared" ca="1" si="52"/>
        <v>0.59962187680543355</v>
      </c>
      <c r="L407" t="str">
        <f ca="1">IF(K407&lt;=distribution!$D$11,distribution!$B$11,distribution!$B$12)</f>
        <v>N</v>
      </c>
      <c r="M407">
        <f t="shared" ca="1" si="53"/>
        <v>66052</v>
      </c>
      <c r="N407">
        <f t="shared" ca="1" si="54"/>
        <v>66052</v>
      </c>
    </row>
    <row r="408" spans="1:14" x14ac:dyDescent="0.45">
      <c r="A408">
        <f t="shared" si="55"/>
        <v>407</v>
      </c>
      <c r="B408">
        <f t="shared" ca="1" si="48"/>
        <v>0.92532131012604857</v>
      </c>
      <c r="C408" t="str">
        <f ca="1">IF(B408&lt;=distribution!$D$2,distribution!$B$2,IF(B408&lt;=distribution!$D$3,distribution!$B$3,distribution!$B$4))</f>
        <v>BC</v>
      </c>
      <c r="D408">
        <f t="shared" ca="1" si="49"/>
        <v>2.2613963891860989E-3</v>
      </c>
      <c r="E408" t="str">
        <f ca="1">IF(D408&lt;=distribution!$D$5,distribution!$B$5,distribution!$B$6)</f>
        <v>A</v>
      </c>
      <c r="F408">
        <f t="shared" ca="1" si="50"/>
        <v>0.83706833269299508</v>
      </c>
      <c r="G408" t="str">
        <f ca="1">IF(F408&lt;=distribution!$D$7,distribution!$B$7,IF(F408&lt;=distribution!$D$8,distribution!$B$8,IF(F408&lt;=distribution!$D$9,distribution!$B$9,distribution!$B$10)))</f>
        <v>45-54</v>
      </c>
      <c r="H408">
        <f ca="1">VLOOKUP(G408,age_band!$A$1:$C$5,2,FALSE)</f>
        <v>45</v>
      </c>
      <c r="I408">
        <f ca="1">VLOOKUP(G408,age_band!$A$2:$C$5,3,FALSE)</f>
        <v>54</v>
      </c>
      <c r="J408">
        <f t="shared" ca="1" si="51"/>
        <v>48</v>
      </c>
      <c r="K408">
        <f t="shared" ca="1" si="52"/>
        <v>0.3704273763668926</v>
      </c>
      <c r="L408" t="str">
        <f ca="1">IF(K408&lt;=distribution!$D$11,distribution!$B$11,distribution!$B$12)</f>
        <v>N</v>
      </c>
      <c r="M408">
        <f t="shared" ca="1" si="53"/>
        <v>84321</v>
      </c>
      <c r="N408">
        <f t="shared" ca="1" si="54"/>
        <v>84321</v>
      </c>
    </row>
    <row r="409" spans="1:14" x14ac:dyDescent="0.45">
      <c r="A409">
        <f t="shared" si="55"/>
        <v>408</v>
      </c>
      <c r="B409">
        <f t="shared" ca="1" si="48"/>
        <v>0.80005175454994815</v>
      </c>
      <c r="C409" t="str">
        <f ca="1">IF(B409&lt;=distribution!$D$2,distribution!$B$2,IF(B409&lt;=distribution!$D$3,distribution!$B$3,distribution!$B$4))</f>
        <v>BC</v>
      </c>
      <c r="D409">
        <f t="shared" ca="1" si="49"/>
        <v>0.36838903415668078</v>
      </c>
      <c r="E409" t="str">
        <f ca="1">IF(D409&lt;=distribution!$D$5,distribution!$B$5,distribution!$B$6)</f>
        <v>A</v>
      </c>
      <c r="F409">
        <f t="shared" ca="1" si="50"/>
        <v>0.89975047461337854</v>
      </c>
      <c r="G409" t="str">
        <f ca="1">IF(F409&lt;=distribution!$D$7,distribution!$B$7,IF(F409&lt;=distribution!$D$8,distribution!$B$8,IF(F409&lt;=distribution!$D$9,distribution!$B$9,distribution!$B$10)))</f>
        <v>55-64</v>
      </c>
      <c r="H409">
        <f ca="1">VLOOKUP(G409,age_band!$A$1:$C$5,2,FALSE)</f>
        <v>55</v>
      </c>
      <c r="I409">
        <f ca="1">VLOOKUP(G409,age_band!$A$2:$C$5,3,FALSE)</f>
        <v>64</v>
      </c>
      <c r="J409">
        <f t="shared" ca="1" si="51"/>
        <v>57</v>
      </c>
      <c r="K409">
        <f t="shared" ca="1" si="52"/>
        <v>0.10512176599609169</v>
      </c>
      <c r="L409" t="str">
        <f ca="1">IF(K409&lt;=distribution!$D$11,distribution!$B$11,distribution!$B$12)</f>
        <v>N</v>
      </c>
      <c r="M409">
        <f t="shared" ca="1" si="53"/>
        <v>110259</v>
      </c>
      <c r="N409">
        <f t="shared" ca="1" si="54"/>
        <v>110259</v>
      </c>
    </row>
    <row r="410" spans="1:14" x14ac:dyDescent="0.45">
      <c r="A410">
        <f t="shared" si="55"/>
        <v>409</v>
      </c>
      <c r="B410">
        <f t="shared" ca="1" si="48"/>
        <v>4.2683350520710261E-2</v>
      </c>
      <c r="C410" t="str">
        <f ca="1">IF(B410&lt;=distribution!$D$2,distribution!$B$2,IF(B410&lt;=distribution!$D$3,distribution!$B$3,distribution!$B$4))</f>
        <v>ON</v>
      </c>
      <c r="D410">
        <f t="shared" ca="1" si="49"/>
        <v>0.10712145251529515</v>
      </c>
      <c r="E410" t="str">
        <f ca="1">IF(D410&lt;=distribution!$D$5,distribution!$B$5,distribution!$B$6)</f>
        <v>A</v>
      </c>
      <c r="F410">
        <f t="shared" ca="1" si="50"/>
        <v>0.24335186121376018</v>
      </c>
      <c r="G410" t="str">
        <f ca="1">IF(F410&lt;=distribution!$D$7,distribution!$B$7,IF(F410&lt;=distribution!$D$8,distribution!$B$8,IF(F410&lt;=distribution!$D$9,distribution!$B$9,distribution!$B$10)))</f>
        <v>25-34</v>
      </c>
      <c r="H410">
        <f ca="1">VLOOKUP(G410,age_band!$A$1:$C$5,2,FALSE)</f>
        <v>25</v>
      </c>
      <c r="I410">
        <f ca="1">VLOOKUP(G410,age_band!$A$2:$C$5,3,FALSE)</f>
        <v>34</v>
      </c>
      <c r="J410">
        <f t="shared" ca="1" si="51"/>
        <v>29</v>
      </c>
      <c r="K410">
        <f t="shared" ca="1" si="52"/>
        <v>0.41205949415980481</v>
      </c>
      <c r="L410" t="str">
        <f ca="1">IF(K410&lt;=distribution!$D$11,distribution!$B$11,distribution!$B$12)</f>
        <v>N</v>
      </c>
      <c r="M410">
        <f t="shared" ca="1" si="53"/>
        <v>64624</v>
      </c>
      <c r="N410">
        <f t="shared" ca="1" si="54"/>
        <v>64624</v>
      </c>
    </row>
    <row r="411" spans="1:14" x14ac:dyDescent="0.45">
      <c r="A411">
        <f t="shared" si="55"/>
        <v>410</v>
      </c>
      <c r="B411">
        <f t="shared" ca="1" si="48"/>
        <v>0.63181858854765061</v>
      </c>
      <c r="C411" t="str">
        <f ca="1">IF(B411&lt;=distribution!$D$2,distribution!$B$2,IF(B411&lt;=distribution!$D$3,distribution!$B$3,distribution!$B$4))</f>
        <v>QC</v>
      </c>
      <c r="D411">
        <f t="shared" ca="1" si="49"/>
        <v>0.16319631502323606</v>
      </c>
      <c r="E411" t="str">
        <f ca="1">IF(D411&lt;=distribution!$D$5,distribution!$B$5,distribution!$B$6)</f>
        <v>A</v>
      </c>
      <c r="F411">
        <f t="shared" ca="1" si="50"/>
        <v>0.88901259227782126</v>
      </c>
      <c r="G411" t="str">
        <f ca="1">IF(F411&lt;=distribution!$D$7,distribution!$B$7,IF(F411&lt;=distribution!$D$8,distribution!$B$8,IF(F411&lt;=distribution!$D$9,distribution!$B$9,distribution!$B$10)))</f>
        <v>55-64</v>
      </c>
      <c r="H411">
        <f ca="1">VLOOKUP(G411,age_band!$A$1:$C$5,2,FALSE)</f>
        <v>55</v>
      </c>
      <c r="I411">
        <f ca="1">VLOOKUP(G411,age_band!$A$2:$C$5,3,FALSE)</f>
        <v>64</v>
      </c>
      <c r="J411">
        <f t="shared" ca="1" si="51"/>
        <v>58</v>
      </c>
      <c r="K411">
        <f t="shared" ca="1" si="52"/>
        <v>0.72025391932879812</v>
      </c>
      <c r="L411" t="str">
        <f ca="1">IF(K411&lt;=distribution!$D$11,distribution!$B$11,distribution!$B$12)</f>
        <v>N</v>
      </c>
      <c r="M411">
        <f t="shared" ca="1" si="53"/>
        <v>98720</v>
      </c>
      <c r="N411">
        <f t="shared" ca="1" si="54"/>
        <v>98720</v>
      </c>
    </row>
    <row r="412" spans="1:14" x14ac:dyDescent="0.45">
      <c r="A412">
        <f t="shared" si="55"/>
        <v>411</v>
      </c>
      <c r="B412">
        <f t="shared" ca="1" si="48"/>
        <v>0.37057309687328444</v>
      </c>
      <c r="C412" t="str">
        <f ca="1">IF(B412&lt;=distribution!$D$2,distribution!$B$2,IF(B412&lt;=distribution!$D$3,distribution!$B$3,distribution!$B$4))</f>
        <v>ON</v>
      </c>
      <c r="D412">
        <f t="shared" ca="1" si="49"/>
        <v>0.12397504638567913</v>
      </c>
      <c r="E412" t="str">
        <f ca="1">IF(D412&lt;=distribution!$D$5,distribution!$B$5,distribution!$B$6)</f>
        <v>A</v>
      </c>
      <c r="F412">
        <f t="shared" ca="1" si="50"/>
        <v>0.92815766484140805</v>
      </c>
      <c r="G412" t="str">
        <f ca="1">IF(F412&lt;=distribution!$D$7,distribution!$B$7,IF(F412&lt;=distribution!$D$8,distribution!$B$8,IF(F412&lt;=distribution!$D$9,distribution!$B$9,distribution!$B$10)))</f>
        <v>55-64</v>
      </c>
      <c r="H412">
        <f ca="1">VLOOKUP(G412,age_band!$A$1:$C$5,2,FALSE)</f>
        <v>55</v>
      </c>
      <c r="I412">
        <f ca="1">VLOOKUP(G412,age_band!$A$2:$C$5,3,FALSE)</f>
        <v>64</v>
      </c>
      <c r="J412">
        <f t="shared" ca="1" si="51"/>
        <v>59</v>
      </c>
      <c r="K412">
        <f t="shared" ca="1" si="52"/>
        <v>0.68007617920763397</v>
      </c>
      <c r="L412" t="str">
        <f ca="1">IF(K412&lt;=distribution!$D$11,distribution!$B$11,distribution!$B$12)</f>
        <v>N</v>
      </c>
      <c r="M412">
        <f t="shared" ca="1" si="53"/>
        <v>86446</v>
      </c>
      <c r="N412">
        <f t="shared" ca="1" si="54"/>
        <v>86446</v>
      </c>
    </row>
    <row r="413" spans="1:14" x14ac:dyDescent="0.45">
      <c r="A413">
        <f t="shared" si="55"/>
        <v>412</v>
      </c>
      <c r="B413">
        <f t="shared" ca="1" si="48"/>
        <v>4.2327385637338955E-2</v>
      </c>
      <c r="C413" t="str">
        <f ca="1">IF(B413&lt;=distribution!$D$2,distribution!$B$2,IF(B413&lt;=distribution!$D$3,distribution!$B$3,distribution!$B$4))</f>
        <v>ON</v>
      </c>
      <c r="D413">
        <f t="shared" ca="1" si="49"/>
        <v>0.40283559541762592</v>
      </c>
      <c r="E413" t="str">
        <f ca="1">IF(D413&lt;=distribution!$D$5,distribution!$B$5,distribution!$B$6)</f>
        <v>A</v>
      </c>
      <c r="F413">
        <f t="shared" ca="1" si="50"/>
        <v>0.33242199736228739</v>
      </c>
      <c r="G413" t="str">
        <f ca="1">IF(F413&lt;=distribution!$D$7,distribution!$B$7,IF(F413&lt;=distribution!$D$8,distribution!$B$8,IF(F413&lt;=distribution!$D$9,distribution!$B$9,distribution!$B$10)))</f>
        <v>35-44</v>
      </c>
      <c r="H413">
        <f ca="1">VLOOKUP(G413,age_band!$A$1:$C$5,2,FALSE)</f>
        <v>35</v>
      </c>
      <c r="I413">
        <f ca="1">VLOOKUP(G413,age_band!$A$2:$C$5,3,FALSE)</f>
        <v>44</v>
      </c>
      <c r="J413">
        <f t="shared" ca="1" si="51"/>
        <v>37</v>
      </c>
      <c r="K413">
        <f t="shared" ca="1" si="52"/>
        <v>0.64583594914437348</v>
      </c>
      <c r="L413" t="str">
        <f ca="1">IF(K413&lt;=distribution!$D$11,distribution!$B$11,distribution!$B$12)</f>
        <v>N</v>
      </c>
      <c r="M413">
        <f t="shared" ca="1" si="53"/>
        <v>67387</v>
      </c>
      <c r="N413">
        <f t="shared" ca="1" si="54"/>
        <v>67387</v>
      </c>
    </row>
    <row r="414" spans="1:14" x14ac:dyDescent="0.45">
      <c r="A414">
        <f t="shared" si="55"/>
        <v>413</v>
      </c>
      <c r="B414">
        <f t="shared" ca="1" si="48"/>
        <v>9.507726168508035E-3</v>
      </c>
      <c r="C414" t="str">
        <f ca="1">IF(B414&lt;=distribution!$D$2,distribution!$B$2,IF(B414&lt;=distribution!$D$3,distribution!$B$3,distribution!$B$4))</f>
        <v>ON</v>
      </c>
      <c r="D414">
        <f t="shared" ca="1" si="49"/>
        <v>8.1388023734620951E-2</v>
      </c>
      <c r="E414" t="str">
        <f ca="1">IF(D414&lt;=distribution!$D$5,distribution!$B$5,distribution!$B$6)</f>
        <v>A</v>
      </c>
      <c r="F414">
        <f t="shared" ca="1" si="50"/>
        <v>0.30104853136594956</v>
      </c>
      <c r="G414" t="str">
        <f ca="1">IF(F414&lt;=distribution!$D$7,distribution!$B$7,IF(F414&lt;=distribution!$D$8,distribution!$B$8,IF(F414&lt;=distribution!$D$9,distribution!$B$9,distribution!$B$10)))</f>
        <v>35-44</v>
      </c>
      <c r="H414">
        <f ca="1">VLOOKUP(G414,age_band!$A$1:$C$5,2,FALSE)</f>
        <v>35</v>
      </c>
      <c r="I414">
        <f ca="1">VLOOKUP(G414,age_band!$A$2:$C$5,3,FALSE)</f>
        <v>44</v>
      </c>
      <c r="J414">
        <f t="shared" ca="1" si="51"/>
        <v>36</v>
      </c>
      <c r="K414">
        <f t="shared" ca="1" si="52"/>
        <v>0.81611288391295256</v>
      </c>
      <c r="L414" t="str">
        <f ca="1">IF(K414&lt;=distribution!$D$11,distribution!$B$11,distribution!$B$12)</f>
        <v>N</v>
      </c>
      <c r="M414">
        <f t="shared" ca="1" si="53"/>
        <v>125762</v>
      </c>
      <c r="N414">
        <f t="shared" ca="1" si="54"/>
        <v>125762</v>
      </c>
    </row>
    <row r="415" spans="1:14" x14ac:dyDescent="0.45">
      <c r="A415">
        <f t="shared" si="55"/>
        <v>414</v>
      </c>
      <c r="B415">
        <f t="shared" ca="1" si="48"/>
        <v>0.97837260276353644</v>
      </c>
      <c r="C415" t="str">
        <f ca="1">IF(B415&lt;=distribution!$D$2,distribution!$B$2,IF(B415&lt;=distribution!$D$3,distribution!$B$3,distribution!$B$4))</f>
        <v>BC</v>
      </c>
      <c r="D415">
        <f t="shared" ca="1" si="49"/>
        <v>0.35085123018435227</v>
      </c>
      <c r="E415" t="str">
        <f ca="1">IF(D415&lt;=distribution!$D$5,distribution!$B$5,distribution!$B$6)</f>
        <v>A</v>
      </c>
      <c r="F415">
        <f t="shared" ca="1" si="50"/>
        <v>0.24280269027153345</v>
      </c>
      <c r="G415" t="str">
        <f ca="1">IF(F415&lt;=distribution!$D$7,distribution!$B$7,IF(F415&lt;=distribution!$D$8,distribution!$B$8,IF(F415&lt;=distribution!$D$9,distribution!$B$9,distribution!$B$10)))</f>
        <v>25-34</v>
      </c>
      <c r="H415">
        <f ca="1">VLOOKUP(G415,age_band!$A$1:$C$5,2,FALSE)</f>
        <v>25</v>
      </c>
      <c r="I415">
        <f ca="1">VLOOKUP(G415,age_band!$A$2:$C$5,3,FALSE)</f>
        <v>34</v>
      </c>
      <c r="J415">
        <f t="shared" ca="1" si="51"/>
        <v>28</v>
      </c>
      <c r="K415">
        <f t="shared" ca="1" si="52"/>
        <v>0.85676887926857892</v>
      </c>
      <c r="L415" t="str">
        <f ca="1">IF(K415&lt;=distribution!$D$11,distribution!$B$11,distribution!$B$12)</f>
        <v>Y</v>
      </c>
      <c r="M415">
        <f t="shared" ca="1" si="53"/>
        <v>71060</v>
      </c>
      <c r="N415">
        <f t="shared" ca="1" si="54"/>
        <v>71060</v>
      </c>
    </row>
    <row r="416" spans="1:14" x14ac:dyDescent="0.45">
      <c r="A416">
        <f t="shared" si="55"/>
        <v>415</v>
      </c>
      <c r="B416">
        <f t="shared" ca="1" si="48"/>
        <v>8.201294672208681E-2</v>
      </c>
      <c r="C416" t="str">
        <f ca="1">IF(B416&lt;=distribution!$D$2,distribution!$B$2,IF(B416&lt;=distribution!$D$3,distribution!$B$3,distribution!$B$4))</f>
        <v>ON</v>
      </c>
      <c r="D416">
        <f t="shared" ca="1" si="49"/>
        <v>0.10110530072775437</v>
      </c>
      <c r="E416" t="str">
        <f ca="1">IF(D416&lt;=distribution!$D$5,distribution!$B$5,distribution!$B$6)</f>
        <v>A</v>
      </c>
      <c r="F416">
        <f t="shared" ca="1" si="50"/>
        <v>0.47842036451696035</v>
      </c>
      <c r="G416" t="str">
        <f ca="1">IF(F416&lt;=distribution!$D$7,distribution!$B$7,IF(F416&lt;=distribution!$D$8,distribution!$B$8,IF(F416&lt;=distribution!$D$9,distribution!$B$9,distribution!$B$10)))</f>
        <v>35-44</v>
      </c>
      <c r="H416">
        <f ca="1">VLOOKUP(G416,age_band!$A$1:$C$5,2,FALSE)</f>
        <v>35</v>
      </c>
      <c r="I416">
        <f ca="1">VLOOKUP(G416,age_band!$A$2:$C$5,3,FALSE)</f>
        <v>44</v>
      </c>
      <c r="J416">
        <f t="shared" ca="1" si="51"/>
        <v>44</v>
      </c>
      <c r="K416">
        <f t="shared" ca="1" si="52"/>
        <v>0.44224607588096243</v>
      </c>
      <c r="L416" t="str">
        <f ca="1">IF(K416&lt;=distribution!$D$11,distribution!$B$11,distribution!$B$12)</f>
        <v>N</v>
      </c>
      <c r="M416">
        <f t="shared" ca="1" si="53"/>
        <v>121614</v>
      </c>
      <c r="N416">
        <f t="shared" ca="1" si="54"/>
        <v>121614</v>
      </c>
    </row>
    <row r="417" spans="1:14" x14ac:dyDescent="0.45">
      <c r="A417">
        <f t="shared" si="55"/>
        <v>416</v>
      </c>
      <c r="B417">
        <f t="shared" ca="1" si="48"/>
        <v>0.70824289674586138</v>
      </c>
      <c r="C417" t="str">
        <f ca="1">IF(B417&lt;=distribution!$D$2,distribution!$B$2,IF(B417&lt;=distribution!$D$3,distribution!$B$3,distribution!$B$4))</f>
        <v>QC</v>
      </c>
      <c r="D417">
        <f t="shared" ca="1" si="49"/>
        <v>0.85056355423068897</v>
      </c>
      <c r="E417" t="str">
        <f ca="1">IF(D417&lt;=distribution!$D$5,distribution!$B$5,distribution!$B$6)</f>
        <v>B</v>
      </c>
      <c r="F417">
        <f t="shared" ca="1" si="50"/>
        <v>0.78828427685490376</v>
      </c>
      <c r="G417" t="str">
        <f ca="1">IF(F417&lt;=distribution!$D$7,distribution!$B$7,IF(F417&lt;=distribution!$D$8,distribution!$B$8,IF(F417&lt;=distribution!$D$9,distribution!$B$9,distribution!$B$10)))</f>
        <v>45-54</v>
      </c>
      <c r="H417">
        <f ca="1">VLOOKUP(G417,age_band!$A$1:$C$5,2,FALSE)</f>
        <v>45</v>
      </c>
      <c r="I417">
        <f ca="1">VLOOKUP(G417,age_band!$A$2:$C$5,3,FALSE)</f>
        <v>54</v>
      </c>
      <c r="J417">
        <f t="shared" ca="1" si="51"/>
        <v>47</v>
      </c>
      <c r="K417">
        <f t="shared" ca="1" si="52"/>
        <v>0.44876461637813125</v>
      </c>
      <c r="L417" t="str">
        <f ca="1">IF(K417&lt;=distribution!$D$11,distribution!$B$11,distribution!$B$12)</f>
        <v>N</v>
      </c>
      <c r="M417">
        <f t="shared" ca="1" si="53"/>
        <v>47638</v>
      </c>
      <c r="N417">
        <f t="shared" ca="1" si="54"/>
        <v>47638</v>
      </c>
    </row>
    <row r="418" spans="1:14" x14ac:dyDescent="0.45">
      <c r="A418">
        <f t="shared" si="55"/>
        <v>417</v>
      </c>
      <c r="B418">
        <f t="shared" ca="1" si="48"/>
        <v>0.79790074798229627</v>
      </c>
      <c r="C418" t="str">
        <f ca="1">IF(B418&lt;=distribution!$D$2,distribution!$B$2,IF(B418&lt;=distribution!$D$3,distribution!$B$3,distribution!$B$4))</f>
        <v>BC</v>
      </c>
      <c r="D418">
        <f t="shared" ca="1" si="49"/>
        <v>0.72772686167121603</v>
      </c>
      <c r="E418" t="str">
        <f ca="1">IF(D418&lt;=distribution!$D$5,distribution!$B$5,distribution!$B$6)</f>
        <v>B</v>
      </c>
      <c r="F418">
        <f t="shared" ca="1" si="50"/>
        <v>0.14139527086720394</v>
      </c>
      <c r="G418" t="str">
        <f ca="1">IF(F418&lt;=distribution!$D$7,distribution!$B$7,IF(F418&lt;=distribution!$D$8,distribution!$B$8,IF(F418&lt;=distribution!$D$9,distribution!$B$9,distribution!$B$10)))</f>
        <v>25-34</v>
      </c>
      <c r="H418">
        <f ca="1">VLOOKUP(G418,age_band!$A$1:$C$5,2,FALSE)</f>
        <v>25</v>
      </c>
      <c r="I418">
        <f ca="1">VLOOKUP(G418,age_band!$A$2:$C$5,3,FALSE)</f>
        <v>34</v>
      </c>
      <c r="J418">
        <f t="shared" ca="1" si="51"/>
        <v>33</v>
      </c>
      <c r="K418">
        <f t="shared" ca="1" si="52"/>
        <v>0.28202935329864209</v>
      </c>
      <c r="L418" t="str">
        <f ca="1">IF(K418&lt;=distribution!$D$11,distribution!$B$11,distribution!$B$12)</f>
        <v>N</v>
      </c>
      <c r="M418">
        <f t="shared" ca="1" si="53"/>
        <v>64982</v>
      </c>
      <c r="N418">
        <f t="shared" ca="1" si="54"/>
        <v>64982</v>
      </c>
    </row>
    <row r="419" spans="1:14" x14ac:dyDescent="0.45">
      <c r="A419">
        <f t="shared" si="55"/>
        <v>418</v>
      </c>
      <c r="B419">
        <f t="shared" ca="1" si="48"/>
        <v>0.24345981514957471</v>
      </c>
      <c r="C419" t="str">
        <f ca="1">IF(B419&lt;=distribution!$D$2,distribution!$B$2,IF(B419&lt;=distribution!$D$3,distribution!$B$3,distribution!$B$4))</f>
        <v>ON</v>
      </c>
      <c r="D419">
        <f t="shared" ca="1" si="49"/>
        <v>0.72998672978010626</v>
      </c>
      <c r="E419" t="str">
        <f ca="1">IF(D419&lt;=distribution!$D$5,distribution!$B$5,distribution!$B$6)</f>
        <v>B</v>
      </c>
      <c r="F419">
        <f t="shared" ca="1" si="50"/>
        <v>0.2605296512718478</v>
      </c>
      <c r="G419" t="str">
        <f ca="1">IF(F419&lt;=distribution!$D$7,distribution!$B$7,IF(F419&lt;=distribution!$D$8,distribution!$B$8,IF(F419&lt;=distribution!$D$9,distribution!$B$9,distribution!$B$10)))</f>
        <v>35-44</v>
      </c>
      <c r="H419">
        <f ca="1">VLOOKUP(G419,age_band!$A$1:$C$5,2,FALSE)</f>
        <v>35</v>
      </c>
      <c r="I419">
        <f ca="1">VLOOKUP(G419,age_band!$A$2:$C$5,3,FALSE)</f>
        <v>44</v>
      </c>
      <c r="J419">
        <f t="shared" ca="1" si="51"/>
        <v>39</v>
      </c>
      <c r="K419">
        <f t="shared" ca="1" si="52"/>
        <v>0.63533895040093835</v>
      </c>
      <c r="L419" t="str">
        <f ca="1">IF(K419&lt;=distribution!$D$11,distribution!$B$11,distribution!$B$12)</f>
        <v>N</v>
      </c>
      <c r="M419">
        <f t="shared" ca="1" si="53"/>
        <v>63970</v>
      </c>
      <c r="N419">
        <f t="shared" ca="1" si="54"/>
        <v>63970</v>
      </c>
    </row>
    <row r="420" spans="1:14" x14ac:dyDescent="0.45">
      <c r="A420">
        <f t="shared" si="55"/>
        <v>419</v>
      </c>
      <c r="B420">
        <f t="shared" ca="1" si="48"/>
        <v>0.34246608400901213</v>
      </c>
      <c r="C420" t="str">
        <f ca="1">IF(B420&lt;=distribution!$D$2,distribution!$B$2,IF(B420&lt;=distribution!$D$3,distribution!$B$3,distribution!$B$4))</f>
        <v>ON</v>
      </c>
      <c r="D420">
        <f t="shared" ca="1" si="49"/>
        <v>0.95039267390505333</v>
      </c>
      <c r="E420" t="str">
        <f ca="1">IF(D420&lt;=distribution!$D$5,distribution!$B$5,distribution!$B$6)</f>
        <v>B</v>
      </c>
      <c r="F420">
        <f t="shared" ca="1" si="50"/>
        <v>0.11856716044162785</v>
      </c>
      <c r="G420" t="str">
        <f ca="1">IF(F420&lt;=distribution!$D$7,distribution!$B$7,IF(F420&lt;=distribution!$D$8,distribution!$B$8,IF(F420&lt;=distribution!$D$9,distribution!$B$9,distribution!$B$10)))</f>
        <v>25-34</v>
      </c>
      <c r="H420">
        <f ca="1">VLOOKUP(G420,age_band!$A$1:$C$5,2,FALSE)</f>
        <v>25</v>
      </c>
      <c r="I420">
        <f ca="1">VLOOKUP(G420,age_band!$A$2:$C$5,3,FALSE)</f>
        <v>34</v>
      </c>
      <c r="J420">
        <f t="shared" ca="1" si="51"/>
        <v>27</v>
      </c>
      <c r="K420">
        <f t="shared" ca="1" si="52"/>
        <v>0.76062562148545854</v>
      </c>
      <c r="L420" t="str">
        <f ca="1">IF(K420&lt;=distribution!$D$11,distribution!$B$11,distribution!$B$12)</f>
        <v>N</v>
      </c>
      <c r="M420">
        <f t="shared" ca="1" si="53"/>
        <v>55269</v>
      </c>
      <c r="N420">
        <f t="shared" ca="1" si="54"/>
        <v>55269</v>
      </c>
    </row>
    <row r="421" spans="1:14" x14ac:dyDescent="0.45">
      <c r="A421">
        <f t="shared" si="55"/>
        <v>420</v>
      </c>
      <c r="B421">
        <f t="shared" ca="1" si="48"/>
        <v>0.98529364110856432</v>
      </c>
      <c r="C421" t="str">
        <f ca="1">IF(B421&lt;=distribution!$D$2,distribution!$B$2,IF(B421&lt;=distribution!$D$3,distribution!$B$3,distribution!$B$4))</f>
        <v>BC</v>
      </c>
      <c r="D421">
        <f t="shared" ca="1" si="49"/>
        <v>0.56366258309132056</v>
      </c>
      <c r="E421" t="str">
        <f ca="1">IF(D421&lt;=distribution!$D$5,distribution!$B$5,distribution!$B$6)</f>
        <v>A</v>
      </c>
      <c r="F421">
        <f t="shared" ca="1" si="50"/>
        <v>0.25767986881147342</v>
      </c>
      <c r="G421" t="str">
        <f ca="1">IF(F421&lt;=distribution!$D$7,distribution!$B$7,IF(F421&lt;=distribution!$D$8,distribution!$B$8,IF(F421&lt;=distribution!$D$9,distribution!$B$9,distribution!$B$10)))</f>
        <v>35-44</v>
      </c>
      <c r="H421">
        <f ca="1">VLOOKUP(G421,age_band!$A$1:$C$5,2,FALSE)</f>
        <v>35</v>
      </c>
      <c r="I421">
        <f ca="1">VLOOKUP(G421,age_band!$A$2:$C$5,3,FALSE)</f>
        <v>44</v>
      </c>
      <c r="J421">
        <f t="shared" ca="1" si="51"/>
        <v>43</v>
      </c>
      <c r="K421">
        <f t="shared" ca="1" si="52"/>
        <v>0.18186851878726484</v>
      </c>
      <c r="L421" t="str">
        <f ca="1">IF(K421&lt;=distribution!$D$11,distribution!$B$11,distribution!$B$12)</f>
        <v>N</v>
      </c>
      <c r="M421">
        <f t="shared" ca="1" si="53"/>
        <v>97639</v>
      </c>
      <c r="N421">
        <f t="shared" ca="1" si="54"/>
        <v>97639</v>
      </c>
    </row>
    <row r="422" spans="1:14" x14ac:dyDescent="0.45">
      <c r="A422">
        <f t="shared" si="55"/>
        <v>421</v>
      </c>
      <c r="B422">
        <f t="shared" ca="1" si="48"/>
        <v>0.56394538620374579</v>
      </c>
      <c r="C422" t="str">
        <f ca="1">IF(B422&lt;=distribution!$D$2,distribution!$B$2,IF(B422&lt;=distribution!$D$3,distribution!$B$3,distribution!$B$4))</f>
        <v>QC</v>
      </c>
      <c r="D422">
        <f t="shared" ca="1" si="49"/>
        <v>0.3223997436019701</v>
      </c>
      <c r="E422" t="str">
        <f ca="1">IF(D422&lt;=distribution!$D$5,distribution!$B$5,distribution!$B$6)</f>
        <v>A</v>
      </c>
      <c r="F422">
        <f t="shared" ca="1" si="50"/>
        <v>0.90924856499776252</v>
      </c>
      <c r="G422" t="str">
        <f ca="1">IF(F422&lt;=distribution!$D$7,distribution!$B$7,IF(F422&lt;=distribution!$D$8,distribution!$B$8,IF(F422&lt;=distribution!$D$9,distribution!$B$9,distribution!$B$10)))</f>
        <v>55-64</v>
      </c>
      <c r="H422">
        <f ca="1">VLOOKUP(G422,age_band!$A$1:$C$5,2,FALSE)</f>
        <v>55</v>
      </c>
      <c r="I422">
        <f ca="1">VLOOKUP(G422,age_band!$A$2:$C$5,3,FALSE)</f>
        <v>64</v>
      </c>
      <c r="J422">
        <f t="shared" ca="1" si="51"/>
        <v>59</v>
      </c>
      <c r="K422">
        <f t="shared" ca="1" si="52"/>
        <v>0.52423801285855909</v>
      </c>
      <c r="L422" t="str">
        <f ca="1">IF(K422&lt;=distribution!$D$11,distribution!$B$11,distribution!$B$12)</f>
        <v>N</v>
      </c>
      <c r="M422">
        <f t="shared" ca="1" si="53"/>
        <v>51268</v>
      </c>
      <c r="N422">
        <f t="shared" ca="1" si="54"/>
        <v>51268</v>
      </c>
    </row>
    <row r="423" spans="1:14" x14ac:dyDescent="0.45">
      <c r="A423">
        <f t="shared" si="55"/>
        <v>422</v>
      </c>
      <c r="B423">
        <f t="shared" ca="1" si="48"/>
        <v>0.52482788262768421</v>
      </c>
      <c r="C423" t="str">
        <f ca="1">IF(B423&lt;=distribution!$D$2,distribution!$B$2,IF(B423&lt;=distribution!$D$3,distribution!$B$3,distribution!$B$4))</f>
        <v>ON</v>
      </c>
      <c r="D423">
        <f t="shared" ca="1" si="49"/>
        <v>0.30446363069873583</v>
      </c>
      <c r="E423" t="str">
        <f ca="1">IF(D423&lt;=distribution!$D$5,distribution!$B$5,distribution!$B$6)</f>
        <v>A</v>
      </c>
      <c r="F423">
        <f t="shared" ca="1" si="50"/>
        <v>0.46156835611143321</v>
      </c>
      <c r="G423" t="str">
        <f ca="1">IF(F423&lt;=distribution!$D$7,distribution!$B$7,IF(F423&lt;=distribution!$D$8,distribution!$B$8,IF(F423&lt;=distribution!$D$9,distribution!$B$9,distribution!$B$10)))</f>
        <v>35-44</v>
      </c>
      <c r="H423">
        <f ca="1">VLOOKUP(G423,age_band!$A$1:$C$5,2,FALSE)</f>
        <v>35</v>
      </c>
      <c r="I423">
        <f ca="1">VLOOKUP(G423,age_band!$A$2:$C$5,3,FALSE)</f>
        <v>44</v>
      </c>
      <c r="J423">
        <f t="shared" ca="1" si="51"/>
        <v>43</v>
      </c>
      <c r="K423">
        <f t="shared" ca="1" si="52"/>
        <v>0.61434764028384758</v>
      </c>
      <c r="L423" t="str">
        <f ca="1">IF(K423&lt;=distribution!$D$11,distribution!$B$11,distribution!$B$12)</f>
        <v>N</v>
      </c>
      <c r="M423">
        <f t="shared" ca="1" si="53"/>
        <v>96268</v>
      </c>
      <c r="N423">
        <f t="shared" ca="1" si="54"/>
        <v>96268</v>
      </c>
    </row>
    <row r="424" spans="1:14" x14ac:dyDescent="0.45">
      <c r="A424">
        <f t="shared" si="55"/>
        <v>423</v>
      </c>
      <c r="B424">
        <f t="shared" ca="1" si="48"/>
        <v>0.90000997589431131</v>
      </c>
      <c r="C424" t="str">
        <f ca="1">IF(B424&lt;=distribution!$D$2,distribution!$B$2,IF(B424&lt;=distribution!$D$3,distribution!$B$3,distribution!$B$4))</f>
        <v>BC</v>
      </c>
      <c r="D424">
        <f t="shared" ca="1" si="49"/>
        <v>0.22466474091524014</v>
      </c>
      <c r="E424" t="str">
        <f ca="1">IF(D424&lt;=distribution!$D$5,distribution!$B$5,distribution!$B$6)</f>
        <v>A</v>
      </c>
      <c r="F424">
        <f t="shared" ca="1" si="50"/>
        <v>0.40413997455145656</v>
      </c>
      <c r="G424" t="str">
        <f ca="1">IF(F424&lt;=distribution!$D$7,distribution!$B$7,IF(F424&lt;=distribution!$D$8,distribution!$B$8,IF(F424&lt;=distribution!$D$9,distribution!$B$9,distribution!$B$10)))</f>
        <v>35-44</v>
      </c>
      <c r="H424">
        <f ca="1">VLOOKUP(G424,age_band!$A$1:$C$5,2,FALSE)</f>
        <v>35</v>
      </c>
      <c r="I424">
        <f ca="1">VLOOKUP(G424,age_band!$A$2:$C$5,3,FALSE)</f>
        <v>44</v>
      </c>
      <c r="J424">
        <f t="shared" ca="1" si="51"/>
        <v>41</v>
      </c>
      <c r="K424">
        <f t="shared" ca="1" si="52"/>
        <v>0.31382966515915833</v>
      </c>
      <c r="L424" t="str">
        <f ca="1">IF(K424&lt;=distribution!$D$11,distribution!$B$11,distribution!$B$12)</f>
        <v>N</v>
      </c>
      <c r="M424">
        <f t="shared" ca="1" si="53"/>
        <v>56220</v>
      </c>
      <c r="N424">
        <f t="shared" ca="1" si="54"/>
        <v>56220</v>
      </c>
    </row>
    <row r="425" spans="1:14" x14ac:dyDescent="0.45">
      <c r="A425">
        <f t="shared" si="55"/>
        <v>424</v>
      </c>
      <c r="B425">
        <f t="shared" ca="1" si="48"/>
        <v>7.7191910423531129E-2</v>
      </c>
      <c r="C425" t="str">
        <f ca="1">IF(B425&lt;=distribution!$D$2,distribution!$B$2,IF(B425&lt;=distribution!$D$3,distribution!$B$3,distribution!$B$4))</f>
        <v>ON</v>
      </c>
      <c r="D425">
        <f t="shared" ca="1" si="49"/>
        <v>0.24857980384115075</v>
      </c>
      <c r="E425" t="str">
        <f ca="1">IF(D425&lt;=distribution!$D$5,distribution!$B$5,distribution!$B$6)</f>
        <v>A</v>
      </c>
      <c r="F425">
        <f t="shared" ca="1" si="50"/>
        <v>0.49210535312920745</v>
      </c>
      <c r="G425" t="str">
        <f ca="1">IF(F425&lt;=distribution!$D$7,distribution!$B$7,IF(F425&lt;=distribution!$D$8,distribution!$B$8,IF(F425&lt;=distribution!$D$9,distribution!$B$9,distribution!$B$10)))</f>
        <v>35-44</v>
      </c>
      <c r="H425">
        <f ca="1">VLOOKUP(G425,age_band!$A$1:$C$5,2,FALSE)</f>
        <v>35</v>
      </c>
      <c r="I425">
        <f ca="1">VLOOKUP(G425,age_band!$A$2:$C$5,3,FALSE)</f>
        <v>44</v>
      </c>
      <c r="J425">
        <f t="shared" ca="1" si="51"/>
        <v>35</v>
      </c>
      <c r="K425">
        <f t="shared" ca="1" si="52"/>
        <v>4.8109778388392255E-2</v>
      </c>
      <c r="L425" t="str">
        <f ca="1">IF(K425&lt;=distribution!$D$11,distribution!$B$11,distribution!$B$12)</f>
        <v>N</v>
      </c>
      <c r="M425">
        <f t="shared" ca="1" si="53"/>
        <v>125239</v>
      </c>
      <c r="N425">
        <f t="shared" ca="1" si="54"/>
        <v>125239</v>
      </c>
    </row>
    <row r="426" spans="1:14" x14ac:dyDescent="0.45">
      <c r="A426">
        <f t="shared" si="55"/>
        <v>425</v>
      </c>
      <c r="B426">
        <f t="shared" ca="1" si="48"/>
        <v>0.16100816897128511</v>
      </c>
      <c r="C426" t="str">
        <f ca="1">IF(B426&lt;=distribution!$D$2,distribution!$B$2,IF(B426&lt;=distribution!$D$3,distribution!$B$3,distribution!$B$4))</f>
        <v>ON</v>
      </c>
      <c r="D426">
        <f t="shared" ca="1" si="49"/>
        <v>0.53459354849732288</v>
      </c>
      <c r="E426" t="str">
        <f ca="1">IF(D426&lt;=distribution!$D$5,distribution!$B$5,distribution!$B$6)</f>
        <v>A</v>
      </c>
      <c r="F426">
        <f t="shared" ca="1" si="50"/>
        <v>0.51558498287863186</v>
      </c>
      <c r="G426" t="str">
        <f ca="1">IF(F426&lt;=distribution!$D$7,distribution!$B$7,IF(F426&lt;=distribution!$D$8,distribution!$B$8,IF(F426&lt;=distribution!$D$9,distribution!$B$9,distribution!$B$10)))</f>
        <v>35-44</v>
      </c>
      <c r="H426">
        <f ca="1">VLOOKUP(G426,age_band!$A$1:$C$5,2,FALSE)</f>
        <v>35</v>
      </c>
      <c r="I426">
        <f ca="1">VLOOKUP(G426,age_band!$A$2:$C$5,3,FALSE)</f>
        <v>44</v>
      </c>
      <c r="J426">
        <f t="shared" ca="1" si="51"/>
        <v>44</v>
      </c>
      <c r="K426">
        <f t="shared" ca="1" si="52"/>
        <v>0.25807845642031879</v>
      </c>
      <c r="L426" t="str">
        <f ca="1">IF(K426&lt;=distribution!$D$11,distribution!$B$11,distribution!$B$12)</f>
        <v>N</v>
      </c>
      <c r="M426">
        <f t="shared" ca="1" si="53"/>
        <v>102298</v>
      </c>
      <c r="N426">
        <f t="shared" ca="1" si="54"/>
        <v>102298</v>
      </c>
    </row>
    <row r="427" spans="1:14" x14ac:dyDescent="0.45">
      <c r="A427">
        <f t="shared" si="55"/>
        <v>426</v>
      </c>
      <c r="B427">
        <f t="shared" ca="1" si="48"/>
        <v>0.22041873974018267</v>
      </c>
      <c r="C427" t="str">
        <f ca="1">IF(B427&lt;=distribution!$D$2,distribution!$B$2,IF(B427&lt;=distribution!$D$3,distribution!$B$3,distribution!$B$4))</f>
        <v>ON</v>
      </c>
      <c r="D427">
        <f t="shared" ca="1" si="49"/>
        <v>0.42262932005841169</v>
      </c>
      <c r="E427" t="str">
        <f ca="1">IF(D427&lt;=distribution!$D$5,distribution!$B$5,distribution!$B$6)</f>
        <v>A</v>
      </c>
      <c r="F427">
        <f t="shared" ca="1" si="50"/>
        <v>5.1940801867492281E-2</v>
      </c>
      <c r="G427" t="str">
        <f ca="1">IF(F427&lt;=distribution!$D$7,distribution!$B$7,IF(F427&lt;=distribution!$D$8,distribution!$B$8,IF(F427&lt;=distribution!$D$9,distribution!$B$9,distribution!$B$10)))</f>
        <v>25-34</v>
      </c>
      <c r="H427">
        <f ca="1">VLOOKUP(G427,age_band!$A$1:$C$5,2,FALSE)</f>
        <v>25</v>
      </c>
      <c r="I427">
        <f ca="1">VLOOKUP(G427,age_band!$A$2:$C$5,3,FALSE)</f>
        <v>34</v>
      </c>
      <c r="J427">
        <f t="shared" ca="1" si="51"/>
        <v>34</v>
      </c>
      <c r="K427">
        <f t="shared" ca="1" si="52"/>
        <v>0.75203913771654962</v>
      </c>
      <c r="L427" t="str">
        <f ca="1">IF(K427&lt;=distribution!$D$11,distribution!$B$11,distribution!$B$12)</f>
        <v>N</v>
      </c>
      <c r="M427">
        <f t="shared" ca="1" si="53"/>
        <v>112040</v>
      </c>
      <c r="N427">
        <f t="shared" ca="1" si="54"/>
        <v>112040</v>
      </c>
    </row>
    <row r="428" spans="1:14" x14ac:dyDescent="0.45">
      <c r="A428">
        <f t="shared" si="55"/>
        <v>427</v>
      </c>
      <c r="B428">
        <f t="shared" ca="1" si="48"/>
        <v>0.1388847033788625</v>
      </c>
      <c r="C428" t="str">
        <f ca="1">IF(B428&lt;=distribution!$D$2,distribution!$B$2,IF(B428&lt;=distribution!$D$3,distribution!$B$3,distribution!$B$4))</f>
        <v>ON</v>
      </c>
      <c r="D428">
        <f t="shared" ca="1" si="49"/>
        <v>0.6622327597262273</v>
      </c>
      <c r="E428" t="str">
        <f ca="1">IF(D428&lt;=distribution!$D$5,distribution!$B$5,distribution!$B$6)</f>
        <v>B</v>
      </c>
      <c r="F428">
        <f t="shared" ca="1" si="50"/>
        <v>0.41886092721352275</v>
      </c>
      <c r="G428" t="str">
        <f ca="1">IF(F428&lt;=distribution!$D$7,distribution!$B$7,IF(F428&lt;=distribution!$D$8,distribution!$B$8,IF(F428&lt;=distribution!$D$9,distribution!$B$9,distribution!$B$10)))</f>
        <v>35-44</v>
      </c>
      <c r="H428">
        <f ca="1">VLOOKUP(G428,age_band!$A$1:$C$5,2,FALSE)</f>
        <v>35</v>
      </c>
      <c r="I428">
        <f ca="1">VLOOKUP(G428,age_band!$A$2:$C$5,3,FALSE)</f>
        <v>44</v>
      </c>
      <c r="J428">
        <f t="shared" ca="1" si="51"/>
        <v>38</v>
      </c>
      <c r="K428">
        <f t="shared" ca="1" si="52"/>
        <v>8.888965153187034E-2</v>
      </c>
      <c r="L428" t="str">
        <f ca="1">IF(K428&lt;=distribution!$D$11,distribution!$B$11,distribution!$B$12)</f>
        <v>N</v>
      </c>
      <c r="M428">
        <f t="shared" ca="1" si="53"/>
        <v>71514</v>
      </c>
      <c r="N428">
        <f t="shared" ca="1" si="54"/>
        <v>71514</v>
      </c>
    </row>
    <row r="429" spans="1:14" x14ac:dyDescent="0.45">
      <c r="A429">
        <f t="shared" si="55"/>
        <v>428</v>
      </c>
      <c r="B429">
        <f t="shared" ca="1" si="48"/>
        <v>0.92168058253189833</v>
      </c>
      <c r="C429" t="str">
        <f ca="1">IF(B429&lt;=distribution!$D$2,distribution!$B$2,IF(B429&lt;=distribution!$D$3,distribution!$B$3,distribution!$B$4))</f>
        <v>BC</v>
      </c>
      <c r="D429">
        <f t="shared" ca="1" si="49"/>
        <v>0.61912385338340936</v>
      </c>
      <c r="E429" t="str">
        <f ca="1">IF(D429&lt;=distribution!$D$5,distribution!$B$5,distribution!$B$6)</f>
        <v>A</v>
      </c>
      <c r="F429">
        <f t="shared" ca="1" si="50"/>
        <v>0.46234781644321055</v>
      </c>
      <c r="G429" t="str">
        <f ca="1">IF(F429&lt;=distribution!$D$7,distribution!$B$7,IF(F429&lt;=distribution!$D$8,distribution!$B$8,IF(F429&lt;=distribution!$D$9,distribution!$B$9,distribution!$B$10)))</f>
        <v>35-44</v>
      </c>
      <c r="H429">
        <f ca="1">VLOOKUP(G429,age_band!$A$1:$C$5,2,FALSE)</f>
        <v>35</v>
      </c>
      <c r="I429">
        <f ca="1">VLOOKUP(G429,age_band!$A$2:$C$5,3,FALSE)</f>
        <v>44</v>
      </c>
      <c r="J429">
        <f t="shared" ca="1" si="51"/>
        <v>35</v>
      </c>
      <c r="K429">
        <f t="shared" ca="1" si="52"/>
        <v>0.37275274909767631</v>
      </c>
      <c r="L429" t="str">
        <f ca="1">IF(K429&lt;=distribution!$D$11,distribution!$B$11,distribution!$B$12)</f>
        <v>N</v>
      </c>
      <c r="M429">
        <f t="shared" ca="1" si="53"/>
        <v>120076</v>
      </c>
      <c r="N429">
        <f t="shared" ca="1" si="54"/>
        <v>120076</v>
      </c>
    </row>
    <row r="430" spans="1:14" x14ac:dyDescent="0.45">
      <c r="A430">
        <f t="shared" si="55"/>
        <v>429</v>
      </c>
      <c r="B430">
        <f t="shared" ca="1" si="48"/>
        <v>8.3514746469146139E-2</v>
      </c>
      <c r="C430" t="str">
        <f ca="1">IF(B430&lt;=distribution!$D$2,distribution!$B$2,IF(B430&lt;=distribution!$D$3,distribution!$B$3,distribution!$B$4))</f>
        <v>ON</v>
      </c>
      <c r="D430">
        <f t="shared" ca="1" si="49"/>
        <v>0.77214188170338838</v>
      </c>
      <c r="E430" t="str">
        <f ca="1">IF(D430&lt;=distribution!$D$5,distribution!$B$5,distribution!$B$6)</f>
        <v>B</v>
      </c>
      <c r="F430">
        <f t="shared" ca="1" si="50"/>
        <v>0.32766969474326235</v>
      </c>
      <c r="G430" t="str">
        <f ca="1">IF(F430&lt;=distribution!$D$7,distribution!$B$7,IF(F430&lt;=distribution!$D$8,distribution!$B$8,IF(F430&lt;=distribution!$D$9,distribution!$B$9,distribution!$B$10)))</f>
        <v>35-44</v>
      </c>
      <c r="H430">
        <f ca="1">VLOOKUP(G430,age_band!$A$1:$C$5,2,FALSE)</f>
        <v>35</v>
      </c>
      <c r="I430">
        <f ca="1">VLOOKUP(G430,age_band!$A$2:$C$5,3,FALSE)</f>
        <v>44</v>
      </c>
      <c r="J430">
        <f t="shared" ca="1" si="51"/>
        <v>40</v>
      </c>
      <c r="K430">
        <f t="shared" ca="1" si="52"/>
        <v>0.76493950173956449</v>
      </c>
      <c r="L430" t="str">
        <f ca="1">IF(K430&lt;=distribution!$D$11,distribution!$B$11,distribution!$B$12)</f>
        <v>N</v>
      </c>
      <c r="M430">
        <f t="shared" ca="1" si="53"/>
        <v>53512</v>
      </c>
      <c r="N430">
        <f t="shared" ca="1" si="54"/>
        <v>53512</v>
      </c>
    </row>
    <row r="431" spans="1:14" x14ac:dyDescent="0.45">
      <c r="A431">
        <f t="shared" si="55"/>
        <v>430</v>
      </c>
      <c r="B431">
        <f t="shared" ca="1" si="48"/>
        <v>0.61147064432079212</v>
      </c>
      <c r="C431" t="str">
        <f ca="1">IF(B431&lt;=distribution!$D$2,distribution!$B$2,IF(B431&lt;=distribution!$D$3,distribution!$B$3,distribution!$B$4))</f>
        <v>QC</v>
      </c>
      <c r="D431">
        <f t="shared" ca="1" si="49"/>
        <v>0.28358342339357268</v>
      </c>
      <c r="E431" t="str">
        <f ca="1">IF(D431&lt;=distribution!$D$5,distribution!$B$5,distribution!$B$6)</f>
        <v>A</v>
      </c>
      <c r="F431">
        <f t="shared" ca="1" si="50"/>
        <v>3.2711563984251346E-2</v>
      </c>
      <c r="G431" t="str">
        <f ca="1">IF(F431&lt;=distribution!$D$7,distribution!$B$7,IF(F431&lt;=distribution!$D$8,distribution!$B$8,IF(F431&lt;=distribution!$D$9,distribution!$B$9,distribution!$B$10)))</f>
        <v>25-34</v>
      </c>
      <c r="H431">
        <f ca="1">VLOOKUP(G431,age_band!$A$1:$C$5,2,FALSE)</f>
        <v>25</v>
      </c>
      <c r="I431">
        <f ca="1">VLOOKUP(G431,age_band!$A$2:$C$5,3,FALSE)</f>
        <v>34</v>
      </c>
      <c r="J431">
        <f t="shared" ca="1" si="51"/>
        <v>30</v>
      </c>
      <c r="K431">
        <f t="shared" ca="1" si="52"/>
        <v>5.3017692707423736E-2</v>
      </c>
      <c r="L431" t="str">
        <f ca="1">IF(K431&lt;=distribution!$D$11,distribution!$B$11,distribution!$B$12)</f>
        <v>N</v>
      </c>
      <c r="M431">
        <f t="shared" ca="1" si="53"/>
        <v>127667</v>
      </c>
      <c r="N431">
        <f t="shared" ca="1" si="54"/>
        <v>127667</v>
      </c>
    </row>
    <row r="432" spans="1:14" x14ac:dyDescent="0.45">
      <c r="A432">
        <f t="shared" si="55"/>
        <v>431</v>
      </c>
      <c r="B432">
        <f t="shared" ca="1" si="48"/>
        <v>0.55899587641265103</v>
      </c>
      <c r="C432" t="str">
        <f ca="1">IF(B432&lt;=distribution!$D$2,distribution!$B$2,IF(B432&lt;=distribution!$D$3,distribution!$B$3,distribution!$B$4))</f>
        <v>QC</v>
      </c>
      <c r="D432">
        <f t="shared" ca="1" si="49"/>
        <v>4.105794461760881E-2</v>
      </c>
      <c r="E432" t="str">
        <f ca="1">IF(D432&lt;=distribution!$D$5,distribution!$B$5,distribution!$B$6)</f>
        <v>A</v>
      </c>
      <c r="F432">
        <f t="shared" ca="1" si="50"/>
        <v>0.42946573090418583</v>
      </c>
      <c r="G432" t="str">
        <f ca="1">IF(F432&lt;=distribution!$D$7,distribution!$B$7,IF(F432&lt;=distribution!$D$8,distribution!$B$8,IF(F432&lt;=distribution!$D$9,distribution!$B$9,distribution!$B$10)))</f>
        <v>35-44</v>
      </c>
      <c r="H432">
        <f ca="1">VLOOKUP(G432,age_band!$A$1:$C$5,2,FALSE)</f>
        <v>35</v>
      </c>
      <c r="I432">
        <f ca="1">VLOOKUP(G432,age_band!$A$2:$C$5,3,FALSE)</f>
        <v>44</v>
      </c>
      <c r="J432">
        <f t="shared" ca="1" si="51"/>
        <v>37</v>
      </c>
      <c r="K432">
        <f t="shared" ca="1" si="52"/>
        <v>0.31299832880722511</v>
      </c>
      <c r="L432" t="str">
        <f ca="1">IF(K432&lt;=distribution!$D$11,distribution!$B$11,distribution!$B$12)</f>
        <v>N</v>
      </c>
      <c r="M432">
        <f t="shared" ca="1" si="53"/>
        <v>74370</v>
      </c>
      <c r="N432">
        <f t="shared" ca="1" si="54"/>
        <v>74370</v>
      </c>
    </row>
    <row r="433" spans="1:14" x14ac:dyDescent="0.45">
      <c r="A433">
        <f t="shared" si="55"/>
        <v>432</v>
      </c>
      <c r="B433">
        <f t="shared" ca="1" si="48"/>
        <v>0.87538488995681718</v>
      </c>
      <c r="C433" t="str">
        <f ca="1">IF(B433&lt;=distribution!$D$2,distribution!$B$2,IF(B433&lt;=distribution!$D$3,distribution!$B$3,distribution!$B$4))</f>
        <v>BC</v>
      </c>
      <c r="D433">
        <f t="shared" ca="1" si="49"/>
        <v>0.68669057290942837</v>
      </c>
      <c r="E433" t="str">
        <f ca="1">IF(D433&lt;=distribution!$D$5,distribution!$B$5,distribution!$B$6)</f>
        <v>B</v>
      </c>
      <c r="F433">
        <f t="shared" ca="1" si="50"/>
        <v>0.92295327761500001</v>
      </c>
      <c r="G433" t="str">
        <f ca="1">IF(F433&lt;=distribution!$D$7,distribution!$B$7,IF(F433&lt;=distribution!$D$8,distribution!$B$8,IF(F433&lt;=distribution!$D$9,distribution!$B$9,distribution!$B$10)))</f>
        <v>55-64</v>
      </c>
      <c r="H433">
        <f ca="1">VLOOKUP(G433,age_band!$A$1:$C$5,2,FALSE)</f>
        <v>55</v>
      </c>
      <c r="I433">
        <f ca="1">VLOOKUP(G433,age_band!$A$2:$C$5,3,FALSE)</f>
        <v>64</v>
      </c>
      <c r="J433">
        <f t="shared" ca="1" si="51"/>
        <v>61</v>
      </c>
      <c r="K433">
        <f t="shared" ca="1" si="52"/>
        <v>0.37613674814749587</v>
      </c>
      <c r="L433" t="str">
        <f ca="1">IF(K433&lt;=distribution!$D$11,distribution!$B$11,distribution!$B$12)</f>
        <v>N</v>
      </c>
      <c r="M433">
        <f t="shared" ca="1" si="53"/>
        <v>49890</v>
      </c>
      <c r="N433">
        <f t="shared" ca="1" si="54"/>
        <v>49890</v>
      </c>
    </row>
    <row r="434" spans="1:14" x14ac:dyDescent="0.45">
      <c r="A434">
        <f t="shared" si="55"/>
        <v>433</v>
      </c>
      <c r="B434">
        <f t="shared" ca="1" si="48"/>
        <v>0.87484423646101706</v>
      </c>
      <c r="C434" t="str">
        <f ca="1">IF(B434&lt;=distribution!$D$2,distribution!$B$2,IF(B434&lt;=distribution!$D$3,distribution!$B$3,distribution!$B$4))</f>
        <v>BC</v>
      </c>
      <c r="D434">
        <f t="shared" ca="1" si="49"/>
        <v>0.63846594281583846</v>
      </c>
      <c r="E434" t="str">
        <f ca="1">IF(D434&lt;=distribution!$D$5,distribution!$B$5,distribution!$B$6)</f>
        <v>A</v>
      </c>
      <c r="F434">
        <f t="shared" ca="1" si="50"/>
        <v>0.74547641557644562</v>
      </c>
      <c r="G434" t="str">
        <f ca="1">IF(F434&lt;=distribution!$D$7,distribution!$B$7,IF(F434&lt;=distribution!$D$8,distribution!$B$8,IF(F434&lt;=distribution!$D$9,distribution!$B$9,distribution!$B$10)))</f>
        <v>45-54</v>
      </c>
      <c r="H434">
        <f ca="1">VLOOKUP(G434,age_band!$A$1:$C$5,2,FALSE)</f>
        <v>45</v>
      </c>
      <c r="I434">
        <f ca="1">VLOOKUP(G434,age_band!$A$2:$C$5,3,FALSE)</f>
        <v>54</v>
      </c>
      <c r="J434">
        <f t="shared" ca="1" si="51"/>
        <v>52</v>
      </c>
      <c r="K434">
        <f t="shared" ca="1" si="52"/>
        <v>0.24996057526993698</v>
      </c>
      <c r="L434" t="str">
        <f ca="1">IF(K434&lt;=distribution!$D$11,distribution!$B$11,distribution!$B$12)</f>
        <v>N</v>
      </c>
      <c r="M434">
        <f t="shared" ca="1" si="53"/>
        <v>94423</v>
      </c>
      <c r="N434">
        <f t="shared" ca="1" si="54"/>
        <v>94423</v>
      </c>
    </row>
    <row r="435" spans="1:14" x14ac:dyDescent="0.45">
      <c r="A435">
        <f t="shared" si="55"/>
        <v>434</v>
      </c>
      <c r="B435">
        <f t="shared" ca="1" si="48"/>
        <v>0.95499785117345593</v>
      </c>
      <c r="C435" t="str">
        <f ca="1">IF(B435&lt;=distribution!$D$2,distribution!$B$2,IF(B435&lt;=distribution!$D$3,distribution!$B$3,distribution!$B$4))</f>
        <v>BC</v>
      </c>
      <c r="D435">
        <f t="shared" ca="1" si="49"/>
        <v>0.64719358220874135</v>
      </c>
      <c r="E435" t="str">
        <f ca="1">IF(D435&lt;=distribution!$D$5,distribution!$B$5,distribution!$B$6)</f>
        <v>A</v>
      </c>
      <c r="F435">
        <f t="shared" ca="1" si="50"/>
        <v>0.75047457789845595</v>
      </c>
      <c r="G435" t="str">
        <f ca="1">IF(F435&lt;=distribution!$D$7,distribution!$B$7,IF(F435&lt;=distribution!$D$8,distribution!$B$8,IF(F435&lt;=distribution!$D$9,distribution!$B$9,distribution!$B$10)))</f>
        <v>45-54</v>
      </c>
      <c r="H435">
        <f ca="1">VLOOKUP(G435,age_band!$A$1:$C$5,2,FALSE)</f>
        <v>45</v>
      </c>
      <c r="I435">
        <f ca="1">VLOOKUP(G435,age_band!$A$2:$C$5,3,FALSE)</f>
        <v>54</v>
      </c>
      <c r="J435">
        <f t="shared" ca="1" si="51"/>
        <v>53</v>
      </c>
      <c r="K435">
        <f t="shared" ca="1" si="52"/>
        <v>0.2775930902564987</v>
      </c>
      <c r="L435" t="str">
        <f ca="1">IF(K435&lt;=distribution!$D$11,distribution!$B$11,distribution!$B$12)</f>
        <v>N</v>
      </c>
      <c r="M435">
        <f t="shared" ca="1" si="53"/>
        <v>116720</v>
      </c>
      <c r="N435">
        <f t="shared" ca="1" si="54"/>
        <v>116720</v>
      </c>
    </row>
    <row r="436" spans="1:14" x14ac:dyDescent="0.45">
      <c r="A436">
        <f t="shared" si="55"/>
        <v>435</v>
      </c>
      <c r="B436">
        <f t="shared" ca="1" si="48"/>
        <v>0.5440266054743863</v>
      </c>
      <c r="C436" t="str">
        <f ca="1">IF(B436&lt;=distribution!$D$2,distribution!$B$2,IF(B436&lt;=distribution!$D$3,distribution!$B$3,distribution!$B$4))</f>
        <v>ON</v>
      </c>
      <c r="D436">
        <f t="shared" ca="1" si="49"/>
        <v>0.62671487494499756</v>
      </c>
      <c r="E436" t="str">
        <f ca="1">IF(D436&lt;=distribution!$D$5,distribution!$B$5,distribution!$B$6)</f>
        <v>A</v>
      </c>
      <c r="F436">
        <f t="shared" ca="1" si="50"/>
        <v>0.81137257636841098</v>
      </c>
      <c r="G436" t="str">
        <f ca="1">IF(F436&lt;=distribution!$D$7,distribution!$B$7,IF(F436&lt;=distribution!$D$8,distribution!$B$8,IF(F436&lt;=distribution!$D$9,distribution!$B$9,distribution!$B$10)))</f>
        <v>45-54</v>
      </c>
      <c r="H436">
        <f ca="1">VLOOKUP(G436,age_band!$A$1:$C$5,2,FALSE)</f>
        <v>45</v>
      </c>
      <c r="I436">
        <f ca="1">VLOOKUP(G436,age_band!$A$2:$C$5,3,FALSE)</f>
        <v>54</v>
      </c>
      <c r="J436">
        <f t="shared" ca="1" si="51"/>
        <v>52</v>
      </c>
      <c r="K436">
        <f t="shared" ca="1" si="52"/>
        <v>0.42394842991300208</v>
      </c>
      <c r="L436" t="str">
        <f ca="1">IF(K436&lt;=distribution!$D$11,distribution!$B$11,distribution!$B$12)</f>
        <v>N</v>
      </c>
      <c r="M436">
        <f t="shared" ca="1" si="53"/>
        <v>120536</v>
      </c>
      <c r="N436">
        <f t="shared" ca="1" si="54"/>
        <v>120536</v>
      </c>
    </row>
    <row r="437" spans="1:14" x14ac:dyDescent="0.45">
      <c r="A437">
        <f t="shared" si="55"/>
        <v>436</v>
      </c>
      <c r="B437">
        <f t="shared" ca="1" si="48"/>
        <v>0.66682430425023076</v>
      </c>
      <c r="C437" t="str">
        <f ca="1">IF(B437&lt;=distribution!$D$2,distribution!$B$2,IF(B437&lt;=distribution!$D$3,distribution!$B$3,distribution!$B$4))</f>
        <v>QC</v>
      </c>
      <c r="D437">
        <f t="shared" ca="1" si="49"/>
        <v>0.44648281809326817</v>
      </c>
      <c r="E437" t="str">
        <f ca="1">IF(D437&lt;=distribution!$D$5,distribution!$B$5,distribution!$B$6)</f>
        <v>A</v>
      </c>
      <c r="F437">
        <f t="shared" ca="1" si="50"/>
        <v>0.75314314078161515</v>
      </c>
      <c r="G437" t="str">
        <f ca="1">IF(F437&lt;=distribution!$D$7,distribution!$B$7,IF(F437&lt;=distribution!$D$8,distribution!$B$8,IF(F437&lt;=distribution!$D$9,distribution!$B$9,distribution!$B$10)))</f>
        <v>45-54</v>
      </c>
      <c r="H437">
        <f ca="1">VLOOKUP(G437,age_band!$A$1:$C$5,2,FALSE)</f>
        <v>45</v>
      </c>
      <c r="I437">
        <f ca="1">VLOOKUP(G437,age_band!$A$2:$C$5,3,FALSE)</f>
        <v>54</v>
      </c>
      <c r="J437">
        <f t="shared" ca="1" si="51"/>
        <v>48</v>
      </c>
      <c r="K437">
        <f t="shared" ca="1" si="52"/>
        <v>0.89385277444836975</v>
      </c>
      <c r="L437" t="str">
        <f ca="1">IF(K437&lt;=distribution!$D$11,distribution!$B$11,distribution!$B$12)</f>
        <v>Y</v>
      </c>
      <c r="M437">
        <f t="shared" ca="1" si="53"/>
        <v>112130</v>
      </c>
      <c r="N437">
        <f t="shared" ca="1" si="54"/>
        <v>112130</v>
      </c>
    </row>
    <row r="438" spans="1:14" x14ac:dyDescent="0.45">
      <c r="A438">
        <f t="shared" si="55"/>
        <v>437</v>
      </c>
      <c r="B438">
        <f t="shared" ca="1" si="48"/>
        <v>0.93024855296720921</v>
      </c>
      <c r="C438" t="str">
        <f ca="1">IF(B438&lt;=distribution!$D$2,distribution!$B$2,IF(B438&lt;=distribution!$D$3,distribution!$B$3,distribution!$B$4))</f>
        <v>BC</v>
      </c>
      <c r="D438">
        <f t="shared" ca="1" si="49"/>
        <v>0.86844905333979094</v>
      </c>
      <c r="E438" t="str">
        <f ca="1">IF(D438&lt;=distribution!$D$5,distribution!$B$5,distribution!$B$6)</f>
        <v>B</v>
      </c>
      <c r="F438">
        <f t="shared" ca="1" si="50"/>
        <v>0.88782838931399621</v>
      </c>
      <c r="G438" t="str">
        <f ca="1">IF(F438&lt;=distribution!$D$7,distribution!$B$7,IF(F438&lt;=distribution!$D$8,distribution!$B$8,IF(F438&lt;=distribution!$D$9,distribution!$B$9,distribution!$B$10)))</f>
        <v>55-64</v>
      </c>
      <c r="H438">
        <f ca="1">VLOOKUP(G438,age_band!$A$1:$C$5,2,FALSE)</f>
        <v>55</v>
      </c>
      <c r="I438">
        <f ca="1">VLOOKUP(G438,age_band!$A$2:$C$5,3,FALSE)</f>
        <v>64</v>
      </c>
      <c r="J438">
        <f t="shared" ca="1" si="51"/>
        <v>59</v>
      </c>
      <c r="K438">
        <f t="shared" ca="1" si="52"/>
        <v>0.81070461444192876</v>
      </c>
      <c r="L438" t="str">
        <f ca="1">IF(K438&lt;=distribution!$D$11,distribution!$B$11,distribution!$B$12)</f>
        <v>N</v>
      </c>
      <c r="M438">
        <f t="shared" ca="1" si="53"/>
        <v>60213</v>
      </c>
      <c r="N438">
        <f t="shared" ca="1" si="54"/>
        <v>60213</v>
      </c>
    </row>
    <row r="439" spans="1:14" x14ac:dyDescent="0.45">
      <c r="A439">
        <f t="shared" si="55"/>
        <v>438</v>
      </c>
      <c r="B439">
        <f t="shared" ca="1" si="48"/>
        <v>0.38097282752460992</v>
      </c>
      <c r="C439" t="str">
        <f ca="1">IF(B439&lt;=distribution!$D$2,distribution!$B$2,IF(B439&lt;=distribution!$D$3,distribution!$B$3,distribution!$B$4))</f>
        <v>ON</v>
      </c>
      <c r="D439">
        <f t="shared" ca="1" si="49"/>
        <v>0.56590824358943748</v>
      </c>
      <c r="E439" t="str">
        <f ca="1">IF(D439&lt;=distribution!$D$5,distribution!$B$5,distribution!$B$6)</f>
        <v>A</v>
      </c>
      <c r="F439">
        <f t="shared" ca="1" si="50"/>
        <v>0.61150310588516654</v>
      </c>
      <c r="G439" t="str">
        <f ca="1">IF(F439&lt;=distribution!$D$7,distribution!$B$7,IF(F439&lt;=distribution!$D$8,distribution!$B$8,IF(F439&lt;=distribution!$D$9,distribution!$B$9,distribution!$B$10)))</f>
        <v>45-54</v>
      </c>
      <c r="H439">
        <f ca="1">VLOOKUP(G439,age_band!$A$1:$C$5,2,FALSE)</f>
        <v>45</v>
      </c>
      <c r="I439">
        <f ca="1">VLOOKUP(G439,age_band!$A$2:$C$5,3,FALSE)</f>
        <v>54</v>
      </c>
      <c r="J439">
        <f t="shared" ca="1" si="51"/>
        <v>53</v>
      </c>
      <c r="K439">
        <f t="shared" ca="1" si="52"/>
        <v>0.40910688626869796</v>
      </c>
      <c r="L439" t="str">
        <f ca="1">IF(K439&lt;=distribution!$D$11,distribution!$B$11,distribution!$B$12)</f>
        <v>N</v>
      </c>
      <c r="M439">
        <f t="shared" ca="1" si="53"/>
        <v>84454</v>
      </c>
      <c r="N439">
        <f t="shared" ca="1" si="54"/>
        <v>84454</v>
      </c>
    </row>
    <row r="440" spans="1:14" x14ac:dyDescent="0.45">
      <c r="A440">
        <f t="shared" si="55"/>
        <v>439</v>
      </c>
      <c r="B440">
        <f t="shared" ca="1" si="48"/>
        <v>0.10105557664987352</v>
      </c>
      <c r="C440" t="str">
        <f ca="1">IF(B440&lt;=distribution!$D$2,distribution!$B$2,IF(B440&lt;=distribution!$D$3,distribution!$B$3,distribution!$B$4))</f>
        <v>ON</v>
      </c>
      <c r="D440">
        <f t="shared" ca="1" si="49"/>
        <v>0.85555141945686741</v>
      </c>
      <c r="E440" t="str">
        <f ca="1">IF(D440&lt;=distribution!$D$5,distribution!$B$5,distribution!$B$6)</f>
        <v>B</v>
      </c>
      <c r="F440">
        <f t="shared" ca="1" si="50"/>
        <v>0.40480816146917165</v>
      </c>
      <c r="G440" t="str">
        <f ca="1">IF(F440&lt;=distribution!$D$7,distribution!$B$7,IF(F440&lt;=distribution!$D$8,distribution!$B$8,IF(F440&lt;=distribution!$D$9,distribution!$B$9,distribution!$B$10)))</f>
        <v>35-44</v>
      </c>
      <c r="H440">
        <f ca="1">VLOOKUP(G440,age_band!$A$1:$C$5,2,FALSE)</f>
        <v>35</v>
      </c>
      <c r="I440">
        <f ca="1">VLOOKUP(G440,age_band!$A$2:$C$5,3,FALSE)</f>
        <v>44</v>
      </c>
      <c r="J440">
        <f t="shared" ca="1" si="51"/>
        <v>35</v>
      </c>
      <c r="K440">
        <f t="shared" ca="1" si="52"/>
        <v>0.94913640915062603</v>
      </c>
      <c r="L440" t="str">
        <f ca="1">IF(K440&lt;=distribution!$D$11,distribution!$B$11,distribution!$B$12)</f>
        <v>Y</v>
      </c>
      <c r="M440">
        <f t="shared" ca="1" si="53"/>
        <v>70088</v>
      </c>
      <c r="N440">
        <f t="shared" ca="1" si="54"/>
        <v>70088</v>
      </c>
    </row>
    <row r="441" spans="1:14" x14ac:dyDescent="0.45">
      <c r="A441">
        <f t="shared" si="55"/>
        <v>440</v>
      </c>
      <c r="B441">
        <f t="shared" ca="1" si="48"/>
        <v>0.4123074335942819</v>
      </c>
      <c r="C441" t="str">
        <f ca="1">IF(B441&lt;=distribution!$D$2,distribution!$B$2,IF(B441&lt;=distribution!$D$3,distribution!$B$3,distribution!$B$4))</f>
        <v>ON</v>
      </c>
      <c r="D441">
        <f t="shared" ca="1" si="49"/>
        <v>0.51672916198696006</v>
      </c>
      <c r="E441" t="str">
        <f ca="1">IF(D441&lt;=distribution!$D$5,distribution!$B$5,distribution!$B$6)</f>
        <v>A</v>
      </c>
      <c r="F441">
        <f t="shared" ca="1" si="50"/>
        <v>0.9199564034545572</v>
      </c>
      <c r="G441" t="str">
        <f ca="1">IF(F441&lt;=distribution!$D$7,distribution!$B$7,IF(F441&lt;=distribution!$D$8,distribution!$B$8,IF(F441&lt;=distribution!$D$9,distribution!$B$9,distribution!$B$10)))</f>
        <v>55-64</v>
      </c>
      <c r="H441">
        <f ca="1">VLOOKUP(G441,age_band!$A$1:$C$5,2,FALSE)</f>
        <v>55</v>
      </c>
      <c r="I441">
        <f ca="1">VLOOKUP(G441,age_band!$A$2:$C$5,3,FALSE)</f>
        <v>64</v>
      </c>
      <c r="J441">
        <f t="shared" ca="1" si="51"/>
        <v>64</v>
      </c>
      <c r="K441">
        <f t="shared" ca="1" si="52"/>
        <v>0.64038022158632735</v>
      </c>
      <c r="L441" t="str">
        <f ca="1">IF(K441&lt;=distribution!$D$11,distribution!$B$11,distribution!$B$12)</f>
        <v>N</v>
      </c>
      <c r="M441">
        <f t="shared" ca="1" si="53"/>
        <v>101402</v>
      </c>
      <c r="N441">
        <f t="shared" ca="1" si="54"/>
        <v>101402</v>
      </c>
    </row>
    <row r="442" spans="1:14" x14ac:dyDescent="0.45">
      <c r="A442">
        <f t="shared" si="55"/>
        <v>441</v>
      </c>
      <c r="B442">
        <f t="shared" ca="1" si="48"/>
        <v>0.87354824916519702</v>
      </c>
      <c r="C442" t="str">
        <f ca="1">IF(B442&lt;=distribution!$D$2,distribution!$B$2,IF(B442&lt;=distribution!$D$3,distribution!$B$3,distribution!$B$4))</f>
        <v>BC</v>
      </c>
      <c r="D442">
        <f t="shared" ca="1" si="49"/>
        <v>0.53339247216659469</v>
      </c>
      <c r="E442" t="str">
        <f ca="1">IF(D442&lt;=distribution!$D$5,distribution!$B$5,distribution!$B$6)</f>
        <v>A</v>
      </c>
      <c r="F442">
        <f t="shared" ca="1" si="50"/>
        <v>0.96952954766607746</v>
      </c>
      <c r="G442" t="str">
        <f ca="1">IF(F442&lt;=distribution!$D$7,distribution!$B$7,IF(F442&lt;=distribution!$D$8,distribution!$B$8,IF(F442&lt;=distribution!$D$9,distribution!$B$9,distribution!$B$10)))</f>
        <v>55-64</v>
      </c>
      <c r="H442">
        <f ca="1">VLOOKUP(G442,age_band!$A$1:$C$5,2,FALSE)</f>
        <v>55</v>
      </c>
      <c r="I442">
        <f ca="1">VLOOKUP(G442,age_band!$A$2:$C$5,3,FALSE)</f>
        <v>64</v>
      </c>
      <c r="J442">
        <f t="shared" ca="1" si="51"/>
        <v>63</v>
      </c>
      <c r="K442">
        <f t="shared" ca="1" si="52"/>
        <v>0.60088119586446231</v>
      </c>
      <c r="L442" t="str">
        <f ca="1">IF(K442&lt;=distribution!$D$11,distribution!$B$11,distribution!$B$12)</f>
        <v>N</v>
      </c>
      <c r="M442">
        <f t="shared" ca="1" si="53"/>
        <v>127635</v>
      </c>
      <c r="N442">
        <f t="shared" ca="1" si="54"/>
        <v>127635</v>
      </c>
    </row>
    <row r="443" spans="1:14" x14ac:dyDescent="0.45">
      <c r="A443">
        <f t="shared" si="55"/>
        <v>442</v>
      </c>
      <c r="B443">
        <f t="shared" ca="1" si="48"/>
        <v>0.85534975404196156</v>
      </c>
      <c r="C443" t="str">
        <f ca="1">IF(B443&lt;=distribution!$D$2,distribution!$B$2,IF(B443&lt;=distribution!$D$3,distribution!$B$3,distribution!$B$4))</f>
        <v>BC</v>
      </c>
      <c r="D443">
        <f t="shared" ca="1" si="49"/>
        <v>0.35936879036179625</v>
      </c>
      <c r="E443" t="str">
        <f ca="1">IF(D443&lt;=distribution!$D$5,distribution!$B$5,distribution!$B$6)</f>
        <v>A</v>
      </c>
      <c r="F443">
        <f t="shared" ca="1" si="50"/>
        <v>0.93681245954162551</v>
      </c>
      <c r="G443" t="str">
        <f ca="1">IF(F443&lt;=distribution!$D$7,distribution!$B$7,IF(F443&lt;=distribution!$D$8,distribution!$B$8,IF(F443&lt;=distribution!$D$9,distribution!$B$9,distribution!$B$10)))</f>
        <v>55-64</v>
      </c>
      <c r="H443">
        <f ca="1">VLOOKUP(G443,age_band!$A$1:$C$5,2,FALSE)</f>
        <v>55</v>
      </c>
      <c r="I443">
        <f ca="1">VLOOKUP(G443,age_band!$A$2:$C$5,3,FALSE)</f>
        <v>64</v>
      </c>
      <c r="J443">
        <f t="shared" ca="1" si="51"/>
        <v>59</v>
      </c>
      <c r="K443">
        <f t="shared" ca="1" si="52"/>
        <v>0.86745960412880696</v>
      </c>
      <c r="L443" t="str">
        <f ca="1">IF(K443&lt;=distribution!$D$11,distribution!$B$11,distribution!$B$12)</f>
        <v>Y</v>
      </c>
      <c r="M443">
        <f t="shared" ca="1" si="53"/>
        <v>121498</v>
      </c>
      <c r="N443">
        <f t="shared" ca="1" si="54"/>
        <v>121498</v>
      </c>
    </row>
    <row r="444" spans="1:14" x14ac:dyDescent="0.45">
      <c r="A444">
        <f t="shared" si="55"/>
        <v>443</v>
      </c>
      <c r="B444">
        <f t="shared" ca="1" si="48"/>
        <v>0.24784535149440257</v>
      </c>
      <c r="C444" t="str">
        <f ca="1">IF(B444&lt;=distribution!$D$2,distribution!$B$2,IF(B444&lt;=distribution!$D$3,distribution!$B$3,distribution!$B$4))</f>
        <v>ON</v>
      </c>
      <c r="D444">
        <f t="shared" ca="1" si="49"/>
        <v>0.40487911850653346</v>
      </c>
      <c r="E444" t="str">
        <f ca="1">IF(D444&lt;=distribution!$D$5,distribution!$B$5,distribution!$B$6)</f>
        <v>A</v>
      </c>
      <c r="F444">
        <f t="shared" ca="1" si="50"/>
        <v>0.45966037830972162</v>
      </c>
      <c r="G444" t="str">
        <f ca="1">IF(F444&lt;=distribution!$D$7,distribution!$B$7,IF(F444&lt;=distribution!$D$8,distribution!$B$8,IF(F444&lt;=distribution!$D$9,distribution!$B$9,distribution!$B$10)))</f>
        <v>35-44</v>
      </c>
      <c r="H444">
        <f ca="1">VLOOKUP(G444,age_band!$A$1:$C$5,2,FALSE)</f>
        <v>35</v>
      </c>
      <c r="I444">
        <f ca="1">VLOOKUP(G444,age_band!$A$2:$C$5,3,FALSE)</f>
        <v>44</v>
      </c>
      <c r="J444">
        <f t="shared" ca="1" si="51"/>
        <v>43</v>
      </c>
      <c r="K444">
        <f t="shared" ca="1" si="52"/>
        <v>7.3419211194346579E-3</v>
      </c>
      <c r="L444" t="str">
        <f ca="1">IF(K444&lt;=distribution!$D$11,distribution!$B$11,distribution!$B$12)</f>
        <v>N</v>
      </c>
      <c r="M444">
        <f t="shared" ca="1" si="53"/>
        <v>83779</v>
      </c>
      <c r="N444">
        <f t="shared" ca="1" si="54"/>
        <v>83779</v>
      </c>
    </row>
    <row r="445" spans="1:14" x14ac:dyDescent="0.45">
      <c r="A445">
        <f t="shared" si="55"/>
        <v>444</v>
      </c>
      <c r="B445">
        <f t="shared" ca="1" si="48"/>
        <v>0.88040376205979276</v>
      </c>
      <c r="C445" t="str">
        <f ca="1">IF(B445&lt;=distribution!$D$2,distribution!$B$2,IF(B445&lt;=distribution!$D$3,distribution!$B$3,distribution!$B$4))</f>
        <v>BC</v>
      </c>
      <c r="D445">
        <f t="shared" ca="1" si="49"/>
        <v>0.66731480242638441</v>
      </c>
      <c r="E445" t="str">
        <f ca="1">IF(D445&lt;=distribution!$D$5,distribution!$B$5,distribution!$B$6)</f>
        <v>B</v>
      </c>
      <c r="F445">
        <f t="shared" ca="1" si="50"/>
        <v>6.0853431013084158E-2</v>
      </c>
      <c r="G445" t="str">
        <f ca="1">IF(F445&lt;=distribution!$D$7,distribution!$B$7,IF(F445&lt;=distribution!$D$8,distribution!$B$8,IF(F445&lt;=distribution!$D$9,distribution!$B$9,distribution!$B$10)))</f>
        <v>25-34</v>
      </c>
      <c r="H445">
        <f ca="1">VLOOKUP(G445,age_band!$A$1:$C$5,2,FALSE)</f>
        <v>25</v>
      </c>
      <c r="I445">
        <f ca="1">VLOOKUP(G445,age_band!$A$2:$C$5,3,FALSE)</f>
        <v>34</v>
      </c>
      <c r="J445">
        <f t="shared" ca="1" si="51"/>
        <v>30</v>
      </c>
      <c r="K445">
        <f t="shared" ca="1" si="52"/>
        <v>9.7399083090056182E-3</v>
      </c>
      <c r="L445" t="str">
        <f ca="1">IF(K445&lt;=distribution!$D$11,distribution!$B$11,distribution!$B$12)</f>
        <v>N</v>
      </c>
      <c r="M445">
        <f t="shared" ca="1" si="53"/>
        <v>68460</v>
      </c>
      <c r="N445">
        <f t="shared" ca="1" si="54"/>
        <v>68460</v>
      </c>
    </row>
    <row r="446" spans="1:14" x14ac:dyDescent="0.45">
      <c r="A446">
        <f t="shared" si="55"/>
        <v>445</v>
      </c>
      <c r="B446">
        <f t="shared" ca="1" si="48"/>
        <v>0.21368632950359157</v>
      </c>
      <c r="C446" t="str">
        <f ca="1">IF(B446&lt;=distribution!$D$2,distribution!$B$2,IF(B446&lt;=distribution!$D$3,distribution!$B$3,distribution!$B$4))</f>
        <v>ON</v>
      </c>
      <c r="D446">
        <f t="shared" ca="1" si="49"/>
        <v>7.4374954666621917E-2</v>
      </c>
      <c r="E446" t="str">
        <f ca="1">IF(D446&lt;=distribution!$D$5,distribution!$B$5,distribution!$B$6)</f>
        <v>A</v>
      </c>
      <c r="F446">
        <f t="shared" ca="1" si="50"/>
        <v>0.37023646271905475</v>
      </c>
      <c r="G446" t="str">
        <f ca="1">IF(F446&lt;=distribution!$D$7,distribution!$B$7,IF(F446&lt;=distribution!$D$8,distribution!$B$8,IF(F446&lt;=distribution!$D$9,distribution!$B$9,distribution!$B$10)))</f>
        <v>35-44</v>
      </c>
      <c r="H446">
        <f ca="1">VLOOKUP(G446,age_band!$A$1:$C$5,2,FALSE)</f>
        <v>35</v>
      </c>
      <c r="I446">
        <f ca="1">VLOOKUP(G446,age_band!$A$2:$C$5,3,FALSE)</f>
        <v>44</v>
      </c>
      <c r="J446">
        <f t="shared" ca="1" si="51"/>
        <v>42</v>
      </c>
      <c r="K446">
        <f t="shared" ca="1" si="52"/>
        <v>0.18623218374764638</v>
      </c>
      <c r="L446" t="str">
        <f ca="1">IF(K446&lt;=distribution!$D$11,distribution!$B$11,distribution!$B$12)</f>
        <v>N</v>
      </c>
      <c r="M446">
        <f t="shared" ca="1" si="53"/>
        <v>58609</v>
      </c>
      <c r="N446">
        <f t="shared" ca="1" si="54"/>
        <v>58609</v>
      </c>
    </row>
    <row r="447" spans="1:14" x14ac:dyDescent="0.45">
      <c r="A447">
        <f t="shared" si="55"/>
        <v>446</v>
      </c>
      <c r="B447">
        <f t="shared" ca="1" si="48"/>
        <v>0.91304815810888462</v>
      </c>
      <c r="C447" t="str">
        <f ca="1">IF(B447&lt;=distribution!$D$2,distribution!$B$2,IF(B447&lt;=distribution!$D$3,distribution!$B$3,distribution!$B$4))</f>
        <v>BC</v>
      </c>
      <c r="D447">
        <f t="shared" ca="1" si="49"/>
        <v>0.71856304351900491</v>
      </c>
      <c r="E447" t="str">
        <f ca="1">IF(D447&lt;=distribution!$D$5,distribution!$B$5,distribution!$B$6)</f>
        <v>B</v>
      </c>
      <c r="F447">
        <f t="shared" ca="1" si="50"/>
        <v>0.7571825221547932</v>
      </c>
      <c r="G447" t="str">
        <f ca="1">IF(F447&lt;=distribution!$D$7,distribution!$B$7,IF(F447&lt;=distribution!$D$8,distribution!$B$8,IF(F447&lt;=distribution!$D$9,distribution!$B$9,distribution!$B$10)))</f>
        <v>45-54</v>
      </c>
      <c r="H447">
        <f ca="1">VLOOKUP(G447,age_band!$A$1:$C$5,2,FALSE)</f>
        <v>45</v>
      </c>
      <c r="I447">
        <f ca="1">VLOOKUP(G447,age_band!$A$2:$C$5,3,FALSE)</f>
        <v>54</v>
      </c>
      <c r="J447">
        <f t="shared" ca="1" si="51"/>
        <v>51</v>
      </c>
      <c r="K447">
        <f t="shared" ca="1" si="52"/>
        <v>0.55685226658782339</v>
      </c>
      <c r="L447" t="str">
        <f ca="1">IF(K447&lt;=distribution!$D$11,distribution!$B$11,distribution!$B$12)</f>
        <v>N</v>
      </c>
      <c r="M447">
        <f t="shared" ca="1" si="53"/>
        <v>63063</v>
      </c>
      <c r="N447">
        <f t="shared" ca="1" si="54"/>
        <v>63063</v>
      </c>
    </row>
    <row r="448" spans="1:14" x14ac:dyDescent="0.45">
      <c r="A448">
        <f t="shared" si="55"/>
        <v>447</v>
      </c>
      <c r="B448">
        <f t="shared" ca="1" si="48"/>
        <v>7.8164133618020326E-2</v>
      </c>
      <c r="C448" t="str">
        <f ca="1">IF(B448&lt;=distribution!$D$2,distribution!$B$2,IF(B448&lt;=distribution!$D$3,distribution!$B$3,distribution!$B$4))</f>
        <v>ON</v>
      </c>
      <c r="D448">
        <f t="shared" ca="1" si="49"/>
        <v>0.87412626180633757</v>
      </c>
      <c r="E448" t="str">
        <f ca="1">IF(D448&lt;=distribution!$D$5,distribution!$B$5,distribution!$B$6)</f>
        <v>B</v>
      </c>
      <c r="F448">
        <f t="shared" ca="1" si="50"/>
        <v>0.86879293141359537</v>
      </c>
      <c r="G448" t="str">
        <f ca="1">IF(F448&lt;=distribution!$D$7,distribution!$B$7,IF(F448&lt;=distribution!$D$8,distribution!$B$8,IF(F448&lt;=distribution!$D$9,distribution!$B$9,distribution!$B$10)))</f>
        <v>55-64</v>
      </c>
      <c r="H448">
        <f ca="1">VLOOKUP(G448,age_band!$A$1:$C$5,2,FALSE)</f>
        <v>55</v>
      </c>
      <c r="I448">
        <f ca="1">VLOOKUP(G448,age_band!$A$2:$C$5,3,FALSE)</f>
        <v>64</v>
      </c>
      <c r="J448">
        <f t="shared" ca="1" si="51"/>
        <v>56</v>
      </c>
      <c r="K448">
        <f t="shared" ca="1" si="52"/>
        <v>0.83251521529600414</v>
      </c>
      <c r="L448" t="str">
        <f ca="1">IF(K448&lt;=distribution!$D$11,distribution!$B$11,distribution!$B$12)</f>
        <v>N</v>
      </c>
      <c r="M448">
        <f t="shared" ca="1" si="53"/>
        <v>53957</v>
      </c>
      <c r="N448">
        <f t="shared" ca="1" si="54"/>
        <v>53957</v>
      </c>
    </row>
    <row r="449" spans="1:14" x14ac:dyDescent="0.45">
      <c r="A449">
        <f t="shared" si="55"/>
        <v>448</v>
      </c>
      <c r="B449">
        <f t="shared" ca="1" si="48"/>
        <v>0.91163128210937172</v>
      </c>
      <c r="C449" t="str">
        <f ca="1">IF(B449&lt;=distribution!$D$2,distribution!$B$2,IF(B449&lt;=distribution!$D$3,distribution!$B$3,distribution!$B$4))</f>
        <v>BC</v>
      </c>
      <c r="D449">
        <f t="shared" ca="1" si="49"/>
        <v>0.91120796449776997</v>
      </c>
      <c r="E449" t="str">
        <f ca="1">IF(D449&lt;=distribution!$D$5,distribution!$B$5,distribution!$B$6)</f>
        <v>B</v>
      </c>
      <c r="F449">
        <f t="shared" ca="1" si="50"/>
        <v>0.96261162594124416</v>
      </c>
      <c r="G449" t="str">
        <f ca="1">IF(F449&lt;=distribution!$D$7,distribution!$B$7,IF(F449&lt;=distribution!$D$8,distribution!$B$8,IF(F449&lt;=distribution!$D$9,distribution!$B$9,distribution!$B$10)))</f>
        <v>55-64</v>
      </c>
      <c r="H449">
        <f ca="1">VLOOKUP(G449,age_band!$A$1:$C$5,2,FALSE)</f>
        <v>55</v>
      </c>
      <c r="I449">
        <f ca="1">VLOOKUP(G449,age_band!$A$2:$C$5,3,FALSE)</f>
        <v>64</v>
      </c>
      <c r="J449">
        <f t="shared" ca="1" si="51"/>
        <v>63</v>
      </c>
      <c r="K449">
        <f t="shared" ca="1" si="52"/>
        <v>0.79398795521106247</v>
      </c>
      <c r="L449" t="str">
        <f ca="1">IF(K449&lt;=distribution!$D$11,distribution!$B$11,distribution!$B$12)</f>
        <v>N</v>
      </c>
      <c r="M449">
        <f t="shared" ca="1" si="53"/>
        <v>70454</v>
      </c>
      <c r="N449">
        <f t="shared" ca="1" si="54"/>
        <v>70454</v>
      </c>
    </row>
    <row r="450" spans="1:14" x14ac:dyDescent="0.45">
      <c r="A450">
        <f t="shared" si="55"/>
        <v>449</v>
      </c>
      <c r="B450">
        <f t="shared" ca="1" si="48"/>
        <v>0.10763277151598327</v>
      </c>
      <c r="C450" t="str">
        <f ca="1">IF(B450&lt;=distribution!$D$2,distribution!$B$2,IF(B450&lt;=distribution!$D$3,distribution!$B$3,distribution!$B$4))</f>
        <v>ON</v>
      </c>
      <c r="D450">
        <f t="shared" ca="1" si="49"/>
        <v>0.80394925957267738</v>
      </c>
      <c r="E450" t="str">
        <f ca="1">IF(D450&lt;=distribution!$D$5,distribution!$B$5,distribution!$B$6)</f>
        <v>B</v>
      </c>
      <c r="F450">
        <f t="shared" ca="1" si="50"/>
        <v>0.82850084735982399</v>
      </c>
      <c r="G450" t="str">
        <f ca="1">IF(F450&lt;=distribution!$D$7,distribution!$B$7,IF(F450&lt;=distribution!$D$8,distribution!$B$8,IF(F450&lt;=distribution!$D$9,distribution!$B$9,distribution!$B$10)))</f>
        <v>45-54</v>
      </c>
      <c r="H450">
        <f ca="1">VLOOKUP(G450,age_band!$A$1:$C$5,2,FALSE)</f>
        <v>45</v>
      </c>
      <c r="I450">
        <f ca="1">VLOOKUP(G450,age_band!$A$2:$C$5,3,FALSE)</f>
        <v>54</v>
      </c>
      <c r="J450">
        <f t="shared" ca="1" si="51"/>
        <v>52</v>
      </c>
      <c r="K450">
        <f t="shared" ca="1" si="52"/>
        <v>0.89593328164534591</v>
      </c>
      <c r="L450" t="str">
        <f ca="1">IF(K450&lt;=distribution!$D$11,distribution!$B$11,distribution!$B$12)</f>
        <v>Y</v>
      </c>
      <c r="M450">
        <f t="shared" ca="1" si="53"/>
        <v>46450</v>
      </c>
      <c r="N450">
        <f t="shared" ca="1" si="54"/>
        <v>46450</v>
      </c>
    </row>
    <row r="451" spans="1:14" x14ac:dyDescent="0.45">
      <c r="A451">
        <f t="shared" si="55"/>
        <v>450</v>
      </c>
      <c r="B451">
        <f t="shared" ref="B451:B501" ca="1" si="56">RAND()</f>
        <v>0.23794439879504359</v>
      </c>
      <c r="C451" t="str">
        <f ca="1">IF(B451&lt;=distribution!$D$2,distribution!$B$2,IF(B451&lt;=distribution!$D$3,distribution!$B$3,distribution!$B$4))</f>
        <v>ON</v>
      </c>
      <c r="D451">
        <f t="shared" ref="D451:D501" ca="1" si="57">RAND()</f>
        <v>0.56935748893517135</v>
      </c>
      <c r="E451" t="str">
        <f ca="1">IF(D451&lt;=distribution!$D$5,distribution!$B$5,distribution!$B$6)</f>
        <v>A</v>
      </c>
      <c r="F451">
        <f t="shared" ref="F451:F501" ca="1" si="58">RAND()</f>
        <v>8.7421788894182617E-2</v>
      </c>
      <c r="G451" t="str">
        <f ca="1">IF(F451&lt;=distribution!$D$7,distribution!$B$7,IF(F451&lt;=distribution!$D$8,distribution!$B$8,IF(F451&lt;=distribution!$D$9,distribution!$B$9,distribution!$B$10)))</f>
        <v>25-34</v>
      </c>
      <c r="H451">
        <f ca="1">VLOOKUP(G451,age_band!$A$1:$C$5,2,FALSE)</f>
        <v>25</v>
      </c>
      <c r="I451">
        <f ca="1">VLOOKUP(G451,age_band!$A$2:$C$5,3,FALSE)</f>
        <v>34</v>
      </c>
      <c r="J451">
        <f t="shared" ref="J451:J501" ca="1" si="59">RANDBETWEEN(H451,I451)</f>
        <v>32</v>
      </c>
      <c r="K451">
        <f t="shared" ref="K451:K501" ca="1" si="60">RAND()</f>
        <v>0.46505183661208938</v>
      </c>
      <c r="L451" t="str">
        <f ca="1">IF(K451&lt;=distribution!$D$11,distribution!$B$11,distribution!$B$12)</f>
        <v>N</v>
      </c>
      <c r="M451">
        <f t="shared" ref="M451:M501" ca="1" si="61">IF(E451="A",RANDBETWEEN(50000,130000),RANDBETWEEN(45000,80000))</f>
        <v>95058</v>
      </c>
      <c r="N451">
        <f t="shared" ref="N451:N501" ca="1" si="62">MIN(M451*1,200000)</f>
        <v>95058</v>
      </c>
    </row>
    <row r="452" spans="1:14" x14ac:dyDescent="0.45">
      <c r="A452">
        <f t="shared" ref="A452:A501" si="63">A451+1</f>
        <v>451</v>
      </c>
      <c r="B452">
        <f t="shared" ca="1" si="56"/>
        <v>0.98075518555015673</v>
      </c>
      <c r="C452" t="str">
        <f ca="1">IF(B452&lt;=distribution!$D$2,distribution!$B$2,IF(B452&lt;=distribution!$D$3,distribution!$B$3,distribution!$B$4))</f>
        <v>BC</v>
      </c>
      <c r="D452">
        <f t="shared" ca="1" si="57"/>
        <v>0.79106739120720293</v>
      </c>
      <c r="E452" t="str">
        <f ca="1">IF(D452&lt;=distribution!$D$5,distribution!$B$5,distribution!$B$6)</f>
        <v>B</v>
      </c>
      <c r="F452">
        <f t="shared" ca="1" si="58"/>
        <v>0.38463701641564119</v>
      </c>
      <c r="G452" t="str">
        <f ca="1">IF(F452&lt;=distribution!$D$7,distribution!$B$7,IF(F452&lt;=distribution!$D$8,distribution!$B$8,IF(F452&lt;=distribution!$D$9,distribution!$B$9,distribution!$B$10)))</f>
        <v>35-44</v>
      </c>
      <c r="H452">
        <f ca="1">VLOOKUP(G452,age_band!$A$1:$C$5,2,FALSE)</f>
        <v>35</v>
      </c>
      <c r="I452">
        <f ca="1">VLOOKUP(G452,age_band!$A$2:$C$5,3,FALSE)</f>
        <v>44</v>
      </c>
      <c r="J452">
        <f t="shared" ca="1" si="59"/>
        <v>38</v>
      </c>
      <c r="K452">
        <f t="shared" ca="1" si="60"/>
        <v>0.60090269172478317</v>
      </c>
      <c r="L452" t="str">
        <f ca="1">IF(K452&lt;=distribution!$D$11,distribution!$B$11,distribution!$B$12)</f>
        <v>N</v>
      </c>
      <c r="M452">
        <f t="shared" ca="1" si="61"/>
        <v>49268</v>
      </c>
      <c r="N452">
        <f t="shared" ca="1" si="62"/>
        <v>49268</v>
      </c>
    </row>
    <row r="453" spans="1:14" x14ac:dyDescent="0.45">
      <c r="A453">
        <f t="shared" si="63"/>
        <v>452</v>
      </c>
      <c r="B453">
        <f t="shared" ca="1" si="56"/>
        <v>0.55005139421328764</v>
      </c>
      <c r="C453" t="str">
        <f ca="1">IF(B453&lt;=distribution!$D$2,distribution!$B$2,IF(B453&lt;=distribution!$D$3,distribution!$B$3,distribution!$B$4))</f>
        <v>QC</v>
      </c>
      <c r="D453">
        <f t="shared" ca="1" si="57"/>
        <v>0.51817859548335699</v>
      </c>
      <c r="E453" t="str">
        <f ca="1">IF(D453&lt;=distribution!$D$5,distribution!$B$5,distribution!$B$6)</f>
        <v>A</v>
      </c>
      <c r="F453">
        <f t="shared" ca="1" si="58"/>
        <v>0.52780863115599941</v>
      </c>
      <c r="G453" t="str">
        <f ca="1">IF(F453&lt;=distribution!$D$7,distribution!$B$7,IF(F453&lt;=distribution!$D$8,distribution!$B$8,IF(F453&lt;=distribution!$D$9,distribution!$B$9,distribution!$B$10)))</f>
        <v>35-44</v>
      </c>
      <c r="H453">
        <f ca="1">VLOOKUP(G453,age_band!$A$1:$C$5,2,FALSE)</f>
        <v>35</v>
      </c>
      <c r="I453">
        <f ca="1">VLOOKUP(G453,age_band!$A$2:$C$5,3,FALSE)</f>
        <v>44</v>
      </c>
      <c r="J453">
        <f t="shared" ca="1" si="59"/>
        <v>42</v>
      </c>
      <c r="K453">
        <f t="shared" ca="1" si="60"/>
        <v>0.77018093818573252</v>
      </c>
      <c r="L453" t="str">
        <f ca="1">IF(K453&lt;=distribution!$D$11,distribution!$B$11,distribution!$B$12)</f>
        <v>N</v>
      </c>
      <c r="M453">
        <f t="shared" ca="1" si="61"/>
        <v>126068</v>
      </c>
      <c r="N453">
        <f t="shared" ca="1" si="62"/>
        <v>126068</v>
      </c>
    </row>
    <row r="454" spans="1:14" x14ac:dyDescent="0.45">
      <c r="A454">
        <f t="shared" si="63"/>
        <v>453</v>
      </c>
      <c r="B454">
        <f t="shared" ca="1" si="56"/>
        <v>0.50433837276287519</v>
      </c>
      <c r="C454" t="str">
        <f ca="1">IF(B454&lt;=distribution!$D$2,distribution!$B$2,IF(B454&lt;=distribution!$D$3,distribution!$B$3,distribution!$B$4))</f>
        <v>ON</v>
      </c>
      <c r="D454">
        <f t="shared" ca="1" si="57"/>
        <v>0.92868955572466794</v>
      </c>
      <c r="E454" t="str">
        <f ca="1">IF(D454&lt;=distribution!$D$5,distribution!$B$5,distribution!$B$6)</f>
        <v>B</v>
      </c>
      <c r="F454">
        <f t="shared" ca="1" si="58"/>
        <v>0.42386963310925418</v>
      </c>
      <c r="G454" t="str">
        <f ca="1">IF(F454&lt;=distribution!$D$7,distribution!$B$7,IF(F454&lt;=distribution!$D$8,distribution!$B$8,IF(F454&lt;=distribution!$D$9,distribution!$B$9,distribution!$B$10)))</f>
        <v>35-44</v>
      </c>
      <c r="H454">
        <f ca="1">VLOOKUP(G454,age_band!$A$1:$C$5,2,FALSE)</f>
        <v>35</v>
      </c>
      <c r="I454">
        <f ca="1">VLOOKUP(G454,age_band!$A$2:$C$5,3,FALSE)</f>
        <v>44</v>
      </c>
      <c r="J454">
        <f t="shared" ca="1" si="59"/>
        <v>38</v>
      </c>
      <c r="K454">
        <f t="shared" ca="1" si="60"/>
        <v>0.89498999195194762</v>
      </c>
      <c r="L454" t="str">
        <f ca="1">IF(K454&lt;=distribution!$D$11,distribution!$B$11,distribution!$B$12)</f>
        <v>Y</v>
      </c>
      <c r="M454">
        <f t="shared" ca="1" si="61"/>
        <v>48393</v>
      </c>
      <c r="N454">
        <f t="shared" ca="1" si="62"/>
        <v>48393</v>
      </c>
    </row>
    <row r="455" spans="1:14" x14ac:dyDescent="0.45">
      <c r="A455">
        <f t="shared" si="63"/>
        <v>454</v>
      </c>
      <c r="B455">
        <f t="shared" ca="1" si="56"/>
        <v>0.55967042684428681</v>
      </c>
      <c r="C455" t="str">
        <f ca="1">IF(B455&lt;=distribution!$D$2,distribution!$B$2,IF(B455&lt;=distribution!$D$3,distribution!$B$3,distribution!$B$4))</f>
        <v>QC</v>
      </c>
      <c r="D455">
        <f t="shared" ca="1" si="57"/>
        <v>0.35283190725366975</v>
      </c>
      <c r="E455" t="str">
        <f ca="1">IF(D455&lt;=distribution!$D$5,distribution!$B$5,distribution!$B$6)</f>
        <v>A</v>
      </c>
      <c r="F455">
        <f t="shared" ca="1" si="58"/>
        <v>0.42813425905927449</v>
      </c>
      <c r="G455" t="str">
        <f ca="1">IF(F455&lt;=distribution!$D$7,distribution!$B$7,IF(F455&lt;=distribution!$D$8,distribution!$B$8,IF(F455&lt;=distribution!$D$9,distribution!$B$9,distribution!$B$10)))</f>
        <v>35-44</v>
      </c>
      <c r="H455">
        <f ca="1">VLOOKUP(G455,age_band!$A$1:$C$5,2,FALSE)</f>
        <v>35</v>
      </c>
      <c r="I455">
        <f ca="1">VLOOKUP(G455,age_band!$A$2:$C$5,3,FALSE)</f>
        <v>44</v>
      </c>
      <c r="J455">
        <f t="shared" ca="1" si="59"/>
        <v>35</v>
      </c>
      <c r="K455">
        <f t="shared" ca="1" si="60"/>
        <v>0.39009300180254181</v>
      </c>
      <c r="L455" t="str">
        <f ca="1">IF(K455&lt;=distribution!$D$11,distribution!$B$11,distribution!$B$12)</f>
        <v>N</v>
      </c>
      <c r="M455">
        <f t="shared" ca="1" si="61"/>
        <v>109125</v>
      </c>
      <c r="N455">
        <f t="shared" ca="1" si="62"/>
        <v>109125</v>
      </c>
    </row>
    <row r="456" spans="1:14" x14ac:dyDescent="0.45">
      <c r="A456">
        <f t="shared" si="63"/>
        <v>455</v>
      </c>
      <c r="B456">
        <f t="shared" ca="1" si="56"/>
        <v>0.33418496795101504</v>
      </c>
      <c r="C456" t="str">
        <f ca="1">IF(B456&lt;=distribution!$D$2,distribution!$B$2,IF(B456&lt;=distribution!$D$3,distribution!$B$3,distribution!$B$4))</f>
        <v>ON</v>
      </c>
      <c r="D456">
        <f t="shared" ca="1" si="57"/>
        <v>5.4948471680379085E-2</v>
      </c>
      <c r="E456" t="str">
        <f ca="1">IF(D456&lt;=distribution!$D$5,distribution!$B$5,distribution!$B$6)</f>
        <v>A</v>
      </c>
      <c r="F456">
        <f t="shared" ca="1" si="58"/>
        <v>0.84126596675265675</v>
      </c>
      <c r="G456" t="str">
        <f ca="1">IF(F456&lt;=distribution!$D$7,distribution!$B$7,IF(F456&lt;=distribution!$D$8,distribution!$B$8,IF(F456&lt;=distribution!$D$9,distribution!$B$9,distribution!$B$10)))</f>
        <v>45-54</v>
      </c>
      <c r="H456">
        <f ca="1">VLOOKUP(G456,age_band!$A$1:$C$5,2,FALSE)</f>
        <v>45</v>
      </c>
      <c r="I456">
        <f ca="1">VLOOKUP(G456,age_band!$A$2:$C$5,3,FALSE)</f>
        <v>54</v>
      </c>
      <c r="J456">
        <f t="shared" ca="1" si="59"/>
        <v>48</v>
      </c>
      <c r="K456">
        <f t="shared" ca="1" si="60"/>
        <v>0.62223779332455253</v>
      </c>
      <c r="L456" t="str">
        <f ca="1">IF(K456&lt;=distribution!$D$11,distribution!$B$11,distribution!$B$12)</f>
        <v>N</v>
      </c>
      <c r="M456">
        <f t="shared" ca="1" si="61"/>
        <v>56533</v>
      </c>
      <c r="N456">
        <f t="shared" ca="1" si="62"/>
        <v>56533</v>
      </c>
    </row>
    <row r="457" spans="1:14" x14ac:dyDescent="0.45">
      <c r="A457">
        <f t="shared" si="63"/>
        <v>456</v>
      </c>
      <c r="B457">
        <f t="shared" ca="1" si="56"/>
        <v>0.85552901415097704</v>
      </c>
      <c r="C457" t="str">
        <f ca="1">IF(B457&lt;=distribution!$D$2,distribution!$B$2,IF(B457&lt;=distribution!$D$3,distribution!$B$3,distribution!$B$4))</f>
        <v>BC</v>
      </c>
      <c r="D457">
        <f t="shared" ca="1" si="57"/>
        <v>0.97031407937122849</v>
      </c>
      <c r="E457" t="str">
        <f ca="1">IF(D457&lt;=distribution!$D$5,distribution!$B$5,distribution!$B$6)</f>
        <v>B</v>
      </c>
      <c r="F457">
        <f t="shared" ca="1" si="58"/>
        <v>0.92033242017196293</v>
      </c>
      <c r="G457" t="str">
        <f ca="1">IF(F457&lt;=distribution!$D$7,distribution!$B$7,IF(F457&lt;=distribution!$D$8,distribution!$B$8,IF(F457&lt;=distribution!$D$9,distribution!$B$9,distribution!$B$10)))</f>
        <v>55-64</v>
      </c>
      <c r="H457">
        <f ca="1">VLOOKUP(G457,age_band!$A$1:$C$5,2,FALSE)</f>
        <v>55</v>
      </c>
      <c r="I457">
        <f ca="1">VLOOKUP(G457,age_band!$A$2:$C$5,3,FALSE)</f>
        <v>64</v>
      </c>
      <c r="J457">
        <f t="shared" ca="1" si="59"/>
        <v>56</v>
      </c>
      <c r="K457">
        <f t="shared" ca="1" si="60"/>
        <v>0.25883128652522536</v>
      </c>
      <c r="L457" t="str">
        <f ca="1">IF(K457&lt;=distribution!$D$11,distribution!$B$11,distribution!$B$12)</f>
        <v>N</v>
      </c>
      <c r="M457">
        <f t="shared" ca="1" si="61"/>
        <v>74877</v>
      </c>
      <c r="N457">
        <f t="shared" ca="1" si="62"/>
        <v>74877</v>
      </c>
    </row>
    <row r="458" spans="1:14" x14ac:dyDescent="0.45">
      <c r="A458">
        <f t="shared" si="63"/>
        <v>457</v>
      </c>
      <c r="B458">
        <f t="shared" ca="1" si="56"/>
        <v>0.16897921979200592</v>
      </c>
      <c r="C458" t="str">
        <f ca="1">IF(B458&lt;=distribution!$D$2,distribution!$B$2,IF(B458&lt;=distribution!$D$3,distribution!$B$3,distribution!$B$4))</f>
        <v>ON</v>
      </c>
      <c r="D458">
        <f t="shared" ca="1" si="57"/>
        <v>0.95373840744974336</v>
      </c>
      <c r="E458" t="str">
        <f ca="1">IF(D458&lt;=distribution!$D$5,distribution!$B$5,distribution!$B$6)</f>
        <v>B</v>
      </c>
      <c r="F458">
        <f t="shared" ca="1" si="58"/>
        <v>0.99635531560726454</v>
      </c>
      <c r="G458" t="str">
        <f ca="1">IF(F458&lt;=distribution!$D$7,distribution!$B$7,IF(F458&lt;=distribution!$D$8,distribution!$B$8,IF(F458&lt;=distribution!$D$9,distribution!$B$9,distribution!$B$10)))</f>
        <v>55-64</v>
      </c>
      <c r="H458">
        <f ca="1">VLOOKUP(G458,age_band!$A$1:$C$5,2,FALSE)</f>
        <v>55</v>
      </c>
      <c r="I458">
        <f ca="1">VLOOKUP(G458,age_band!$A$2:$C$5,3,FALSE)</f>
        <v>64</v>
      </c>
      <c r="J458">
        <f t="shared" ca="1" si="59"/>
        <v>60</v>
      </c>
      <c r="K458">
        <f t="shared" ca="1" si="60"/>
        <v>0.80651899421338147</v>
      </c>
      <c r="L458" t="str">
        <f ca="1">IF(K458&lt;=distribution!$D$11,distribution!$B$11,distribution!$B$12)</f>
        <v>N</v>
      </c>
      <c r="M458">
        <f t="shared" ca="1" si="61"/>
        <v>70553</v>
      </c>
      <c r="N458">
        <f t="shared" ca="1" si="62"/>
        <v>70553</v>
      </c>
    </row>
    <row r="459" spans="1:14" x14ac:dyDescent="0.45">
      <c r="A459">
        <f t="shared" si="63"/>
        <v>458</v>
      </c>
      <c r="B459">
        <f t="shared" ca="1" si="56"/>
        <v>5.5879313392595109E-2</v>
      </c>
      <c r="C459" t="str">
        <f ca="1">IF(B459&lt;=distribution!$D$2,distribution!$B$2,IF(B459&lt;=distribution!$D$3,distribution!$B$3,distribution!$B$4))</f>
        <v>ON</v>
      </c>
      <c r="D459">
        <f t="shared" ca="1" si="57"/>
        <v>0.24683588313582283</v>
      </c>
      <c r="E459" t="str">
        <f ca="1">IF(D459&lt;=distribution!$D$5,distribution!$B$5,distribution!$B$6)</f>
        <v>A</v>
      </c>
      <c r="F459">
        <f t="shared" ca="1" si="58"/>
        <v>0.37792722730076644</v>
      </c>
      <c r="G459" t="str">
        <f ca="1">IF(F459&lt;=distribution!$D$7,distribution!$B$7,IF(F459&lt;=distribution!$D$8,distribution!$B$8,IF(F459&lt;=distribution!$D$9,distribution!$B$9,distribution!$B$10)))</f>
        <v>35-44</v>
      </c>
      <c r="H459">
        <f ca="1">VLOOKUP(G459,age_band!$A$1:$C$5,2,FALSE)</f>
        <v>35</v>
      </c>
      <c r="I459">
        <f ca="1">VLOOKUP(G459,age_band!$A$2:$C$5,3,FALSE)</f>
        <v>44</v>
      </c>
      <c r="J459">
        <f t="shared" ca="1" si="59"/>
        <v>36</v>
      </c>
      <c r="K459">
        <f t="shared" ca="1" si="60"/>
        <v>0.97620073399228691</v>
      </c>
      <c r="L459" t="str">
        <f ca="1">IF(K459&lt;=distribution!$D$11,distribution!$B$11,distribution!$B$12)</f>
        <v>Y</v>
      </c>
      <c r="M459">
        <f t="shared" ca="1" si="61"/>
        <v>114657</v>
      </c>
      <c r="N459">
        <f t="shared" ca="1" si="62"/>
        <v>114657</v>
      </c>
    </row>
    <row r="460" spans="1:14" x14ac:dyDescent="0.45">
      <c r="A460">
        <f t="shared" si="63"/>
        <v>459</v>
      </c>
      <c r="B460">
        <f t="shared" ca="1" si="56"/>
        <v>0.98182276454683348</v>
      </c>
      <c r="C460" t="str">
        <f ca="1">IF(B460&lt;=distribution!$D$2,distribution!$B$2,IF(B460&lt;=distribution!$D$3,distribution!$B$3,distribution!$B$4))</f>
        <v>BC</v>
      </c>
      <c r="D460">
        <f t="shared" ca="1" si="57"/>
        <v>0.69369077648801947</v>
      </c>
      <c r="E460" t="str">
        <f ca="1">IF(D460&lt;=distribution!$D$5,distribution!$B$5,distribution!$B$6)</f>
        <v>B</v>
      </c>
      <c r="F460">
        <f t="shared" ca="1" si="58"/>
        <v>0.55000015426794757</v>
      </c>
      <c r="G460" t="str">
        <f ca="1">IF(F460&lt;=distribution!$D$7,distribution!$B$7,IF(F460&lt;=distribution!$D$8,distribution!$B$8,IF(F460&lt;=distribution!$D$9,distribution!$B$9,distribution!$B$10)))</f>
        <v>35-44</v>
      </c>
      <c r="H460">
        <f ca="1">VLOOKUP(G460,age_band!$A$1:$C$5,2,FALSE)</f>
        <v>35</v>
      </c>
      <c r="I460">
        <f ca="1">VLOOKUP(G460,age_band!$A$2:$C$5,3,FALSE)</f>
        <v>44</v>
      </c>
      <c r="J460">
        <f t="shared" ca="1" si="59"/>
        <v>38</v>
      </c>
      <c r="K460">
        <f t="shared" ca="1" si="60"/>
        <v>0.41423633895837431</v>
      </c>
      <c r="L460" t="str">
        <f ca="1">IF(K460&lt;=distribution!$D$11,distribution!$B$11,distribution!$B$12)</f>
        <v>N</v>
      </c>
      <c r="M460">
        <f t="shared" ca="1" si="61"/>
        <v>59700</v>
      </c>
      <c r="N460">
        <f t="shared" ca="1" si="62"/>
        <v>59700</v>
      </c>
    </row>
    <row r="461" spans="1:14" x14ac:dyDescent="0.45">
      <c r="A461">
        <f t="shared" si="63"/>
        <v>460</v>
      </c>
      <c r="B461">
        <f t="shared" ca="1" si="56"/>
        <v>0.75988260782946959</v>
      </c>
      <c r="C461" t="str">
        <f ca="1">IF(B461&lt;=distribution!$D$2,distribution!$B$2,IF(B461&lt;=distribution!$D$3,distribution!$B$3,distribution!$B$4))</f>
        <v>BC</v>
      </c>
      <c r="D461">
        <f t="shared" ca="1" si="57"/>
        <v>0.33336057248321749</v>
      </c>
      <c r="E461" t="str">
        <f ca="1">IF(D461&lt;=distribution!$D$5,distribution!$B$5,distribution!$B$6)</f>
        <v>A</v>
      </c>
      <c r="F461">
        <f t="shared" ca="1" si="58"/>
        <v>3.0494864281122358E-2</v>
      </c>
      <c r="G461" t="str">
        <f ca="1">IF(F461&lt;=distribution!$D$7,distribution!$B$7,IF(F461&lt;=distribution!$D$8,distribution!$B$8,IF(F461&lt;=distribution!$D$9,distribution!$B$9,distribution!$B$10)))</f>
        <v>25-34</v>
      </c>
      <c r="H461">
        <f ca="1">VLOOKUP(G461,age_band!$A$1:$C$5,2,FALSE)</f>
        <v>25</v>
      </c>
      <c r="I461">
        <f ca="1">VLOOKUP(G461,age_band!$A$2:$C$5,3,FALSE)</f>
        <v>34</v>
      </c>
      <c r="J461">
        <f t="shared" ca="1" si="59"/>
        <v>25</v>
      </c>
      <c r="K461">
        <f t="shared" ca="1" si="60"/>
        <v>0.1951082395239504</v>
      </c>
      <c r="L461" t="str">
        <f ca="1">IF(K461&lt;=distribution!$D$11,distribution!$B$11,distribution!$B$12)</f>
        <v>N</v>
      </c>
      <c r="M461">
        <f t="shared" ca="1" si="61"/>
        <v>123405</v>
      </c>
      <c r="N461">
        <f t="shared" ca="1" si="62"/>
        <v>123405</v>
      </c>
    </row>
    <row r="462" spans="1:14" x14ac:dyDescent="0.45">
      <c r="A462">
        <f t="shared" si="63"/>
        <v>461</v>
      </c>
      <c r="B462">
        <f t="shared" ca="1" si="56"/>
        <v>0.7262620880375501</v>
      </c>
      <c r="C462" t="str">
        <f ca="1">IF(B462&lt;=distribution!$D$2,distribution!$B$2,IF(B462&lt;=distribution!$D$3,distribution!$B$3,distribution!$B$4))</f>
        <v>QC</v>
      </c>
      <c r="D462">
        <f t="shared" ca="1" si="57"/>
        <v>0.34523176605634653</v>
      </c>
      <c r="E462" t="str">
        <f ca="1">IF(D462&lt;=distribution!$D$5,distribution!$B$5,distribution!$B$6)</f>
        <v>A</v>
      </c>
      <c r="F462">
        <f t="shared" ca="1" si="58"/>
        <v>0.93412272260328244</v>
      </c>
      <c r="G462" t="str">
        <f ca="1">IF(F462&lt;=distribution!$D$7,distribution!$B$7,IF(F462&lt;=distribution!$D$8,distribution!$B$8,IF(F462&lt;=distribution!$D$9,distribution!$B$9,distribution!$B$10)))</f>
        <v>55-64</v>
      </c>
      <c r="H462">
        <f ca="1">VLOOKUP(G462,age_band!$A$1:$C$5,2,FALSE)</f>
        <v>55</v>
      </c>
      <c r="I462">
        <f ca="1">VLOOKUP(G462,age_band!$A$2:$C$5,3,FALSE)</f>
        <v>64</v>
      </c>
      <c r="J462">
        <f t="shared" ca="1" si="59"/>
        <v>62</v>
      </c>
      <c r="K462">
        <f t="shared" ca="1" si="60"/>
        <v>0.32591621854060671</v>
      </c>
      <c r="L462" t="str">
        <f ca="1">IF(K462&lt;=distribution!$D$11,distribution!$B$11,distribution!$B$12)</f>
        <v>N</v>
      </c>
      <c r="M462">
        <f t="shared" ca="1" si="61"/>
        <v>57428</v>
      </c>
      <c r="N462">
        <f t="shared" ca="1" si="62"/>
        <v>57428</v>
      </c>
    </row>
    <row r="463" spans="1:14" x14ac:dyDescent="0.45">
      <c r="A463">
        <f t="shared" si="63"/>
        <v>462</v>
      </c>
      <c r="B463">
        <f t="shared" ca="1" si="56"/>
        <v>0.5927104179235978</v>
      </c>
      <c r="C463" t="str">
        <f ca="1">IF(B463&lt;=distribution!$D$2,distribution!$B$2,IF(B463&lt;=distribution!$D$3,distribution!$B$3,distribution!$B$4))</f>
        <v>QC</v>
      </c>
      <c r="D463">
        <f t="shared" ca="1" si="57"/>
        <v>0.62705115642654352</v>
      </c>
      <c r="E463" t="str">
        <f ca="1">IF(D463&lt;=distribution!$D$5,distribution!$B$5,distribution!$B$6)</f>
        <v>A</v>
      </c>
      <c r="F463">
        <f t="shared" ca="1" si="58"/>
        <v>5.558701027104973E-2</v>
      </c>
      <c r="G463" t="str">
        <f ca="1">IF(F463&lt;=distribution!$D$7,distribution!$B$7,IF(F463&lt;=distribution!$D$8,distribution!$B$8,IF(F463&lt;=distribution!$D$9,distribution!$B$9,distribution!$B$10)))</f>
        <v>25-34</v>
      </c>
      <c r="H463">
        <f ca="1">VLOOKUP(G463,age_band!$A$1:$C$5,2,FALSE)</f>
        <v>25</v>
      </c>
      <c r="I463">
        <f ca="1">VLOOKUP(G463,age_band!$A$2:$C$5,3,FALSE)</f>
        <v>34</v>
      </c>
      <c r="J463">
        <f t="shared" ca="1" si="59"/>
        <v>28</v>
      </c>
      <c r="K463">
        <f t="shared" ca="1" si="60"/>
        <v>0.4652407961382703</v>
      </c>
      <c r="L463" t="str">
        <f ca="1">IF(K463&lt;=distribution!$D$11,distribution!$B$11,distribution!$B$12)</f>
        <v>N</v>
      </c>
      <c r="M463">
        <f t="shared" ca="1" si="61"/>
        <v>88505</v>
      </c>
      <c r="N463">
        <f t="shared" ca="1" si="62"/>
        <v>88505</v>
      </c>
    </row>
    <row r="464" spans="1:14" x14ac:dyDescent="0.45">
      <c r="A464">
        <f t="shared" si="63"/>
        <v>463</v>
      </c>
      <c r="B464">
        <f t="shared" ca="1" si="56"/>
        <v>0.91786382586659465</v>
      </c>
      <c r="C464" t="str">
        <f ca="1">IF(B464&lt;=distribution!$D$2,distribution!$B$2,IF(B464&lt;=distribution!$D$3,distribution!$B$3,distribution!$B$4))</f>
        <v>BC</v>
      </c>
      <c r="D464">
        <f t="shared" ca="1" si="57"/>
        <v>0.44578826716240294</v>
      </c>
      <c r="E464" t="str">
        <f ca="1">IF(D464&lt;=distribution!$D$5,distribution!$B$5,distribution!$B$6)</f>
        <v>A</v>
      </c>
      <c r="F464">
        <f t="shared" ca="1" si="58"/>
        <v>0.55768605194321597</v>
      </c>
      <c r="G464" t="str">
        <f ca="1">IF(F464&lt;=distribution!$D$7,distribution!$B$7,IF(F464&lt;=distribution!$D$8,distribution!$B$8,IF(F464&lt;=distribution!$D$9,distribution!$B$9,distribution!$B$10)))</f>
        <v>35-44</v>
      </c>
      <c r="H464">
        <f ca="1">VLOOKUP(G464,age_band!$A$1:$C$5,2,FALSE)</f>
        <v>35</v>
      </c>
      <c r="I464">
        <f ca="1">VLOOKUP(G464,age_band!$A$2:$C$5,3,FALSE)</f>
        <v>44</v>
      </c>
      <c r="J464">
        <f t="shared" ca="1" si="59"/>
        <v>36</v>
      </c>
      <c r="K464">
        <f t="shared" ca="1" si="60"/>
        <v>0.53630258549468868</v>
      </c>
      <c r="L464" t="str">
        <f ca="1">IF(K464&lt;=distribution!$D$11,distribution!$B$11,distribution!$B$12)</f>
        <v>N</v>
      </c>
      <c r="M464">
        <f t="shared" ca="1" si="61"/>
        <v>108861</v>
      </c>
      <c r="N464">
        <f t="shared" ca="1" si="62"/>
        <v>108861</v>
      </c>
    </row>
    <row r="465" spans="1:14" x14ac:dyDescent="0.45">
      <c r="A465">
        <f t="shared" si="63"/>
        <v>464</v>
      </c>
      <c r="B465">
        <f t="shared" ca="1" si="56"/>
        <v>0.40290396587561006</v>
      </c>
      <c r="C465" t="str">
        <f ca="1">IF(B465&lt;=distribution!$D$2,distribution!$B$2,IF(B465&lt;=distribution!$D$3,distribution!$B$3,distribution!$B$4))</f>
        <v>ON</v>
      </c>
      <c r="D465">
        <f t="shared" ca="1" si="57"/>
        <v>0.3317001242153208</v>
      </c>
      <c r="E465" t="str">
        <f ca="1">IF(D465&lt;=distribution!$D$5,distribution!$B$5,distribution!$B$6)</f>
        <v>A</v>
      </c>
      <c r="F465">
        <f t="shared" ca="1" si="58"/>
        <v>0.44490994023134545</v>
      </c>
      <c r="G465" t="str">
        <f ca="1">IF(F465&lt;=distribution!$D$7,distribution!$B$7,IF(F465&lt;=distribution!$D$8,distribution!$B$8,IF(F465&lt;=distribution!$D$9,distribution!$B$9,distribution!$B$10)))</f>
        <v>35-44</v>
      </c>
      <c r="H465">
        <f ca="1">VLOOKUP(G465,age_band!$A$1:$C$5,2,FALSE)</f>
        <v>35</v>
      </c>
      <c r="I465">
        <f ca="1">VLOOKUP(G465,age_band!$A$2:$C$5,3,FALSE)</f>
        <v>44</v>
      </c>
      <c r="J465">
        <f t="shared" ca="1" si="59"/>
        <v>44</v>
      </c>
      <c r="K465">
        <f t="shared" ca="1" si="60"/>
        <v>0.58591090277588043</v>
      </c>
      <c r="L465" t="str">
        <f ca="1">IF(K465&lt;=distribution!$D$11,distribution!$B$11,distribution!$B$12)</f>
        <v>N</v>
      </c>
      <c r="M465">
        <f t="shared" ca="1" si="61"/>
        <v>128611</v>
      </c>
      <c r="N465">
        <f t="shared" ca="1" si="62"/>
        <v>128611</v>
      </c>
    </row>
    <row r="466" spans="1:14" x14ac:dyDescent="0.45">
      <c r="A466">
        <f t="shared" si="63"/>
        <v>465</v>
      </c>
      <c r="B466">
        <f t="shared" ca="1" si="56"/>
        <v>0.63736525758547657</v>
      </c>
      <c r="C466" t="str">
        <f ca="1">IF(B466&lt;=distribution!$D$2,distribution!$B$2,IF(B466&lt;=distribution!$D$3,distribution!$B$3,distribution!$B$4))</f>
        <v>QC</v>
      </c>
      <c r="D466">
        <f t="shared" ca="1" si="57"/>
        <v>0.68119483808724424</v>
      </c>
      <c r="E466" t="str">
        <f ca="1">IF(D466&lt;=distribution!$D$5,distribution!$B$5,distribution!$B$6)</f>
        <v>B</v>
      </c>
      <c r="F466">
        <f t="shared" ca="1" si="58"/>
        <v>0.65180299859972346</v>
      </c>
      <c r="G466" t="str">
        <f ca="1">IF(F466&lt;=distribution!$D$7,distribution!$B$7,IF(F466&lt;=distribution!$D$8,distribution!$B$8,IF(F466&lt;=distribution!$D$9,distribution!$B$9,distribution!$B$10)))</f>
        <v>45-54</v>
      </c>
      <c r="H466">
        <f ca="1">VLOOKUP(G466,age_band!$A$1:$C$5,2,FALSE)</f>
        <v>45</v>
      </c>
      <c r="I466">
        <f ca="1">VLOOKUP(G466,age_band!$A$2:$C$5,3,FALSE)</f>
        <v>54</v>
      </c>
      <c r="J466">
        <f t="shared" ca="1" si="59"/>
        <v>46</v>
      </c>
      <c r="K466">
        <f t="shared" ca="1" si="60"/>
        <v>0.8779957390538865</v>
      </c>
      <c r="L466" t="str">
        <f ca="1">IF(K466&lt;=distribution!$D$11,distribution!$B$11,distribution!$B$12)</f>
        <v>Y</v>
      </c>
      <c r="M466">
        <f t="shared" ca="1" si="61"/>
        <v>55184</v>
      </c>
      <c r="N466">
        <f t="shared" ca="1" si="62"/>
        <v>55184</v>
      </c>
    </row>
    <row r="467" spans="1:14" x14ac:dyDescent="0.45">
      <c r="A467">
        <f t="shared" si="63"/>
        <v>466</v>
      </c>
      <c r="B467">
        <f t="shared" ca="1" si="56"/>
        <v>0.99091344480755761</v>
      </c>
      <c r="C467" t="str">
        <f ca="1">IF(B467&lt;=distribution!$D$2,distribution!$B$2,IF(B467&lt;=distribution!$D$3,distribution!$B$3,distribution!$B$4))</f>
        <v>BC</v>
      </c>
      <c r="D467">
        <f t="shared" ca="1" si="57"/>
        <v>0.84329007985230287</v>
      </c>
      <c r="E467" t="str">
        <f ca="1">IF(D467&lt;=distribution!$D$5,distribution!$B$5,distribution!$B$6)</f>
        <v>B</v>
      </c>
      <c r="F467">
        <f t="shared" ca="1" si="58"/>
        <v>0.34826018748180976</v>
      </c>
      <c r="G467" t="str">
        <f ca="1">IF(F467&lt;=distribution!$D$7,distribution!$B$7,IF(F467&lt;=distribution!$D$8,distribution!$B$8,IF(F467&lt;=distribution!$D$9,distribution!$B$9,distribution!$B$10)))</f>
        <v>35-44</v>
      </c>
      <c r="H467">
        <f ca="1">VLOOKUP(G467,age_band!$A$1:$C$5,2,FALSE)</f>
        <v>35</v>
      </c>
      <c r="I467">
        <f ca="1">VLOOKUP(G467,age_band!$A$2:$C$5,3,FALSE)</f>
        <v>44</v>
      </c>
      <c r="J467">
        <f t="shared" ca="1" si="59"/>
        <v>41</v>
      </c>
      <c r="K467">
        <f t="shared" ca="1" si="60"/>
        <v>0.35770535730111352</v>
      </c>
      <c r="L467" t="str">
        <f ca="1">IF(K467&lt;=distribution!$D$11,distribution!$B$11,distribution!$B$12)</f>
        <v>N</v>
      </c>
      <c r="M467">
        <f t="shared" ca="1" si="61"/>
        <v>50239</v>
      </c>
      <c r="N467">
        <f t="shared" ca="1" si="62"/>
        <v>50239</v>
      </c>
    </row>
    <row r="468" spans="1:14" x14ac:dyDescent="0.45">
      <c r="A468">
        <f t="shared" si="63"/>
        <v>467</v>
      </c>
      <c r="B468">
        <f t="shared" ca="1" si="56"/>
        <v>0.53239679065917744</v>
      </c>
      <c r="C468" t="str">
        <f ca="1">IF(B468&lt;=distribution!$D$2,distribution!$B$2,IF(B468&lt;=distribution!$D$3,distribution!$B$3,distribution!$B$4))</f>
        <v>ON</v>
      </c>
      <c r="D468">
        <f t="shared" ca="1" si="57"/>
        <v>0.36207132984120005</v>
      </c>
      <c r="E468" t="str">
        <f ca="1">IF(D468&lt;=distribution!$D$5,distribution!$B$5,distribution!$B$6)</f>
        <v>A</v>
      </c>
      <c r="F468">
        <f t="shared" ca="1" si="58"/>
        <v>0.29117534648921584</v>
      </c>
      <c r="G468" t="str">
        <f ca="1">IF(F468&lt;=distribution!$D$7,distribution!$B$7,IF(F468&lt;=distribution!$D$8,distribution!$B$8,IF(F468&lt;=distribution!$D$9,distribution!$B$9,distribution!$B$10)))</f>
        <v>35-44</v>
      </c>
      <c r="H468">
        <f ca="1">VLOOKUP(G468,age_band!$A$1:$C$5,2,FALSE)</f>
        <v>35</v>
      </c>
      <c r="I468">
        <f ca="1">VLOOKUP(G468,age_band!$A$2:$C$5,3,FALSE)</f>
        <v>44</v>
      </c>
      <c r="J468">
        <f t="shared" ca="1" si="59"/>
        <v>36</v>
      </c>
      <c r="K468">
        <f t="shared" ca="1" si="60"/>
        <v>0.5639204751966117</v>
      </c>
      <c r="L468" t="str">
        <f ca="1">IF(K468&lt;=distribution!$D$11,distribution!$B$11,distribution!$B$12)</f>
        <v>N</v>
      </c>
      <c r="M468">
        <f t="shared" ca="1" si="61"/>
        <v>68761</v>
      </c>
      <c r="N468">
        <f t="shared" ca="1" si="62"/>
        <v>68761</v>
      </c>
    </row>
    <row r="469" spans="1:14" x14ac:dyDescent="0.45">
      <c r="A469">
        <f t="shared" si="63"/>
        <v>468</v>
      </c>
      <c r="B469">
        <f t="shared" ca="1" si="56"/>
        <v>0.49557411927929007</v>
      </c>
      <c r="C469" t="str">
        <f ca="1">IF(B469&lt;=distribution!$D$2,distribution!$B$2,IF(B469&lt;=distribution!$D$3,distribution!$B$3,distribution!$B$4))</f>
        <v>ON</v>
      </c>
      <c r="D469">
        <f t="shared" ca="1" si="57"/>
        <v>0.68220698765036702</v>
      </c>
      <c r="E469" t="str">
        <f ca="1">IF(D469&lt;=distribution!$D$5,distribution!$B$5,distribution!$B$6)</f>
        <v>B</v>
      </c>
      <c r="F469">
        <f t="shared" ca="1" si="58"/>
        <v>3.9845308381490918E-3</v>
      </c>
      <c r="G469" t="str">
        <f ca="1">IF(F469&lt;=distribution!$D$7,distribution!$B$7,IF(F469&lt;=distribution!$D$8,distribution!$B$8,IF(F469&lt;=distribution!$D$9,distribution!$B$9,distribution!$B$10)))</f>
        <v>25-34</v>
      </c>
      <c r="H469">
        <f ca="1">VLOOKUP(G469,age_band!$A$1:$C$5,2,FALSE)</f>
        <v>25</v>
      </c>
      <c r="I469">
        <f ca="1">VLOOKUP(G469,age_band!$A$2:$C$5,3,FALSE)</f>
        <v>34</v>
      </c>
      <c r="J469">
        <f t="shared" ca="1" si="59"/>
        <v>25</v>
      </c>
      <c r="K469">
        <f t="shared" ca="1" si="60"/>
        <v>0.31367186862408958</v>
      </c>
      <c r="L469" t="str">
        <f ca="1">IF(K469&lt;=distribution!$D$11,distribution!$B$11,distribution!$B$12)</f>
        <v>N</v>
      </c>
      <c r="M469">
        <f t="shared" ca="1" si="61"/>
        <v>54931</v>
      </c>
      <c r="N469">
        <f t="shared" ca="1" si="62"/>
        <v>54931</v>
      </c>
    </row>
    <row r="470" spans="1:14" x14ac:dyDescent="0.45">
      <c r="A470">
        <f t="shared" si="63"/>
        <v>469</v>
      </c>
      <c r="B470">
        <f t="shared" ca="1" si="56"/>
        <v>0.33051505178603557</v>
      </c>
      <c r="C470" t="str">
        <f ca="1">IF(B470&lt;=distribution!$D$2,distribution!$B$2,IF(B470&lt;=distribution!$D$3,distribution!$B$3,distribution!$B$4))</f>
        <v>ON</v>
      </c>
      <c r="D470">
        <f t="shared" ca="1" si="57"/>
        <v>4.308042053628125E-2</v>
      </c>
      <c r="E470" t="str">
        <f ca="1">IF(D470&lt;=distribution!$D$5,distribution!$B$5,distribution!$B$6)</f>
        <v>A</v>
      </c>
      <c r="F470">
        <f t="shared" ca="1" si="58"/>
        <v>0.10200733941494611</v>
      </c>
      <c r="G470" t="str">
        <f ca="1">IF(F470&lt;=distribution!$D$7,distribution!$B$7,IF(F470&lt;=distribution!$D$8,distribution!$B$8,IF(F470&lt;=distribution!$D$9,distribution!$B$9,distribution!$B$10)))</f>
        <v>25-34</v>
      </c>
      <c r="H470">
        <f ca="1">VLOOKUP(G470,age_band!$A$1:$C$5,2,FALSE)</f>
        <v>25</v>
      </c>
      <c r="I470">
        <f ca="1">VLOOKUP(G470,age_band!$A$2:$C$5,3,FALSE)</f>
        <v>34</v>
      </c>
      <c r="J470">
        <f t="shared" ca="1" si="59"/>
        <v>29</v>
      </c>
      <c r="K470">
        <f t="shared" ca="1" si="60"/>
        <v>0.92133760597482406</v>
      </c>
      <c r="L470" t="str">
        <f ca="1">IF(K470&lt;=distribution!$D$11,distribution!$B$11,distribution!$B$12)</f>
        <v>Y</v>
      </c>
      <c r="M470">
        <f t="shared" ca="1" si="61"/>
        <v>115862</v>
      </c>
      <c r="N470">
        <f t="shared" ca="1" si="62"/>
        <v>115862</v>
      </c>
    </row>
    <row r="471" spans="1:14" x14ac:dyDescent="0.45">
      <c r="A471">
        <f t="shared" si="63"/>
        <v>470</v>
      </c>
      <c r="B471">
        <f t="shared" ca="1" si="56"/>
        <v>4.2026026970402586E-2</v>
      </c>
      <c r="C471" t="str">
        <f ca="1">IF(B471&lt;=distribution!$D$2,distribution!$B$2,IF(B471&lt;=distribution!$D$3,distribution!$B$3,distribution!$B$4))</f>
        <v>ON</v>
      </c>
      <c r="D471">
        <f t="shared" ca="1" si="57"/>
        <v>0.16765735842243634</v>
      </c>
      <c r="E471" t="str">
        <f ca="1">IF(D471&lt;=distribution!$D$5,distribution!$B$5,distribution!$B$6)</f>
        <v>A</v>
      </c>
      <c r="F471">
        <f t="shared" ca="1" si="58"/>
        <v>0.27367338724565482</v>
      </c>
      <c r="G471" t="str">
        <f ca="1">IF(F471&lt;=distribution!$D$7,distribution!$B$7,IF(F471&lt;=distribution!$D$8,distribution!$B$8,IF(F471&lt;=distribution!$D$9,distribution!$B$9,distribution!$B$10)))</f>
        <v>35-44</v>
      </c>
      <c r="H471">
        <f ca="1">VLOOKUP(G471,age_band!$A$1:$C$5,2,FALSE)</f>
        <v>35</v>
      </c>
      <c r="I471">
        <f ca="1">VLOOKUP(G471,age_band!$A$2:$C$5,3,FALSE)</f>
        <v>44</v>
      </c>
      <c r="J471">
        <f t="shared" ca="1" si="59"/>
        <v>35</v>
      </c>
      <c r="K471">
        <f t="shared" ca="1" si="60"/>
        <v>9.5649772093011509E-2</v>
      </c>
      <c r="L471" t="str">
        <f ca="1">IF(K471&lt;=distribution!$D$11,distribution!$B$11,distribution!$B$12)</f>
        <v>N</v>
      </c>
      <c r="M471">
        <f t="shared" ca="1" si="61"/>
        <v>108660</v>
      </c>
      <c r="N471">
        <f t="shared" ca="1" si="62"/>
        <v>108660</v>
      </c>
    </row>
    <row r="472" spans="1:14" x14ac:dyDescent="0.45">
      <c r="A472">
        <f t="shared" si="63"/>
        <v>471</v>
      </c>
      <c r="B472">
        <f t="shared" ca="1" si="56"/>
        <v>0.25811396339778092</v>
      </c>
      <c r="C472" t="str">
        <f ca="1">IF(B472&lt;=distribution!$D$2,distribution!$B$2,IF(B472&lt;=distribution!$D$3,distribution!$B$3,distribution!$B$4))</f>
        <v>ON</v>
      </c>
      <c r="D472">
        <f t="shared" ca="1" si="57"/>
        <v>0.959580175982084</v>
      </c>
      <c r="E472" t="str">
        <f ca="1">IF(D472&lt;=distribution!$D$5,distribution!$B$5,distribution!$B$6)</f>
        <v>B</v>
      </c>
      <c r="F472">
        <f t="shared" ca="1" si="58"/>
        <v>6.6073883136499867E-2</v>
      </c>
      <c r="G472" t="str">
        <f ca="1">IF(F472&lt;=distribution!$D$7,distribution!$B$7,IF(F472&lt;=distribution!$D$8,distribution!$B$8,IF(F472&lt;=distribution!$D$9,distribution!$B$9,distribution!$B$10)))</f>
        <v>25-34</v>
      </c>
      <c r="H472">
        <f ca="1">VLOOKUP(G472,age_band!$A$1:$C$5,2,FALSE)</f>
        <v>25</v>
      </c>
      <c r="I472">
        <f ca="1">VLOOKUP(G472,age_band!$A$2:$C$5,3,FALSE)</f>
        <v>34</v>
      </c>
      <c r="J472">
        <f t="shared" ca="1" si="59"/>
        <v>26</v>
      </c>
      <c r="K472">
        <f t="shared" ca="1" si="60"/>
        <v>0.51779042613034654</v>
      </c>
      <c r="L472" t="str">
        <f ca="1">IF(K472&lt;=distribution!$D$11,distribution!$B$11,distribution!$B$12)</f>
        <v>N</v>
      </c>
      <c r="M472">
        <f t="shared" ca="1" si="61"/>
        <v>68490</v>
      </c>
      <c r="N472">
        <f t="shared" ca="1" si="62"/>
        <v>68490</v>
      </c>
    </row>
    <row r="473" spans="1:14" x14ac:dyDescent="0.45">
      <c r="A473">
        <f t="shared" si="63"/>
        <v>472</v>
      </c>
      <c r="B473">
        <f t="shared" ca="1" si="56"/>
        <v>0.27472449000272503</v>
      </c>
      <c r="C473" t="str">
        <f ca="1">IF(B473&lt;=distribution!$D$2,distribution!$B$2,IF(B473&lt;=distribution!$D$3,distribution!$B$3,distribution!$B$4))</f>
        <v>ON</v>
      </c>
      <c r="D473">
        <f t="shared" ca="1" si="57"/>
        <v>0.42934073090239089</v>
      </c>
      <c r="E473" t="str">
        <f ca="1">IF(D473&lt;=distribution!$D$5,distribution!$B$5,distribution!$B$6)</f>
        <v>A</v>
      </c>
      <c r="F473">
        <f t="shared" ca="1" si="58"/>
        <v>0.57467188106681599</v>
      </c>
      <c r="G473" t="str">
        <f ca="1">IF(F473&lt;=distribution!$D$7,distribution!$B$7,IF(F473&lt;=distribution!$D$8,distribution!$B$8,IF(F473&lt;=distribution!$D$9,distribution!$B$9,distribution!$B$10)))</f>
        <v>35-44</v>
      </c>
      <c r="H473">
        <f ca="1">VLOOKUP(G473,age_band!$A$1:$C$5,2,FALSE)</f>
        <v>35</v>
      </c>
      <c r="I473">
        <f ca="1">VLOOKUP(G473,age_band!$A$2:$C$5,3,FALSE)</f>
        <v>44</v>
      </c>
      <c r="J473">
        <f t="shared" ca="1" si="59"/>
        <v>43</v>
      </c>
      <c r="K473">
        <f t="shared" ca="1" si="60"/>
        <v>0.74064218415991245</v>
      </c>
      <c r="L473" t="str">
        <f ca="1">IF(K473&lt;=distribution!$D$11,distribution!$B$11,distribution!$B$12)</f>
        <v>N</v>
      </c>
      <c r="M473">
        <f t="shared" ca="1" si="61"/>
        <v>80808</v>
      </c>
      <c r="N473">
        <f t="shared" ca="1" si="62"/>
        <v>80808</v>
      </c>
    </row>
    <row r="474" spans="1:14" x14ac:dyDescent="0.45">
      <c r="A474">
        <f t="shared" si="63"/>
        <v>473</v>
      </c>
      <c r="B474">
        <f t="shared" ca="1" si="56"/>
        <v>0.81631092647661219</v>
      </c>
      <c r="C474" t="str">
        <f ca="1">IF(B474&lt;=distribution!$D$2,distribution!$B$2,IF(B474&lt;=distribution!$D$3,distribution!$B$3,distribution!$B$4))</f>
        <v>BC</v>
      </c>
      <c r="D474">
        <f t="shared" ca="1" si="57"/>
        <v>0.93121647315147282</v>
      </c>
      <c r="E474" t="str">
        <f ca="1">IF(D474&lt;=distribution!$D$5,distribution!$B$5,distribution!$B$6)</f>
        <v>B</v>
      </c>
      <c r="F474">
        <f t="shared" ca="1" si="58"/>
        <v>0.69185132743716471</v>
      </c>
      <c r="G474" t="str">
        <f ca="1">IF(F474&lt;=distribution!$D$7,distribution!$B$7,IF(F474&lt;=distribution!$D$8,distribution!$B$8,IF(F474&lt;=distribution!$D$9,distribution!$B$9,distribution!$B$10)))</f>
        <v>45-54</v>
      </c>
      <c r="H474">
        <f ca="1">VLOOKUP(G474,age_band!$A$1:$C$5,2,FALSE)</f>
        <v>45</v>
      </c>
      <c r="I474">
        <f ca="1">VLOOKUP(G474,age_band!$A$2:$C$5,3,FALSE)</f>
        <v>54</v>
      </c>
      <c r="J474">
        <f t="shared" ca="1" si="59"/>
        <v>54</v>
      </c>
      <c r="K474">
        <f t="shared" ca="1" si="60"/>
        <v>0.62490436968334573</v>
      </c>
      <c r="L474" t="str">
        <f ca="1">IF(K474&lt;=distribution!$D$11,distribution!$B$11,distribution!$B$12)</f>
        <v>N</v>
      </c>
      <c r="M474">
        <f t="shared" ca="1" si="61"/>
        <v>76295</v>
      </c>
      <c r="N474">
        <f t="shared" ca="1" si="62"/>
        <v>76295</v>
      </c>
    </row>
    <row r="475" spans="1:14" x14ac:dyDescent="0.45">
      <c r="A475">
        <f t="shared" si="63"/>
        <v>474</v>
      </c>
      <c r="B475">
        <f t="shared" ca="1" si="56"/>
        <v>0.78564076763944057</v>
      </c>
      <c r="C475" t="str">
        <f ca="1">IF(B475&lt;=distribution!$D$2,distribution!$B$2,IF(B475&lt;=distribution!$D$3,distribution!$B$3,distribution!$B$4))</f>
        <v>BC</v>
      </c>
      <c r="D475">
        <f t="shared" ca="1" si="57"/>
        <v>0.26775236527995461</v>
      </c>
      <c r="E475" t="str">
        <f ca="1">IF(D475&lt;=distribution!$D$5,distribution!$B$5,distribution!$B$6)</f>
        <v>A</v>
      </c>
      <c r="F475">
        <f t="shared" ca="1" si="58"/>
        <v>0.21857947377976539</v>
      </c>
      <c r="G475" t="str">
        <f ca="1">IF(F475&lt;=distribution!$D$7,distribution!$B$7,IF(F475&lt;=distribution!$D$8,distribution!$B$8,IF(F475&lt;=distribution!$D$9,distribution!$B$9,distribution!$B$10)))</f>
        <v>25-34</v>
      </c>
      <c r="H475">
        <f ca="1">VLOOKUP(G475,age_band!$A$1:$C$5,2,FALSE)</f>
        <v>25</v>
      </c>
      <c r="I475">
        <f ca="1">VLOOKUP(G475,age_band!$A$2:$C$5,3,FALSE)</f>
        <v>34</v>
      </c>
      <c r="J475">
        <f t="shared" ca="1" si="59"/>
        <v>29</v>
      </c>
      <c r="K475">
        <f t="shared" ca="1" si="60"/>
        <v>0.47666710278591407</v>
      </c>
      <c r="L475" t="str">
        <f ca="1">IF(K475&lt;=distribution!$D$11,distribution!$B$11,distribution!$B$12)</f>
        <v>N</v>
      </c>
      <c r="M475">
        <f t="shared" ca="1" si="61"/>
        <v>74535</v>
      </c>
      <c r="N475">
        <f t="shared" ca="1" si="62"/>
        <v>74535</v>
      </c>
    </row>
    <row r="476" spans="1:14" x14ac:dyDescent="0.45">
      <c r="A476">
        <f t="shared" si="63"/>
        <v>475</v>
      </c>
      <c r="B476">
        <f t="shared" ca="1" si="56"/>
        <v>9.7267738183614116E-2</v>
      </c>
      <c r="C476" t="str">
        <f ca="1">IF(B476&lt;=distribution!$D$2,distribution!$B$2,IF(B476&lt;=distribution!$D$3,distribution!$B$3,distribution!$B$4))</f>
        <v>ON</v>
      </c>
      <c r="D476">
        <f t="shared" ca="1" si="57"/>
        <v>0.32026459390543738</v>
      </c>
      <c r="E476" t="str">
        <f ca="1">IF(D476&lt;=distribution!$D$5,distribution!$B$5,distribution!$B$6)</f>
        <v>A</v>
      </c>
      <c r="F476">
        <f t="shared" ca="1" si="58"/>
        <v>0.59193777505653344</v>
      </c>
      <c r="G476" t="str">
        <f ca="1">IF(F476&lt;=distribution!$D$7,distribution!$B$7,IF(F476&lt;=distribution!$D$8,distribution!$B$8,IF(F476&lt;=distribution!$D$9,distribution!$B$9,distribution!$B$10)))</f>
        <v>35-44</v>
      </c>
      <c r="H476">
        <f ca="1">VLOOKUP(G476,age_band!$A$1:$C$5,2,FALSE)</f>
        <v>35</v>
      </c>
      <c r="I476">
        <f ca="1">VLOOKUP(G476,age_band!$A$2:$C$5,3,FALSE)</f>
        <v>44</v>
      </c>
      <c r="J476">
        <f t="shared" ca="1" si="59"/>
        <v>43</v>
      </c>
      <c r="K476">
        <f t="shared" ca="1" si="60"/>
        <v>0.36362851766809012</v>
      </c>
      <c r="L476" t="str">
        <f ca="1">IF(K476&lt;=distribution!$D$11,distribution!$B$11,distribution!$B$12)</f>
        <v>N</v>
      </c>
      <c r="M476">
        <f t="shared" ca="1" si="61"/>
        <v>52568</v>
      </c>
      <c r="N476">
        <f t="shared" ca="1" si="62"/>
        <v>52568</v>
      </c>
    </row>
    <row r="477" spans="1:14" x14ac:dyDescent="0.45">
      <c r="A477">
        <f t="shared" si="63"/>
        <v>476</v>
      </c>
      <c r="B477">
        <f t="shared" ca="1" si="56"/>
        <v>9.2945299248429869E-2</v>
      </c>
      <c r="C477" t="str">
        <f ca="1">IF(B477&lt;=distribution!$D$2,distribution!$B$2,IF(B477&lt;=distribution!$D$3,distribution!$B$3,distribution!$B$4))</f>
        <v>ON</v>
      </c>
      <c r="D477">
        <f t="shared" ca="1" si="57"/>
        <v>0.15595594644298705</v>
      </c>
      <c r="E477" t="str">
        <f ca="1">IF(D477&lt;=distribution!$D$5,distribution!$B$5,distribution!$B$6)</f>
        <v>A</v>
      </c>
      <c r="F477">
        <f t="shared" ca="1" si="58"/>
        <v>0.60381043359800624</v>
      </c>
      <c r="G477" t="str">
        <f ca="1">IF(F477&lt;=distribution!$D$7,distribution!$B$7,IF(F477&lt;=distribution!$D$8,distribution!$B$8,IF(F477&lt;=distribution!$D$9,distribution!$B$9,distribution!$B$10)))</f>
        <v>45-54</v>
      </c>
      <c r="H477">
        <f ca="1">VLOOKUP(G477,age_band!$A$1:$C$5,2,FALSE)</f>
        <v>45</v>
      </c>
      <c r="I477">
        <f ca="1">VLOOKUP(G477,age_band!$A$2:$C$5,3,FALSE)</f>
        <v>54</v>
      </c>
      <c r="J477">
        <f t="shared" ca="1" si="59"/>
        <v>49</v>
      </c>
      <c r="K477">
        <f t="shared" ca="1" si="60"/>
        <v>0.97509763358213741</v>
      </c>
      <c r="L477" t="str">
        <f ca="1">IF(K477&lt;=distribution!$D$11,distribution!$B$11,distribution!$B$12)</f>
        <v>Y</v>
      </c>
      <c r="M477">
        <f t="shared" ca="1" si="61"/>
        <v>111906</v>
      </c>
      <c r="N477">
        <f t="shared" ca="1" si="62"/>
        <v>111906</v>
      </c>
    </row>
    <row r="478" spans="1:14" x14ac:dyDescent="0.45">
      <c r="A478">
        <f t="shared" si="63"/>
        <v>477</v>
      </c>
      <c r="B478">
        <f t="shared" ca="1" si="56"/>
        <v>0.69452943632510222</v>
      </c>
      <c r="C478" t="str">
        <f ca="1">IF(B478&lt;=distribution!$D$2,distribution!$B$2,IF(B478&lt;=distribution!$D$3,distribution!$B$3,distribution!$B$4))</f>
        <v>QC</v>
      </c>
      <c r="D478">
        <f t="shared" ca="1" si="57"/>
        <v>0.32756248880357053</v>
      </c>
      <c r="E478" t="str">
        <f ca="1">IF(D478&lt;=distribution!$D$5,distribution!$B$5,distribution!$B$6)</f>
        <v>A</v>
      </c>
      <c r="F478">
        <f t="shared" ca="1" si="58"/>
        <v>0.6414974121133229</v>
      </c>
      <c r="G478" t="str">
        <f ca="1">IF(F478&lt;=distribution!$D$7,distribution!$B$7,IF(F478&lt;=distribution!$D$8,distribution!$B$8,IF(F478&lt;=distribution!$D$9,distribution!$B$9,distribution!$B$10)))</f>
        <v>45-54</v>
      </c>
      <c r="H478">
        <f ca="1">VLOOKUP(G478,age_band!$A$1:$C$5,2,FALSE)</f>
        <v>45</v>
      </c>
      <c r="I478">
        <f ca="1">VLOOKUP(G478,age_band!$A$2:$C$5,3,FALSE)</f>
        <v>54</v>
      </c>
      <c r="J478">
        <f t="shared" ca="1" si="59"/>
        <v>54</v>
      </c>
      <c r="K478">
        <f t="shared" ca="1" si="60"/>
        <v>0.2624270392287068</v>
      </c>
      <c r="L478" t="str">
        <f ca="1">IF(K478&lt;=distribution!$D$11,distribution!$B$11,distribution!$B$12)</f>
        <v>N</v>
      </c>
      <c r="M478">
        <f t="shared" ca="1" si="61"/>
        <v>59383</v>
      </c>
      <c r="N478">
        <f t="shared" ca="1" si="62"/>
        <v>59383</v>
      </c>
    </row>
    <row r="479" spans="1:14" x14ac:dyDescent="0.45">
      <c r="A479">
        <f t="shared" si="63"/>
        <v>478</v>
      </c>
      <c r="B479">
        <f t="shared" ca="1" si="56"/>
        <v>7.1078639591171333E-2</v>
      </c>
      <c r="C479" t="str">
        <f ca="1">IF(B479&lt;=distribution!$D$2,distribution!$B$2,IF(B479&lt;=distribution!$D$3,distribution!$B$3,distribution!$B$4))</f>
        <v>ON</v>
      </c>
      <c r="D479">
        <f t="shared" ca="1" si="57"/>
        <v>0.43502308408412871</v>
      </c>
      <c r="E479" t="str">
        <f ca="1">IF(D479&lt;=distribution!$D$5,distribution!$B$5,distribution!$B$6)</f>
        <v>A</v>
      </c>
      <c r="F479">
        <f t="shared" ca="1" si="58"/>
        <v>0.68674207891809358</v>
      </c>
      <c r="G479" t="str">
        <f ca="1">IF(F479&lt;=distribution!$D$7,distribution!$B$7,IF(F479&lt;=distribution!$D$8,distribution!$B$8,IF(F479&lt;=distribution!$D$9,distribution!$B$9,distribution!$B$10)))</f>
        <v>45-54</v>
      </c>
      <c r="H479">
        <f ca="1">VLOOKUP(G479,age_band!$A$1:$C$5,2,FALSE)</f>
        <v>45</v>
      </c>
      <c r="I479">
        <f ca="1">VLOOKUP(G479,age_band!$A$2:$C$5,3,FALSE)</f>
        <v>54</v>
      </c>
      <c r="J479">
        <f t="shared" ca="1" si="59"/>
        <v>46</v>
      </c>
      <c r="K479">
        <f t="shared" ca="1" si="60"/>
        <v>0.48642836736033868</v>
      </c>
      <c r="L479" t="str">
        <f ca="1">IF(K479&lt;=distribution!$D$11,distribution!$B$11,distribution!$B$12)</f>
        <v>N</v>
      </c>
      <c r="M479">
        <f t="shared" ca="1" si="61"/>
        <v>89671</v>
      </c>
      <c r="N479">
        <f t="shared" ca="1" si="62"/>
        <v>89671</v>
      </c>
    </row>
    <row r="480" spans="1:14" x14ac:dyDescent="0.45">
      <c r="A480">
        <f t="shared" si="63"/>
        <v>479</v>
      </c>
      <c r="B480">
        <f t="shared" ca="1" si="56"/>
        <v>0.79366136076276206</v>
      </c>
      <c r="C480" t="str">
        <f ca="1">IF(B480&lt;=distribution!$D$2,distribution!$B$2,IF(B480&lt;=distribution!$D$3,distribution!$B$3,distribution!$B$4))</f>
        <v>BC</v>
      </c>
      <c r="D480">
        <f t="shared" ca="1" si="57"/>
        <v>0.99057425026224122</v>
      </c>
      <c r="E480" t="str">
        <f ca="1">IF(D480&lt;=distribution!$D$5,distribution!$B$5,distribution!$B$6)</f>
        <v>B</v>
      </c>
      <c r="F480">
        <f t="shared" ca="1" si="58"/>
        <v>3.0013813411453594E-2</v>
      </c>
      <c r="G480" t="str">
        <f ca="1">IF(F480&lt;=distribution!$D$7,distribution!$B$7,IF(F480&lt;=distribution!$D$8,distribution!$B$8,IF(F480&lt;=distribution!$D$9,distribution!$B$9,distribution!$B$10)))</f>
        <v>25-34</v>
      </c>
      <c r="H480">
        <f ca="1">VLOOKUP(G480,age_band!$A$1:$C$5,2,FALSE)</f>
        <v>25</v>
      </c>
      <c r="I480">
        <f ca="1">VLOOKUP(G480,age_band!$A$2:$C$5,3,FALSE)</f>
        <v>34</v>
      </c>
      <c r="J480">
        <f t="shared" ca="1" si="59"/>
        <v>26</v>
      </c>
      <c r="K480">
        <f t="shared" ca="1" si="60"/>
        <v>0.22718838279101672</v>
      </c>
      <c r="L480" t="str">
        <f ca="1">IF(K480&lt;=distribution!$D$11,distribution!$B$11,distribution!$B$12)</f>
        <v>N</v>
      </c>
      <c r="M480">
        <f t="shared" ca="1" si="61"/>
        <v>73144</v>
      </c>
      <c r="N480">
        <f t="shared" ca="1" si="62"/>
        <v>73144</v>
      </c>
    </row>
    <row r="481" spans="1:14" x14ac:dyDescent="0.45">
      <c r="A481">
        <f t="shared" si="63"/>
        <v>480</v>
      </c>
      <c r="B481">
        <f t="shared" ca="1" si="56"/>
        <v>0.76491924937275235</v>
      </c>
      <c r="C481" t="str">
        <f ca="1">IF(B481&lt;=distribution!$D$2,distribution!$B$2,IF(B481&lt;=distribution!$D$3,distribution!$B$3,distribution!$B$4))</f>
        <v>BC</v>
      </c>
      <c r="D481">
        <f t="shared" ca="1" si="57"/>
        <v>0.48854049614060413</v>
      </c>
      <c r="E481" t="str">
        <f ca="1">IF(D481&lt;=distribution!$D$5,distribution!$B$5,distribution!$B$6)</f>
        <v>A</v>
      </c>
      <c r="F481">
        <f t="shared" ca="1" si="58"/>
        <v>0.63884957723694036</v>
      </c>
      <c r="G481" t="str">
        <f ca="1">IF(F481&lt;=distribution!$D$7,distribution!$B$7,IF(F481&lt;=distribution!$D$8,distribution!$B$8,IF(F481&lt;=distribution!$D$9,distribution!$B$9,distribution!$B$10)))</f>
        <v>45-54</v>
      </c>
      <c r="H481">
        <f ca="1">VLOOKUP(G481,age_band!$A$1:$C$5,2,FALSE)</f>
        <v>45</v>
      </c>
      <c r="I481">
        <f ca="1">VLOOKUP(G481,age_band!$A$2:$C$5,3,FALSE)</f>
        <v>54</v>
      </c>
      <c r="J481">
        <f t="shared" ca="1" si="59"/>
        <v>51</v>
      </c>
      <c r="K481">
        <f t="shared" ca="1" si="60"/>
        <v>0.71467914382735553</v>
      </c>
      <c r="L481" t="str">
        <f ca="1">IF(K481&lt;=distribution!$D$11,distribution!$B$11,distribution!$B$12)</f>
        <v>N</v>
      </c>
      <c r="M481">
        <f t="shared" ca="1" si="61"/>
        <v>90833</v>
      </c>
      <c r="N481">
        <f t="shared" ca="1" si="62"/>
        <v>90833</v>
      </c>
    </row>
    <row r="482" spans="1:14" x14ac:dyDescent="0.45">
      <c r="A482">
        <f t="shared" si="63"/>
        <v>481</v>
      </c>
      <c r="B482">
        <f t="shared" ca="1" si="56"/>
        <v>0.98130279301891865</v>
      </c>
      <c r="C482" t="str">
        <f ca="1">IF(B482&lt;=distribution!$D$2,distribution!$B$2,IF(B482&lt;=distribution!$D$3,distribution!$B$3,distribution!$B$4))</f>
        <v>BC</v>
      </c>
      <c r="D482">
        <f t="shared" ca="1" si="57"/>
        <v>0.62955544542041331</v>
      </c>
      <c r="E482" t="str">
        <f ca="1">IF(D482&lt;=distribution!$D$5,distribution!$B$5,distribution!$B$6)</f>
        <v>A</v>
      </c>
      <c r="F482">
        <f t="shared" ca="1" si="58"/>
        <v>0.26979885572312579</v>
      </c>
      <c r="G482" t="str">
        <f ca="1">IF(F482&lt;=distribution!$D$7,distribution!$B$7,IF(F482&lt;=distribution!$D$8,distribution!$B$8,IF(F482&lt;=distribution!$D$9,distribution!$B$9,distribution!$B$10)))</f>
        <v>35-44</v>
      </c>
      <c r="H482">
        <f ca="1">VLOOKUP(G482,age_band!$A$1:$C$5,2,FALSE)</f>
        <v>35</v>
      </c>
      <c r="I482">
        <f ca="1">VLOOKUP(G482,age_band!$A$2:$C$5,3,FALSE)</f>
        <v>44</v>
      </c>
      <c r="J482">
        <f t="shared" ca="1" si="59"/>
        <v>43</v>
      </c>
      <c r="K482">
        <f t="shared" ca="1" si="60"/>
        <v>0.98742092071851417</v>
      </c>
      <c r="L482" t="str">
        <f ca="1">IF(K482&lt;=distribution!$D$11,distribution!$B$11,distribution!$B$12)</f>
        <v>Y</v>
      </c>
      <c r="M482">
        <f t="shared" ca="1" si="61"/>
        <v>55203</v>
      </c>
      <c r="N482">
        <f t="shared" ca="1" si="62"/>
        <v>55203</v>
      </c>
    </row>
    <row r="483" spans="1:14" x14ac:dyDescent="0.45">
      <c r="A483">
        <f t="shared" si="63"/>
        <v>482</v>
      </c>
      <c r="B483">
        <f t="shared" ca="1" si="56"/>
        <v>0.82950338395262146</v>
      </c>
      <c r="C483" t="str">
        <f ca="1">IF(B483&lt;=distribution!$D$2,distribution!$B$2,IF(B483&lt;=distribution!$D$3,distribution!$B$3,distribution!$B$4))</f>
        <v>BC</v>
      </c>
      <c r="D483">
        <f t="shared" ca="1" si="57"/>
        <v>0.68237626455578404</v>
      </c>
      <c r="E483" t="str">
        <f ca="1">IF(D483&lt;=distribution!$D$5,distribution!$B$5,distribution!$B$6)</f>
        <v>B</v>
      </c>
      <c r="F483">
        <f t="shared" ca="1" si="58"/>
        <v>0.54725172762978769</v>
      </c>
      <c r="G483" t="str">
        <f ca="1">IF(F483&lt;=distribution!$D$7,distribution!$B$7,IF(F483&lt;=distribution!$D$8,distribution!$B$8,IF(F483&lt;=distribution!$D$9,distribution!$B$9,distribution!$B$10)))</f>
        <v>35-44</v>
      </c>
      <c r="H483">
        <f ca="1">VLOOKUP(G483,age_band!$A$1:$C$5,2,FALSE)</f>
        <v>35</v>
      </c>
      <c r="I483">
        <f ca="1">VLOOKUP(G483,age_band!$A$2:$C$5,3,FALSE)</f>
        <v>44</v>
      </c>
      <c r="J483">
        <f t="shared" ca="1" si="59"/>
        <v>41</v>
      </c>
      <c r="K483">
        <f t="shared" ca="1" si="60"/>
        <v>0.96578495866614922</v>
      </c>
      <c r="L483" t="str">
        <f ca="1">IF(K483&lt;=distribution!$D$11,distribution!$B$11,distribution!$B$12)</f>
        <v>Y</v>
      </c>
      <c r="M483">
        <f t="shared" ca="1" si="61"/>
        <v>47148</v>
      </c>
      <c r="N483">
        <f t="shared" ca="1" si="62"/>
        <v>47148</v>
      </c>
    </row>
    <row r="484" spans="1:14" x14ac:dyDescent="0.45">
      <c r="A484">
        <f t="shared" si="63"/>
        <v>483</v>
      </c>
      <c r="B484">
        <f t="shared" ca="1" si="56"/>
        <v>7.3012974541049158E-2</v>
      </c>
      <c r="C484" t="str">
        <f ca="1">IF(B484&lt;=distribution!$D$2,distribution!$B$2,IF(B484&lt;=distribution!$D$3,distribution!$B$3,distribution!$B$4))</f>
        <v>ON</v>
      </c>
      <c r="D484">
        <f t="shared" ca="1" si="57"/>
        <v>0.50254775701899568</v>
      </c>
      <c r="E484" t="str">
        <f ca="1">IF(D484&lt;=distribution!$D$5,distribution!$B$5,distribution!$B$6)</f>
        <v>A</v>
      </c>
      <c r="F484">
        <f t="shared" ca="1" si="58"/>
        <v>0.10757767850208189</v>
      </c>
      <c r="G484" t="str">
        <f ca="1">IF(F484&lt;=distribution!$D$7,distribution!$B$7,IF(F484&lt;=distribution!$D$8,distribution!$B$8,IF(F484&lt;=distribution!$D$9,distribution!$B$9,distribution!$B$10)))</f>
        <v>25-34</v>
      </c>
      <c r="H484">
        <f ca="1">VLOOKUP(G484,age_band!$A$1:$C$5,2,FALSE)</f>
        <v>25</v>
      </c>
      <c r="I484">
        <f ca="1">VLOOKUP(G484,age_band!$A$2:$C$5,3,FALSE)</f>
        <v>34</v>
      </c>
      <c r="J484">
        <f t="shared" ca="1" si="59"/>
        <v>26</v>
      </c>
      <c r="K484">
        <f t="shared" ca="1" si="60"/>
        <v>0.67191279256160308</v>
      </c>
      <c r="L484" t="str">
        <f ca="1">IF(K484&lt;=distribution!$D$11,distribution!$B$11,distribution!$B$12)</f>
        <v>N</v>
      </c>
      <c r="M484">
        <f t="shared" ca="1" si="61"/>
        <v>114793</v>
      </c>
      <c r="N484">
        <f t="shared" ca="1" si="62"/>
        <v>114793</v>
      </c>
    </row>
    <row r="485" spans="1:14" x14ac:dyDescent="0.45">
      <c r="A485">
        <f t="shared" si="63"/>
        <v>484</v>
      </c>
      <c r="B485">
        <f t="shared" ca="1" si="56"/>
        <v>0.49576808662366623</v>
      </c>
      <c r="C485" t="str">
        <f ca="1">IF(B485&lt;=distribution!$D$2,distribution!$B$2,IF(B485&lt;=distribution!$D$3,distribution!$B$3,distribution!$B$4))</f>
        <v>ON</v>
      </c>
      <c r="D485">
        <f t="shared" ca="1" si="57"/>
        <v>0.47851982604784626</v>
      </c>
      <c r="E485" t="str">
        <f ca="1">IF(D485&lt;=distribution!$D$5,distribution!$B$5,distribution!$B$6)</f>
        <v>A</v>
      </c>
      <c r="F485">
        <f t="shared" ca="1" si="58"/>
        <v>0.88528549791441769</v>
      </c>
      <c r="G485" t="str">
        <f ca="1">IF(F485&lt;=distribution!$D$7,distribution!$B$7,IF(F485&lt;=distribution!$D$8,distribution!$B$8,IF(F485&lt;=distribution!$D$9,distribution!$B$9,distribution!$B$10)))</f>
        <v>55-64</v>
      </c>
      <c r="H485">
        <f ca="1">VLOOKUP(G485,age_band!$A$1:$C$5,2,FALSE)</f>
        <v>55</v>
      </c>
      <c r="I485">
        <f ca="1">VLOOKUP(G485,age_band!$A$2:$C$5,3,FALSE)</f>
        <v>64</v>
      </c>
      <c r="J485">
        <f t="shared" ca="1" si="59"/>
        <v>59</v>
      </c>
      <c r="K485">
        <f t="shared" ca="1" si="60"/>
        <v>0.44617099078415501</v>
      </c>
      <c r="L485" t="str">
        <f ca="1">IF(K485&lt;=distribution!$D$11,distribution!$B$11,distribution!$B$12)</f>
        <v>N</v>
      </c>
      <c r="M485">
        <f t="shared" ca="1" si="61"/>
        <v>79283</v>
      </c>
      <c r="N485">
        <f t="shared" ca="1" si="62"/>
        <v>79283</v>
      </c>
    </row>
    <row r="486" spans="1:14" x14ac:dyDescent="0.45">
      <c r="A486">
        <f t="shared" si="63"/>
        <v>485</v>
      </c>
      <c r="B486">
        <f t="shared" ca="1" si="56"/>
        <v>0.9076393741331632</v>
      </c>
      <c r="C486" t="str">
        <f ca="1">IF(B486&lt;=distribution!$D$2,distribution!$B$2,IF(B486&lt;=distribution!$D$3,distribution!$B$3,distribution!$B$4))</f>
        <v>BC</v>
      </c>
      <c r="D486">
        <f t="shared" ca="1" si="57"/>
        <v>0.56896170568292781</v>
      </c>
      <c r="E486" t="str">
        <f ca="1">IF(D486&lt;=distribution!$D$5,distribution!$B$5,distribution!$B$6)</f>
        <v>A</v>
      </c>
      <c r="F486">
        <f t="shared" ca="1" si="58"/>
        <v>0.19497133730357985</v>
      </c>
      <c r="G486" t="str">
        <f ca="1">IF(F486&lt;=distribution!$D$7,distribution!$B$7,IF(F486&lt;=distribution!$D$8,distribution!$B$8,IF(F486&lt;=distribution!$D$9,distribution!$B$9,distribution!$B$10)))</f>
        <v>25-34</v>
      </c>
      <c r="H486">
        <f ca="1">VLOOKUP(G486,age_band!$A$1:$C$5,2,FALSE)</f>
        <v>25</v>
      </c>
      <c r="I486">
        <f ca="1">VLOOKUP(G486,age_band!$A$2:$C$5,3,FALSE)</f>
        <v>34</v>
      </c>
      <c r="J486">
        <f t="shared" ca="1" si="59"/>
        <v>30</v>
      </c>
      <c r="K486">
        <f t="shared" ca="1" si="60"/>
        <v>0.73724495348856534</v>
      </c>
      <c r="L486" t="str">
        <f ca="1">IF(K486&lt;=distribution!$D$11,distribution!$B$11,distribution!$B$12)</f>
        <v>N</v>
      </c>
      <c r="M486">
        <f t="shared" ca="1" si="61"/>
        <v>109886</v>
      </c>
      <c r="N486">
        <f t="shared" ca="1" si="62"/>
        <v>109886</v>
      </c>
    </row>
    <row r="487" spans="1:14" x14ac:dyDescent="0.45">
      <c r="A487">
        <f t="shared" si="63"/>
        <v>486</v>
      </c>
      <c r="B487">
        <f t="shared" ca="1" si="56"/>
        <v>0.52007690325672606</v>
      </c>
      <c r="C487" t="str">
        <f ca="1">IF(B487&lt;=distribution!$D$2,distribution!$B$2,IF(B487&lt;=distribution!$D$3,distribution!$B$3,distribution!$B$4))</f>
        <v>ON</v>
      </c>
      <c r="D487">
        <f t="shared" ca="1" si="57"/>
        <v>0.2824882625657209</v>
      </c>
      <c r="E487" t="str">
        <f ca="1">IF(D487&lt;=distribution!$D$5,distribution!$B$5,distribution!$B$6)</f>
        <v>A</v>
      </c>
      <c r="F487">
        <f t="shared" ca="1" si="58"/>
        <v>0.55102958005594882</v>
      </c>
      <c r="G487" t="str">
        <f ca="1">IF(F487&lt;=distribution!$D$7,distribution!$B$7,IF(F487&lt;=distribution!$D$8,distribution!$B$8,IF(F487&lt;=distribution!$D$9,distribution!$B$9,distribution!$B$10)))</f>
        <v>35-44</v>
      </c>
      <c r="H487">
        <f ca="1">VLOOKUP(G487,age_band!$A$1:$C$5,2,FALSE)</f>
        <v>35</v>
      </c>
      <c r="I487">
        <f ca="1">VLOOKUP(G487,age_band!$A$2:$C$5,3,FALSE)</f>
        <v>44</v>
      </c>
      <c r="J487">
        <f t="shared" ca="1" si="59"/>
        <v>38</v>
      </c>
      <c r="K487">
        <f t="shared" ca="1" si="60"/>
        <v>0.14484679507300102</v>
      </c>
      <c r="L487" t="str">
        <f ca="1">IF(K487&lt;=distribution!$D$11,distribution!$B$11,distribution!$B$12)</f>
        <v>N</v>
      </c>
      <c r="M487">
        <f t="shared" ca="1" si="61"/>
        <v>54539</v>
      </c>
      <c r="N487">
        <f t="shared" ca="1" si="62"/>
        <v>54539</v>
      </c>
    </row>
    <row r="488" spans="1:14" x14ac:dyDescent="0.45">
      <c r="A488">
        <f t="shared" si="63"/>
        <v>487</v>
      </c>
      <c r="B488">
        <f t="shared" ca="1" si="56"/>
        <v>0.87403900262186818</v>
      </c>
      <c r="C488" t="str">
        <f ca="1">IF(B488&lt;=distribution!$D$2,distribution!$B$2,IF(B488&lt;=distribution!$D$3,distribution!$B$3,distribution!$B$4))</f>
        <v>BC</v>
      </c>
      <c r="D488">
        <f t="shared" ca="1" si="57"/>
        <v>0.36789948716894816</v>
      </c>
      <c r="E488" t="str">
        <f ca="1">IF(D488&lt;=distribution!$D$5,distribution!$B$5,distribution!$B$6)</f>
        <v>A</v>
      </c>
      <c r="F488">
        <f t="shared" ca="1" si="58"/>
        <v>0.7479478697676768</v>
      </c>
      <c r="G488" t="str">
        <f ca="1">IF(F488&lt;=distribution!$D$7,distribution!$B$7,IF(F488&lt;=distribution!$D$8,distribution!$B$8,IF(F488&lt;=distribution!$D$9,distribution!$B$9,distribution!$B$10)))</f>
        <v>45-54</v>
      </c>
      <c r="H488">
        <f ca="1">VLOOKUP(G488,age_band!$A$1:$C$5,2,FALSE)</f>
        <v>45</v>
      </c>
      <c r="I488">
        <f ca="1">VLOOKUP(G488,age_band!$A$2:$C$5,3,FALSE)</f>
        <v>54</v>
      </c>
      <c r="J488">
        <f t="shared" ca="1" si="59"/>
        <v>45</v>
      </c>
      <c r="K488">
        <f t="shared" ca="1" si="60"/>
        <v>0.26952946043404769</v>
      </c>
      <c r="L488" t="str">
        <f ca="1">IF(K488&lt;=distribution!$D$11,distribution!$B$11,distribution!$B$12)</f>
        <v>N</v>
      </c>
      <c r="M488">
        <f t="shared" ca="1" si="61"/>
        <v>92978</v>
      </c>
      <c r="N488">
        <f t="shared" ca="1" si="62"/>
        <v>92978</v>
      </c>
    </row>
    <row r="489" spans="1:14" x14ac:dyDescent="0.45">
      <c r="A489">
        <f t="shared" si="63"/>
        <v>488</v>
      </c>
      <c r="B489">
        <f t="shared" ca="1" si="56"/>
        <v>0.3567819116461679</v>
      </c>
      <c r="C489" t="str">
        <f ca="1">IF(B489&lt;=distribution!$D$2,distribution!$B$2,IF(B489&lt;=distribution!$D$3,distribution!$B$3,distribution!$B$4))</f>
        <v>ON</v>
      </c>
      <c r="D489">
        <f t="shared" ca="1" si="57"/>
        <v>0.41541646253010944</v>
      </c>
      <c r="E489" t="str">
        <f ca="1">IF(D489&lt;=distribution!$D$5,distribution!$B$5,distribution!$B$6)</f>
        <v>A</v>
      </c>
      <c r="F489">
        <f t="shared" ca="1" si="58"/>
        <v>0.93962925895569371</v>
      </c>
      <c r="G489" t="str">
        <f ca="1">IF(F489&lt;=distribution!$D$7,distribution!$B$7,IF(F489&lt;=distribution!$D$8,distribution!$B$8,IF(F489&lt;=distribution!$D$9,distribution!$B$9,distribution!$B$10)))</f>
        <v>55-64</v>
      </c>
      <c r="H489">
        <f ca="1">VLOOKUP(G489,age_band!$A$1:$C$5,2,FALSE)</f>
        <v>55</v>
      </c>
      <c r="I489">
        <f ca="1">VLOOKUP(G489,age_band!$A$2:$C$5,3,FALSE)</f>
        <v>64</v>
      </c>
      <c r="J489">
        <f t="shared" ca="1" si="59"/>
        <v>56</v>
      </c>
      <c r="K489">
        <f t="shared" ca="1" si="60"/>
        <v>0.40305567357598915</v>
      </c>
      <c r="L489" t="str">
        <f ca="1">IF(K489&lt;=distribution!$D$11,distribution!$B$11,distribution!$B$12)</f>
        <v>N</v>
      </c>
      <c r="M489">
        <f t="shared" ca="1" si="61"/>
        <v>57302</v>
      </c>
      <c r="N489">
        <f t="shared" ca="1" si="62"/>
        <v>57302</v>
      </c>
    </row>
    <row r="490" spans="1:14" x14ac:dyDescent="0.45">
      <c r="A490">
        <f t="shared" si="63"/>
        <v>489</v>
      </c>
      <c r="B490">
        <f t="shared" ca="1" si="56"/>
        <v>0.10235171237792229</v>
      </c>
      <c r="C490" t="str">
        <f ca="1">IF(B490&lt;=distribution!$D$2,distribution!$B$2,IF(B490&lt;=distribution!$D$3,distribution!$B$3,distribution!$B$4))</f>
        <v>ON</v>
      </c>
      <c r="D490">
        <f t="shared" ca="1" si="57"/>
        <v>0.33172304045481293</v>
      </c>
      <c r="E490" t="str">
        <f ca="1">IF(D490&lt;=distribution!$D$5,distribution!$B$5,distribution!$B$6)</f>
        <v>A</v>
      </c>
      <c r="F490">
        <f t="shared" ca="1" si="58"/>
        <v>0.36194344208135021</v>
      </c>
      <c r="G490" t="str">
        <f ca="1">IF(F490&lt;=distribution!$D$7,distribution!$B$7,IF(F490&lt;=distribution!$D$8,distribution!$B$8,IF(F490&lt;=distribution!$D$9,distribution!$B$9,distribution!$B$10)))</f>
        <v>35-44</v>
      </c>
      <c r="H490">
        <f ca="1">VLOOKUP(G490,age_band!$A$1:$C$5,2,FALSE)</f>
        <v>35</v>
      </c>
      <c r="I490">
        <f ca="1">VLOOKUP(G490,age_band!$A$2:$C$5,3,FALSE)</f>
        <v>44</v>
      </c>
      <c r="J490">
        <f t="shared" ca="1" si="59"/>
        <v>38</v>
      </c>
      <c r="K490">
        <f t="shared" ca="1" si="60"/>
        <v>0.79466578412741862</v>
      </c>
      <c r="L490" t="str">
        <f ca="1">IF(K490&lt;=distribution!$D$11,distribution!$B$11,distribution!$B$12)</f>
        <v>N</v>
      </c>
      <c r="M490">
        <f t="shared" ca="1" si="61"/>
        <v>79091</v>
      </c>
      <c r="N490">
        <f t="shared" ca="1" si="62"/>
        <v>79091</v>
      </c>
    </row>
    <row r="491" spans="1:14" x14ac:dyDescent="0.45">
      <c r="A491">
        <f t="shared" si="63"/>
        <v>490</v>
      </c>
      <c r="B491">
        <f t="shared" ca="1" si="56"/>
        <v>0.3030364750636777</v>
      </c>
      <c r="C491" t="str">
        <f ca="1">IF(B491&lt;=distribution!$D$2,distribution!$B$2,IF(B491&lt;=distribution!$D$3,distribution!$B$3,distribution!$B$4))</f>
        <v>ON</v>
      </c>
      <c r="D491">
        <f t="shared" ca="1" si="57"/>
        <v>0.50275894903028007</v>
      </c>
      <c r="E491" t="str">
        <f ca="1">IF(D491&lt;=distribution!$D$5,distribution!$B$5,distribution!$B$6)</f>
        <v>A</v>
      </c>
      <c r="F491">
        <f t="shared" ca="1" si="58"/>
        <v>0.98127583808564478</v>
      </c>
      <c r="G491" t="str">
        <f ca="1">IF(F491&lt;=distribution!$D$7,distribution!$B$7,IF(F491&lt;=distribution!$D$8,distribution!$B$8,IF(F491&lt;=distribution!$D$9,distribution!$B$9,distribution!$B$10)))</f>
        <v>55-64</v>
      </c>
      <c r="H491">
        <f ca="1">VLOOKUP(G491,age_band!$A$1:$C$5,2,FALSE)</f>
        <v>55</v>
      </c>
      <c r="I491">
        <f ca="1">VLOOKUP(G491,age_band!$A$2:$C$5,3,FALSE)</f>
        <v>64</v>
      </c>
      <c r="J491">
        <f t="shared" ca="1" si="59"/>
        <v>61</v>
      </c>
      <c r="K491">
        <f t="shared" ca="1" si="60"/>
        <v>0.97653372842563668</v>
      </c>
      <c r="L491" t="str">
        <f ca="1">IF(K491&lt;=distribution!$D$11,distribution!$B$11,distribution!$B$12)</f>
        <v>Y</v>
      </c>
      <c r="M491">
        <f t="shared" ca="1" si="61"/>
        <v>71276</v>
      </c>
      <c r="N491">
        <f t="shared" ca="1" si="62"/>
        <v>71276</v>
      </c>
    </row>
    <row r="492" spans="1:14" x14ac:dyDescent="0.45">
      <c r="A492">
        <f t="shared" si="63"/>
        <v>491</v>
      </c>
      <c r="B492">
        <f t="shared" ca="1" si="56"/>
        <v>0.61295174222869497</v>
      </c>
      <c r="C492" t="str">
        <f ca="1">IF(B492&lt;=distribution!$D$2,distribution!$B$2,IF(B492&lt;=distribution!$D$3,distribution!$B$3,distribution!$B$4))</f>
        <v>QC</v>
      </c>
      <c r="D492">
        <f t="shared" ca="1" si="57"/>
        <v>0.45360356220603981</v>
      </c>
      <c r="E492" t="str">
        <f ca="1">IF(D492&lt;=distribution!$D$5,distribution!$B$5,distribution!$B$6)</f>
        <v>A</v>
      </c>
      <c r="F492">
        <f t="shared" ca="1" si="58"/>
        <v>0.49398414032065452</v>
      </c>
      <c r="G492" t="str">
        <f ca="1">IF(F492&lt;=distribution!$D$7,distribution!$B$7,IF(F492&lt;=distribution!$D$8,distribution!$B$8,IF(F492&lt;=distribution!$D$9,distribution!$B$9,distribution!$B$10)))</f>
        <v>35-44</v>
      </c>
      <c r="H492">
        <f ca="1">VLOOKUP(G492,age_band!$A$1:$C$5,2,FALSE)</f>
        <v>35</v>
      </c>
      <c r="I492">
        <f ca="1">VLOOKUP(G492,age_band!$A$2:$C$5,3,FALSE)</f>
        <v>44</v>
      </c>
      <c r="J492">
        <f t="shared" ca="1" si="59"/>
        <v>40</v>
      </c>
      <c r="K492">
        <f t="shared" ca="1" si="60"/>
        <v>0.89874541615547088</v>
      </c>
      <c r="L492" t="str">
        <f ca="1">IF(K492&lt;=distribution!$D$11,distribution!$B$11,distribution!$B$12)</f>
        <v>Y</v>
      </c>
      <c r="M492">
        <f t="shared" ca="1" si="61"/>
        <v>122203</v>
      </c>
      <c r="N492">
        <f t="shared" ca="1" si="62"/>
        <v>122203</v>
      </c>
    </row>
    <row r="493" spans="1:14" x14ac:dyDescent="0.45">
      <c r="A493">
        <f t="shared" si="63"/>
        <v>492</v>
      </c>
      <c r="B493">
        <f t="shared" ca="1" si="56"/>
        <v>9.7186187497174559E-2</v>
      </c>
      <c r="C493" t="str">
        <f ca="1">IF(B493&lt;=distribution!$D$2,distribution!$B$2,IF(B493&lt;=distribution!$D$3,distribution!$B$3,distribution!$B$4))</f>
        <v>ON</v>
      </c>
      <c r="D493">
        <f t="shared" ca="1" si="57"/>
        <v>0.87312852735241386</v>
      </c>
      <c r="E493" t="str">
        <f ca="1">IF(D493&lt;=distribution!$D$5,distribution!$B$5,distribution!$B$6)</f>
        <v>B</v>
      </c>
      <c r="F493">
        <f t="shared" ca="1" si="58"/>
        <v>0.76577208888983817</v>
      </c>
      <c r="G493" t="str">
        <f ca="1">IF(F493&lt;=distribution!$D$7,distribution!$B$7,IF(F493&lt;=distribution!$D$8,distribution!$B$8,IF(F493&lt;=distribution!$D$9,distribution!$B$9,distribution!$B$10)))</f>
        <v>45-54</v>
      </c>
      <c r="H493">
        <f ca="1">VLOOKUP(G493,age_band!$A$1:$C$5,2,FALSE)</f>
        <v>45</v>
      </c>
      <c r="I493">
        <f ca="1">VLOOKUP(G493,age_band!$A$2:$C$5,3,FALSE)</f>
        <v>54</v>
      </c>
      <c r="J493">
        <f t="shared" ca="1" si="59"/>
        <v>53</v>
      </c>
      <c r="K493">
        <f t="shared" ca="1" si="60"/>
        <v>0.96544060724664027</v>
      </c>
      <c r="L493" t="str">
        <f ca="1">IF(K493&lt;=distribution!$D$11,distribution!$B$11,distribution!$B$12)</f>
        <v>Y</v>
      </c>
      <c r="M493">
        <f t="shared" ca="1" si="61"/>
        <v>55959</v>
      </c>
      <c r="N493">
        <f t="shared" ca="1" si="62"/>
        <v>55959</v>
      </c>
    </row>
    <row r="494" spans="1:14" x14ac:dyDescent="0.45">
      <c r="A494">
        <f t="shared" si="63"/>
        <v>493</v>
      </c>
      <c r="B494">
        <f t="shared" ca="1" si="56"/>
        <v>0.15360263108299077</v>
      </c>
      <c r="C494" t="str">
        <f ca="1">IF(B494&lt;=distribution!$D$2,distribution!$B$2,IF(B494&lt;=distribution!$D$3,distribution!$B$3,distribution!$B$4))</f>
        <v>ON</v>
      </c>
      <c r="D494">
        <f t="shared" ca="1" si="57"/>
        <v>0.38536065808180042</v>
      </c>
      <c r="E494" t="str">
        <f ca="1">IF(D494&lt;=distribution!$D$5,distribution!$B$5,distribution!$B$6)</f>
        <v>A</v>
      </c>
      <c r="F494">
        <f t="shared" ca="1" si="58"/>
        <v>0.27666969494530214</v>
      </c>
      <c r="G494" t="str">
        <f ca="1">IF(F494&lt;=distribution!$D$7,distribution!$B$7,IF(F494&lt;=distribution!$D$8,distribution!$B$8,IF(F494&lt;=distribution!$D$9,distribution!$B$9,distribution!$B$10)))</f>
        <v>35-44</v>
      </c>
      <c r="H494">
        <f ca="1">VLOOKUP(G494,age_band!$A$1:$C$5,2,FALSE)</f>
        <v>35</v>
      </c>
      <c r="I494">
        <f ca="1">VLOOKUP(G494,age_band!$A$2:$C$5,3,FALSE)</f>
        <v>44</v>
      </c>
      <c r="J494">
        <f t="shared" ca="1" si="59"/>
        <v>37</v>
      </c>
      <c r="K494">
        <f t="shared" ca="1" si="60"/>
        <v>0.97308875489882563</v>
      </c>
      <c r="L494" t="str">
        <f ca="1">IF(K494&lt;=distribution!$D$11,distribution!$B$11,distribution!$B$12)</f>
        <v>Y</v>
      </c>
      <c r="M494">
        <f t="shared" ca="1" si="61"/>
        <v>71509</v>
      </c>
      <c r="N494">
        <f t="shared" ca="1" si="62"/>
        <v>71509</v>
      </c>
    </row>
    <row r="495" spans="1:14" x14ac:dyDescent="0.45">
      <c r="A495">
        <f t="shared" si="63"/>
        <v>494</v>
      </c>
      <c r="B495">
        <f t="shared" ca="1" si="56"/>
        <v>0.10748745721146979</v>
      </c>
      <c r="C495" t="str">
        <f ca="1">IF(B495&lt;=distribution!$D$2,distribution!$B$2,IF(B495&lt;=distribution!$D$3,distribution!$B$3,distribution!$B$4))</f>
        <v>ON</v>
      </c>
      <c r="D495">
        <f t="shared" ca="1" si="57"/>
        <v>0.23668381691820828</v>
      </c>
      <c r="E495" t="str">
        <f ca="1">IF(D495&lt;=distribution!$D$5,distribution!$B$5,distribution!$B$6)</f>
        <v>A</v>
      </c>
      <c r="F495">
        <f t="shared" ca="1" si="58"/>
        <v>0.22248788430654765</v>
      </c>
      <c r="G495" t="str">
        <f ca="1">IF(F495&lt;=distribution!$D$7,distribution!$B$7,IF(F495&lt;=distribution!$D$8,distribution!$B$8,IF(F495&lt;=distribution!$D$9,distribution!$B$9,distribution!$B$10)))</f>
        <v>25-34</v>
      </c>
      <c r="H495">
        <f ca="1">VLOOKUP(G495,age_band!$A$1:$C$5,2,FALSE)</f>
        <v>25</v>
      </c>
      <c r="I495">
        <f ca="1">VLOOKUP(G495,age_band!$A$2:$C$5,3,FALSE)</f>
        <v>34</v>
      </c>
      <c r="J495">
        <f t="shared" ca="1" si="59"/>
        <v>26</v>
      </c>
      <c r="K495">
        <f t="shared" ca="1" si="60"/>
        <v>0.975331894791577</v>
      </c>
      <c r="L495" t="str">
        <f ca="1">IF(K495&lt;=distribution!$D$11,distribution!$B$11,distribution!$B$12)</f>
        <v>Y</v>
      </c>
      <c r="M495">
        <f t="shared" ca="1" si="61"/>
        <v>102630</v>
      </c>
      <c r="N495">
        <f t="shared" ca="1" si="62"/>
        <v>102630</v>
      </c>
    </row>
    <row r="496" spans="1:14" x14ac:dyDescent="0.45">
      <c r="A496">
        <f t="shared" si="63"/>
        <v>495</v>
      </c>
      <c r="B496">
        <f t="shared" ca="1" si="56"/>
        <v>0.84533969498983075</v>
      </c>
      <c r="C496" t="str">
        <f ca="1">IF(B496&lt;=distribution!$D$2,distribution!$B$2,IF(B496&lt;=distribution!$D$3,distribution!$B$3,distribution!$B$4))</f>
        <v>BC</v>
      </c>
      <c r="D496">
        <f t="shared" ca="1" si="57"/>
        <v>0.79558903880573972</v>
      </c>
      <c r="E496" t="str">
        <f ca="1">IF(D496&lt;=distribution!$D$5,distribution!$B$5,distribution!$B$6)</f>
        <v>B</v>
      </c>
      <c r="F496">
        <f t="shared" ca="1" si="58"/>
        <v>0.20750514884782001</v>
      </c>
      <c r="G496" t="str">
        <f ca="1">IF(F496&lt;=distribution!$D$7,distribution!$B$7,IF(F496&lt;=distribution!$D$8,distribution!$B$8,IF(F496&lt;=distribution!$D$9,distribution!$B$9,distribution!$B$10)))</f>
        <v>25-34</v>
      </c>
      <c r="H496">
        <f ca="1">VLOOKUP(G496,age_band!$A$1:$C$5,2,FALSE)</f>
        <v>25</v>
      </c>
      <c r="I496">
        <f ca="1">VLOOKUP(G496,age_band!$A$2:$C$5,3,FALSE)</f>
        <v>34</v>
      </c>
      <c r="J496">
        <f t="shared" ca="1" si="59"/>
        <v>28</v>
      </c>
      <c r="K496">
        <f t="shared" ca="1" si="60"/>
        <v>0.71942955510337625</v>
      </c>
      <c r="L496" t="str">
        <f ca="1">IF(K496&lt;=distribution!$D$11,distribution!$B$11,distribution!$B$12)</f>
        <v>N</v>
      </c>
      <c r="M496">
        <f t="shared" ca="1" si="61"/>
        <v>73111</v>
      </c>
      <c r="N496">
        <f t="shared" ca="1" si="62"/>
        <v>73111</v>
      </c>
    </row>
    <row r="497" spans="1:14" x14ac:dyDescent="0.45">
      <c r="A497">
        <f t="shared" si="63"/>
        <v>496</v>
      </c>
      <c r="B497">
        <f t="shared" ca="1" si="56"/>
        <v>0.20018162752977275</v>
      </c>
      <c r="C497" t="str">
        <f ca="1">IF(B497&lt;=distribution!$D$2,distribution!$B$2,IF(B497&lt;=distribution!$D$3,distribution!$B$3,distribution!$B$4))</f>
        <v>ON</v>
      </c>
      <c r="D497">
        <f t="shared" ca="1" si="57"/>
        <v>0.91760376533487664</v>
      </c>
      <c r="E497" t="str">
        <f ca="1">IF(D497&lt;=distribution!$D$5,distribution!$B$5,distribution!$B$6)</f>
        <v>B</v>
      </c>
      <c r="F497">
        <f t="shared" ca="1" si="58"/>
        <v>0.29643289419414631</v>
      </c>
      <c r="G497" t="str">
        <f ca="1">IF(F497&lt;=distribution!$D$7,distribution!$B$7,IF(F497&lt;=distribution!$D$8,distribution!$B$8,IF(F497&lt;=distribution!$D$9,distribution!$B$9,distribution!$B$10)))</f>
        <v>35-44</v>
      </c>
      <c r="H497">
        <f ca="1">VLOOKUP(G497,age_band!$A$1:$C$5,2,FALSE)</f>
        <v>35</v>
      </c>
      <c r="I497">
        <f ca="1">VLOOKUP(G497,age_band!$A$2:$C$5,3,FALSE)</f>
        <v>44</v>
      </c>
      <c r="J497">
        <f t="shared" ca="1" si="59"/>
        <v>35</v>
      </c>
      <c r="K497">
        <f t="shared" ca="1" si="60"/>
        <v>0.27434721496914982</v>
      </c>
      <c r="L497" t="str">
        <f ca="1">IF(K497&lt;=distribution!$D$11,distribution!$B$11,distribution!$B$12)</f>
        <v>N</v>
      </c>
      <c r="M497">
        <f t="shared" ca="1" si="61"/>
        <v>56258</v>
      </c>
      <c r="N497">
        <f t="shared" ca="1" si="62"/>
        <v>56258</v>
      </c>
    </row>
    <row r="498" spans="1:14" x14ac:dyDescent="0.45">
      <c r="A498">
        <f t="shared" si="63"/>
        <v>497</v>
      </c>
      <c r="B498">
        <f t="shared" ca="1" si="56"/>
        <v>0.44214103826521134</v>
      </c>
      <c r="C498" t="str">
        <f ca="1">IF(B498&lt;=distribution!$D$2,distribution!$B$2,IF(B498&lt;=distribution!$D$3,distribution!$B$3,distribution!$B$4))</f>
        <v>ON</v>
      </c>
      <c r="D498">
        <f t="shared" ca="1" si="57"/>
        <v>0.30382265420627796</v>
      </c>
      <c r="E498" t="str">
        <f ca="1">IF(D498&lt;=distribution!$D$5,distribution!$B$5,distribution!$B$6)</f>
        <v>A</v>
      </c>
      <c r="F498">
        <f t="shared" ca="1" si="58"/>
        <v>0.19712262003256509</v>
      </c>
      <c r="G498" t="str">
        <f ca="1">IF(F498&lt;=distribution!$D$7,distribution!$B$7,IF(F498&lt;=distribution!$D$8,distribution!$B$8,IF(F498&lt;=distribution!$D$9,distribution!$B$9,distribution!$B$10)))</f>
        <v>25-34</v>
      </c>
      <c r="H498">
        <f ca="1">VLOOKUP(G498,age_band!$A$1:$C$5,2,FALSE)</f>
        <v>25</v>
      </c>
      <c r="I498">
        <f ca="1">VLOOKUP(G498,age_band!$A$2:$C$5,3,FALSE)</f>
        <v>34</v>
      </c>
      <c r="J498">
        <f t="shared" ca="1" si="59"/>
        <v>30</v>
      </c>
      <c r="K498">
        <f t="shared" ca="1" si="60"/>
        <v>0.75713477856959333</v>
      </c>
      <c r="L498" t="str">
        <f ca="1">IF(K498&lt;=distribution!$D$11,distribution!$B$11,distribution!$B$12)</f>
        <v>N</v>
      </c>
      <c r="M498">
        <f t="shared" ca="1" si="61"/>
        <v>116579</v>
      </c>
      <c r="N498">
        <f t="shared" ca="1" si="62"/>
        <v>116579</v>
      </c>
    </row>
    <row r="499" spans="1:14" x14ac:dyDescent="0.45">
      <c r="A499">
        <f t="shared" si="63"/>
        <v>498</v>
      </c>
      <c r="B499">
        <f t="shared" ca="1" si="56"/>
        <v>0.25697722247641819</v>
      </c>
      <c r="C499" t="str">
        <f ca="1">IF(B499&lt;=distribution!$D$2,distribution!$B$2,IF(B499&lt;=distribution!$D$3,distribution!$B$3,distribution!$B$4))</f>
        <v>ON</v>
      </c>
      <c r="D499">
        <f t="shared" ca="1" si="57"/>
        <v>0.20948708388493742</v>
      </c>
      <c r="E499" t="str">
        <f ca="1">IF(D499&lt;=distribution!$D$5,distribution!$B$5,distribution!$B$6)</f>
        <v>A</v>
      </c>
      <c r="F499">
        <f t="shared" ca="1" si="58"/>
        <v>0.21520724294505378</v>
      </c>
      <c r="G499" t="str">
        <f ca="1">IF(F499&lt;=distribution!$D$7,distribution!$B$7,IF(F499&lt;=distribution!$D$8,distribution!$B$8,IF(F499&lt;=distribution!$D$9,distribution!$B$9,distribution!$B$10)))</f>
        <v>25-34</v>
      </c>
      <c r="H499">
        <f ca="1">VLOOKUP(G499,age_band!$A$1:$C$5,2,FALSE)</f>
        <v>25</v>
      </c>
      <c r="I499">
        <f ca="1">VLOOKUP(G499,age_band!$A$2:$C$5,3,FALSE)</f>
        <v>34</v>
      </c>
      <c r="J499">
        <f t="shared" ca="1" si="59"/>
        <v>28</v>
      </c>
      <c r="K499">
        <f t="shared" ca="1" si="60"/>
        <v>0.54237185110688235</v>
      </c>
      <c r="L499" t="str">
        <f ca="1">IF(K499&lt;=distribution!$D$11,distribution!$B$11,distribution!$B$12)</f>
        <v>N</v>
      </c>
      <c r="M499">
        <f t="shared" ca="1" si="61"/>
        <v>98447</v>
      </c>
      <c r="N499">
        <f t="shared" ca="1" si="62"/>
        <v>98447</v>
      </c>
    </row>
    <row r="500" spans="1:14" x14ac:dyDescent="0.45">
      <c r="A500">
        <f t="shared" si="63"/>
        <v>499</v>
      </c>
      <c r="B500">
        <f t="shared" ca="1" si="56"/>
        <v>0.62578707409773127</v>
      </c>
      <c r="C500" t="str">
        <f ca="1">IF(B500&lt;=distribution!$D$2,distribution!$B$2,IF(B500&lt;=distribution!$D$3,distribution!$B$3,distribution!$B$4))</f>
        <v>QC</v>
      </c>
      <c r="D500">
        <f t="shared" ca="1" si="57"/>
        <v>2.8036528999870747E-3</v>
      </c>
      <c r="E500" t="str">
        <f ca="1">IF(D500&lt;=distribution!$D$5,distribution!$B$5,distribution!$B$6)</f>
        <v>A</v>
      </c>
      <c r="F500">
        <f t="shared" ca="1" si="58"/>
        <v>0.54205994146250824</v>
      </c>
      <c r="G500" t="str">
        <f ca="1">IF(F500&lt;=distribution!$D$7,distribution!$B$7,IF(F500&lt;=distribution!$D$8,distribution!$B$8,IF(F500&lt;=distribution!$D$9,distribution!$B$9,distribution!$B$10)))</f>
        <v>35-44</v>
      </c>
      <c r="H500">
        <f ca="1">VLOOKUP(G500,age_band!$A$1:$C$5,2,FALSE)</f>
        <v>35</v>
      </c>
      <c r="I500">
        <f ca="1">VLOOKUP(G500,age_band!$A$2:$C$5,3,FALSE)</f>
        <v>44</v>
      </c>
      <c r="J500">
        <f t="shared" ca="1" si="59"/>
        <v>38</v>
      </c>
      <c r="K500">
        <f t="shared" ca="1" si="60"/>
        <v>0.64362091759325968</v>
      </c>
      <c r="L500" t="str">
        <f ca="1">IF(K500&lt;=distribution!$D$11,distribution!$B$11,distribution!$B$12)</f>
        <v>N</v>
      </c>
      <c r="M500">
        <f t="shared" ca="1" si="61"/>
        <v>103855</v>
      </c>
      <c r="N500">
        <f t="shared" ca="1" si="62"/>
        <v>103855</v>
      </c>
    </row>
    <row r="501" spans="1:14" x14ac:dyDescent="0.45">
      <c r="A501">
        <f t="shared" si="63"/>
        <v>500</v>
      </c>
      <c r="B501">
        <f t="shared" ca="1" si="56"/>
        <v>0.94452246935446094</v>
      </c>
      <c r="C501" t="str">
        <f ca="1">IF(B501&lt;=distribution!$D$2,distribution!$B$2,IF(B501&lt;=distribution!$D$3,distribution!$B$3,distribution!$B$4))</f>
        <v>BC</v>
      </c>
      <c r="D501">
        <f t="shared" ca="1" si="57"/>
        <v>0.80218282523225948</v>
      </c>
      <c r="E501" t="str">
        <f ca="1">IF(D501&lt;=distribution!$D$5,distribution!$B$5,distribution!$B$6)</f>
        <v>B</v>
      </c>
      <c r="F501">
        <f t="shared" ca="1" si="58"/>
        <v>0.26866368787861861</v>
      </c>
      <c r="G501" t="str">
        <f ca="1">IF(F501&lt;=distribution!$D$7,distribution!$B$7,IF(F501&lt;=distribution!$D$8,distribution!$B$8,IF(F501&lt;=distribution!$D$9,distribution!$B$9,distribution!$B$10)))</f>
        <v>35-44</v>
      </c>
      <c r="H501">
        <f ca="1">VLOOKUP(G501,age_band!$A$1:$C$5,2,FALSE)</f>
        <v>35</v>
      </c>
      <c r="I501">
        <f ca="1">VLOOKUP(G501,age_band!$A$2:$C$5,3,FALSE)</f>
        <v>44</v>
      </c>
      <c r="J501">
        <f t="shared" ca="1" si="59"/>
        <v>39</v>
      </c>
      <c r="K501">
        <f t="shared" ca="1" si="60"/>
        <v>0.74145481680098058</v>
      </c>
      <c r="L501" t="str">
        <f ca="1">IF(K501&lt;=distribution!$D$11,distribution!$B$11,distribution!$B$12)</f>
        <v>N</v>
      </c>
      <c r="M501">
        <f t="shared" ca="1" si="61"/>
        <v>62320</v>
      </c>
      <c r="N501">
        <f t="shared" ca="1" si="62"/>
        <v>62320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BF1B-CAE0-4F06-BAF3-EB1F03A11D3E}">
  <dimension ref="A1:A13"/>
  <sheetViews>
    <sheetView topLeftCell="G1" workbookViewId="0">
      <selection activeCell="E13" sqref="E13"/>
    </sheetView>
  </sheetViews>
  <sheetFormatPr defaultRowHeight="14.25" x14ac:dyDescent="0.45"/>
  <sheetData>
    <row r="1" spans="1:1" x14ac:dyDescent="0.45">
      <c r="A1" t="s">
        <v>70</v>
      </c>
    </row>
    <row r="2" spans="1:1" x14ac:dyDescent="0.45">
      <c r="A2" t="s">
        <v>75</v>
      </c>
    </row>
    <row r="3" spans="1:1" x14ac:dyDescent="0.45">
      <c r="A3" t="s">
        <v>76</v>
      </c>
    </row>
    <row r="4" spans="1:1" x14ac:dyDescent="0.45">
      <c r="A4" t="s">
        <v>77</v>
      </c>
    </row>
    <row r="5" spans="1:1" x14ac:dyDescent="0.45">
      <c r="A5" t="s">
        <v>78</v>
      </c>
    </row>
    <row r="6" spans="1:1" x14ac:dyDescent="0.45">
      <c r="A6" t="s">
        <v>79</v>
      </c>
    </row>
    <row r="7" spans="1:1" x14ac:dyDescent="0.45">
      <c r="A7" t="s">
        <v>80</v>
      </c>
    </row>
    <row r="8" spans="1:1" x14ac:dyDescent="0.45">
      <c r="A8" t="s">
        <v>81</v>
      </c>
    </row>
    <row r="9" spans="1:1" x14ac:dyDescent="0.45">
      <c r="A9" t="s">
        <v>82</v>
      </c>
    </row>
    <row r="10" spans="1:1" x14ac:dyDescent="0.45">
      <c r="A10" t="s">
        <v>83</v>
      </c>
    </row>
    <row r="11" spans="1:1" x14ac:dyDescent="0.45">
      <c r="A11" t="s">
        <v>84</v>
      </c>
    </row>
    <row r="12" spans="1:1" x14ac:dyDescent="0.45">
      <c r="A12" t="s">
        <v>85</v>
      </c>
    </row>
    <row r="13" spans="1:1" x14ac:dyDescent="0.45">
      <c r="A13" t="s">
        <v>86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9A04-8E3A-4C17-998D-EEE75A3C6D9C}">
  <dimension ref="A1:A5"/>
  <sheetViews>
    <sheetView workbookViewId="0">
      <selection sqref="A1:XFD1"/>
    </sheetView>
  </sheetViews>
  <sheetFormatPr defaultRowHeight="14.25" x14ac:dyDescent="0.45"/>
  <sheetData>
    <row r="1" spans="1:1" x14ac:dyDescent="0.45">
      <c r="A1" s="2" t="s">
        <v>71</v>
      </c>
    </row>
    <row r="2" spans="1:1" x14ac:dyDescent="0.45">
      <c r="A2" s="2" t="s">
        <v>20</v>
      </c>
    </row>
    <row r="3" spans="1:1" x14ac:dyDescent="0.45">
      <c r="A3" s="2" t="s">
        <v>23</v>
      </c>
    </row>
    <row r="4" spans="1:1" x14ac:dyDescent="0.45">
      <c r="A4" s="2" t="s">
        <v>26</v>
      </c>
    </row>
    <row r="5" spans="1:1" x14ac:dyDescent="0.45">
      <c r="A5" s="2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EC88-4BAA-4BFA-A908-51E6D8C71FF0}">
  <dimension ref="A1:A5"/>
  <sheetViews>
    <sheetView workbookViewId="0">
      <selection activeCell="A5" sqref="A5"/>
    </sheetView>
  </sheetViews>
  <sheetFormatPr defaultRowHeight="14.25" x14ac:dyDescent="0.45"/>
  <sheetData>
    <row r="1" spans="1:1" x14ac:dyDescent="0.45">
      <c r="A1" s="2" t="s">
        <v>3</v>
      </c>
    </row>
    <row r="2" spans="1:1" x14ac:dyDescent="0.45">
      <c r="A2" s="2" t="s">
        <v>4</v>
      </c>
    </row>
    <row r="3" spans="1:1" x14ac:dyDescent="0.45">
      <c r="A3" s="2" t="s">
        <v>5</v>
      </c>
    </row>
    <row r="4" spans="1:1" x14ac:dyDescent="0.45">
      <c r="A4" s="2" t="s">
        <v>6</v>
      </c>
    </row>
    <row r="5" spans="1:1" x14ac:dyDescent="0.45">
      <c r="A5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F622-8809-43EC-8354-F9F7D50DC5C9}">
  <dimension ref="A1:A3"/>
  <sheetViews>
    <sheetView workbookViewId="0">
      <selection activeCell="A4" sqref="A4"/>
    </sheetView>
  </sheetViews>
  <sheetFormatPr defaultRowHeight="14.25" x14ac:dyDescent="0.45"/>
  <sheetData>
    <row r="1" spans="1:1" x14ac:dyDescent="0.45">
      <c r="A1" t="s">
        <v>7</v>
      </c>
    </row>
    <row r="2" spans="1:1" x14ac:dyDescent="0.45">
      <c r="A2" t="s">
        <v>8</v>
      </c>
    </row>
    <row r="3" spans="1:1" x14ac:dyDescent="0.45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vis_ManualVSExp</vt:lpstr>
      <vt:lpstr>vis_RegionClassCompare</vt:lpstr>
      <vt:lpstr>Compare_ClassRegion</vt:lpstr>
      <vt:lpstr>Census</vt:lpstr>
      <vt:lpstr>Experience_12m</vt:lpstr>
      <vt:lpstr>ManualPremium</vt:lpstr>
      <vt:lpstr>distribution</vt:lpstr>
      <vt:lpstr>age_band</vt:lpstr>
      <vt:lpstr>assumptions</vt:lpstr>
      <vt:lpstr>manual_rate_table</vt:lpstr>
      <vt:lpstr>rate_tables</vt:lpstr>
      <vt:lpstr>census_formula</vt:lpstr>
      <vt:lpstr>Dim_Month</vt:lpstr>
      <vt:lpstr>Dim_Benefit</vt:lpstr>
      <vt:lpstr>Dim_Region</vt:lpstr>
      <vt:lpstr>Dim_Class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Tran</dc:creator>
  <cp:lastModifiedBy>Van Tran</cp:lastModifiedBy>
  <dcterms:created xsi:type="dcterms:W3CDTF">2026-02-02T22:04:32Z</dcterms:created>
  <dcterms:modified xsi:type="dcterms:W3CDTF">2026-02-03T08:04:25Z</dcterms:modified>
</cp:coreProperties>
</file>